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3.xml" ContentType="application/vnd.openxmlformats-officedocument.drawing+xml"/>
  <Override PartName="/xl/tables/table9.xml" ContentType="application/vnd.openxmlformats-officedocument.spreadsheetml.table+xml"/>
  <Override PartName="/xl/queryTables/queryTable9.xml" ContentType="application/vnd.openxmlformats-officedocument.spreadsheetml.query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4.xml" ContentType="application/vnd.openxmlformats-officedocument.spreadsheetml.pivotTable+xml"/>
  <Override PartName="/xl/drawings/drawing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xml"/>
  <Override PartName="/xl/tables/table10.xml" ContentType="application/vnd.openxmlformats-officedocument.spreadsheetml.table+xml"/>
  <Override PartName="/xl/queryTables/queryTable10.xml" ContentType="application/vnd.openxmlformats-officedocument.spreadsheetml.queryTable+xml"/>
  <Override PartName="/xl/charts/chartEx1.xml" ContentType="application/vnd.ms-office.chartex+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ADMIN\Downloads\"/>
    </mc:Choice>
  </mc:AlternateContent>
  <xr:revisionPtr revIDLastSave="0" documentId="13_ncr:1_{1836A6B2-D214-4338-91D6-BF134C7846A6}" xr6:coauthVersionLast="47" xr6:coauthVersionMax="47" xr10:uidLastSave="{00000000-0000-0000-0000-000000000000}"/>
  <bookViews>
    <workbookView xWindow="-110" yWindow="-110" windowWidth="19420" windowHeight="10300" tabRatio="1000" firstSheet="10" activeTab="18" xr2:uid="{14BB5A8E-34C1-447C-A8EE-D288FC50CA8C}"/>
  </bookViews>
  <sheets>
    <sheet name="order details" sheetId="5" r:id="rId1"/>
    <sheet name="customers" sheetId="3" r:id="rId2"/>
    <sheet name="orders" sheetId="6" r:id="rId3"/>
    <sheet name="products" sheetId="7" r:id="rId4"/>
    <sheet name="employees" sheetId="4" r:id="rId5"/>
    <sheet name="suppliers" sheetId="9" r:id="rId6"/>
    <sheet name="categories" sheetId="2" r:id="rId7"/>
    <sheet name="shippers" sheetId="8" r:id="rId8"/>
    <sheet name=" EDA Answer 1" sheetId="14" r:id="rId9"/>
    <sheet name="EDA Answer 2" sheetId="16" r:id="rId10"/>
    <sheet name="EDA Answer 3" sheetId="18" r:id="rId11"/>
    <sheet name="EDA Answer 4" sheetId="19" r:id="rId12"/>
    <sheet name="EDA Answer 5" sheetId="22" r:id="rId13"/>
    <sheet name="EDA Answer 6" sheetId="20" r:id="rId14"/>
    <sheet name="EDA Answer 7" sheetId="23" r:id="rId15"/>
    <sheet name="EDA Answer 8" sheetId="24" r:id="rId16"/>
    <sheet name="EDA Answer 9" sheetId="25" r:id="rId17"/>
    <sheet name="EDA Answer 10" sheetId="26" r:id="rId18"/>
    <sheet name="EDA Answer 11" sheetId="27" r:id="rId19"/>
    <sheet name="EDA Summary" sheetId="12" r:id="rId20"/>
  </sheets>
  <definedNames>
    <definedName name="_xlchart.v1.0" hidden="1">'EDA Answer 11'!$A$1</definedName>
    <definedName name="_xlchart.v1.1" hidden="1">'EDA Answer 11'!$A$2:$A$78</definedName>
    <definedName name="_xlchart.v1.10" hidden="1">'EDA Answer 11'!$A$1</definedName>
    <definedName name="_xlchart.v1.11" hidden="1">'EDA Answer 11'!$A$2:$A$78</definedName>
    <definedName name="_xlchart.v1.12" hidden="1">'EDA Answer 11'!$B$1</definedName>
    <definedName name="_xlchart.v1.13" hidden="1">'EDA Answer 11'!$B$2:$B$78</definedName>
    <definedName name="_xlchart.v1.14" hidden="1">'EDA Answer 11'!$C$1</definedName>
    <definedName name="_xlchart.v1.15" hidden="1">'EDA Answer 11'!$C$2:$C$78</definedName>
    <definedName name="_xlchart.v1.16" hidden="1">'EDA Answer 11'!$D$1</definedName>
    <definedName name="_xlchart.v1.17" hidden="1">'EDA Answer 11'!$D$2:$D$78</definedName>
    <definedName name="_xlchart.v1.18" hidden="1">'EDA Answer 11'!$E$1</definedName>
    <definedName name="_xlchart.v1.19" hidden="1">'EDA Answer 11'!$E$2:$E$78</definedName>
    <definedName name="_xlchart.v1.2" hidden="1">'EDA Answer 11'!$B$1</definedName>
    <definedName name="_xlchart.v1.3" hidden="1">'EDA Answer 11'!$B$2:$B$78</definedName>
    <definedName name="_xlchart.v1.4" hidden="1">'EDA Answer 11'!$C$1</definedName>
    <definedName name="_xlchart.v1.5" hidden="1">'EDA Answer 11'!$C$2:$C$78</definedName>
    <definedName name="_xlchart.v1.6" hidden="1">'EDA Answer 11'!$D$1</definedName>
    <definedName name="_xlchart.v1.7" hidden="1">'EDA Answer 11'!$D$2:$D$78</definedName>
    <definedName name="_xlchart.v1.8" hidden="1">'EDA Answer 11'!$E$1</definedName>
    <definedName name="_xlchart.v1.9" hidden="1">'EDA Answer 11'!$E$2:$E$78</definedName>
    <definedName name="_xlcn.WorksheetConnection_CapestoneSalesAnalysis.xlsxorder_details1" hidden="1">order_details[]</definedName>
    <definedName name="_xlcn.WorksheetConnection_CapestoneSalesAnalysis.xlsxorders1" hidden="1">orders[]</definedName>
    <definedName name="_xlcn.WorksheetConnection_CapestoneSalesAnalysis.xlsxshippers1" hidden="1">shippers[]</definedName>
    <definedName name="ExternalData_1" localSheetId="6" hidden="1">'categories'!$A$1:$C$9</definedName>
    <definedName name="ExternalData_2" localSheetId="1" hidden="1">'customers'!$A$1:$K$92</definedName>
    <definedName name="ExternalData_3" localSheetId="4" hidden="1">employees!$A$1:$Q$10</definedName>
    <definedName name="ExternalData_4" localSheetId="0" hidden="1">'order details'!$A$1:$F$2156</definedName>
    <definedName name="ExternalData_5" localSheetId="2" hidden="1">orders!$A$1:$N$831</definedName>
    <definedName name="ExternalData_6" localSheetId="18" hidden="1">'EDA Answer 11'!$A$1:$D$78</definedName>
    <definedName name="ExternalData_6" localSheetId="16" hidden="1">'EDA Answer 9'!$A$1:$D$78</definedName>
    <definedName name="ExternalData_6" localSheetId="3" hidden="1">products!$A$1:$J$78</definedName>
    <definedName name="ExternalData_7" localSheetId="7" hidden="1">shippers!$A$1:$C$4</definedName>
    <definedName name="ExternalData_8" localSheetId="5" hidden="1">suppliers!$A$1:$K$30</definedName>
    <definedName name="Slicer_OrderDate">#N/A</definedName>
  </definedNames>
  <calcPr calcId="191029"/>
  <pivotCaches>
    <pivotCache cacheId="0" r:id="rId21"/>
    <pivotCache cacheId="1" r:id="rId22"/>
    <pivotCache cacheId="2" r:id="rId23"/>
    <pivotCache cacheId="3"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hippers" name="shippers" connection="WorksheetConnection_Capestone - Sales Analysis.xlsx!shippers"/>
          <x15:modelTable id="orders" name="orders" connection="WorksheetConnection_Capestone - Sales Analysis.xlsx!orders"/>
          <x15:modelTable id="order_details" name="order_details" connection="WorksheetConnection_Capestone - Sales Analysis.xlsx!order_details"/>
        </x15:modelTables>
        <x15:modelRelationships>
          <x15:modelRelationship fromTable="order_details" fromColumn="OrderID" toTable="orders" toColumn="Order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43" i="27" l="1"/>
  <c r="E27" i="27"/>
  <c r="E50" i="27"/>
  <c r="E74" i="27"/>
  <c r="E66" i="27"/>
  <c r="E12" i="27"/>
  <c r="E21" i="27"/>
  <c r="E40" i="27"/>
  <c r="E17" i="27"/>
  <c r="E45" i="27"/>
  <c r="E75" i="27"/>
  <c r="E70" i="27"/>
  <c r="E31" i="27"/>
  <c r="E16" i="27"/>
  <c r="E25" i="27"/>
  <c r="E5" i="27"/>
  <c r="E30" i="27"/>
  <c r="E6" i="27"/>
  <c r="E4" i="27"/>
  <c r="E58" i="27"/>
  <c r="E52" i="27"/>
  <c r="E7" i="27"/>
  <c r="E23" i="27"/>
  <c r="E62" i="27"/>
  <c r="E19" i="27"/>
  <c r="E71" i="27"/>
  <c r="E8" i="27"/>
  <c r="E69" i="27"/>
  <c r="E42" i="27"/>
  <c r="E78" i="27"/>
  <c r="E67" i="27"/>
  <c r="E57" i="27"/>
  <c r="E65" i="27"/>
  <c r="E41" i="27"/>
  <c r="E13" i="27"/>
  <c r="E47" i="27"/>
  <c r="E46" i="27"/>
  <c r="E22" i="27"/>
  <c r="E38" i="27"/>
  <c r="E2" i="27"/>
  <c r="E73" i="27"/>
  <c r="E33" i="27"/>
  <c r="E32" i="27"/>
  <c r="E56" i="27"/>
  <c r="E77" i="27"/>
  <c r="E49" i="27"/>
  <c r="E29" i="27"/>
  <c r="E34" i="27"/>
  <c r="E3" i="27"/>
  <c r="E11" i="27"/>
  <c r="E28" i="27"/>
  <c r="E20" i="27"/>
  <c r="E68" i="27"/>
  <c r="E64" i="27"/>
  <c r="E63" i="27"/>
  <c r="E55" i="27"/>
  <c r="E44" i="27"/>
  <c r="E14" i="27"/>
  <c r="E59" i="27"/>
  <c r="E10" i="27"/>
  <c r="E9" i="27"/>
  <c r="E24" i="27"/>
  <c r="E76" i="27"/>
  <c r="E51" i="27"/>
  <c r="E61" i="27"/>
  <c r="E39" i="27"/>
  <c r="E35" i="27"/>
  <c r="E18" i="27"/>
  <c r="E53" i="27"/>
  <c r="E37" i="27"/>
  <c r="E15" i="27"/>
  <c r="E54" i="27"/>
  <c r="E60" i="27"/>
  <c r="E48" i="27"/>
  <c r="E72" i="27"/>
  <c r="E26" i="27"/>
  <c r="E36" i="27"/>
  <c r="E2" i="25"/>
  <c r="E3" i="25"/>
  <c r="E4" i="25"/>
  <c r="E5" i="25"/>
  <c r="E6" i="25"/>
  <c r="E7" i="25"/>
  <c r="E8" i="25"/>
  <c r="E9" i="25"/>
  <c r="E10" i="25"/>
  <c r="E11" i="25"/>
  <c r="E12" i="25"/>
  <c r="E13" i="25"/>
  <c r="E14" i="25"/>
  <c r="E15" i="25"/>
  <c r="E16" i="25"/>
  <c r="E17" i="25"/>
  <c r="E18" i="25"/>
  <c r="E19" i="25"/>
  <c r="E20" i="25"/>
  <c r="E21" i="25"/>
  <c r="E22" i="25"/>
  <c r="E23" i="25"/>
  <c r="E24" i="25"/>
  <c r="E25" i="25"/>
  <c r="E26" i="25"/>
  <c r="E27" i="25"/>
  <c r="E28" i="25"/>
  <c r="E29" i="25"/>
  <c r="E30" i="25"/>
  <c r="E31" i="25"/>
  <c r="E32" i="25"/>
  <c r="E33" i="25"/>
  <c r="E34" i="25"/>
  <c r="E35" i="25"/>
  <c r="E36" i="25"/>
  <c r="E37" i="25"/>
  <c r="E38" i="25"/>
  <c r="E39" i="25"/>
  <c r="E40" i="25"/>
  <c r="E41" i="25"/>
  <c r="E42" i="25"/>
  <c r="E43" i="25"/>
  <c r="E44" i="25"/>
  <c r="E45" i="25"/>
  <c r="E46" i="25"/>
  <c r="E47" i="25"/>
  <c r="E48" i="25"/>
  <c r="E49" i="25"/>
  <c r="E50" i="25"/>
  <c r="E51" i="25"/>
  <c r="E52" i="25"/>
  <c r="E53" i="25"/>
  <c r="E54" i="25"/>
  <c r="E55" i="25"/>
  <c r="E56" i="25"/>
  <c r="E57" i="25"/>
  <c r="E58" i="25"/>
  <c r="E59" i="25"/>
  <c r="E60" i="25"/>
  <c r="E61" i="25"/>
  <c r="E62" i="25"/>
  <c r="E63" i="25"/>
  <c r="E64" i="25"/>
  <c r="E65" i="25"/>
  <c r="E66" i="25"/>
  <c r="E67" i="25"/>
  <c r="E68" i="25"/>
  <c r="E69" i="25"/>
  <c r="E70" i="25"/>
  <c r="E71" i="25"/>
  <c r="E72" i="25"/>
  <c r="E73" i="25"/>
  <c r="E74" i="25"/>
  <c r="E75" i="25"/>
  <c r="E76" i="25"/>
  <c r="E77" i="25"/>
  <c r="E78" i="25"/>
  <c r="R2" i="4"/>
  <c r="R3" i="4"/>
  <c r="R4" i="4"/>
  <c r="R5" i="4"/>
  <c r="R6" i="4"/>
  <c r="R7" i="4"/>
  <c r="R8" i="4"/>
  <c r="R9" i="4"/>
  <c r="R10" i="4"/>
  <c r="K2" i="7"/>
  <c r="K3" i="7"/>
  <c r="K4" i="7"/>
  <c r="K5" i="7"/>
  <c r="K6" i="7"/>
  <c r="K7" i="7"/>
  <c r="K8" i="7"/>
  <c r="K9" i="7"/>
  <c r="K10" i="7"/>
  <c r="K11" i="7"/>
  <c r="K12" i="7"/>
  <c r="K13" i="7"/>
  <c r="K14" i="7"/>
  <c r="K15" i="7"/>
  <c r="K16" i="7"/>
  <c r="K17" i="7"/>
  <c r="K18" i="7"/>
  <c r="K19" i="7"/>
  <c r="K20" i="7"/>
  <c r="K21" i="7"/>
  <c r="K22" i="7"/>
  <c r="K23" i="7"/>
  <c r="K24" i="7"/>
  <c r="K25" i="7"/>
  <c r="K26" i="7"/>
  <c r="K27" i="7"/>
  <c r="K28" i="7"/>
  <c r="K29" i="7"/>
  <c r="K30" i="7"/>
  <c r="K31" i="7"/>
  <c r="K32" i="7"/>
  <c r="K33" i="7"/>
  <c r="K34" i="7"/>
  <c r="K35" i="7"/>
  <c r="K36" i="7"/>
  <c r="K37" i="7"/>
  <c r="K38" i="7"/>
  <c r="K39" i="7"/>
  <c r="K40" i="7"/>
  <c r="K41" i="7"/>
  <c r="K42" i="7"/>
  <c r="K43" i="7"/>
  <c r="K44" i="7"/>
  <c r="K45" i="7"/>
  <c r="K46" i="7"/>
  <c r="K47" i="7"/>
  <c r="K48" i="7"/>
  <c r="K49" i="7"/>
  <c r="K50" i="7"/>
  <c r="K51" i="7"/>
  <c r="K52" i="7"/>
  <c r="K53" i="7"/>
  <c r="K54" i="7"/>
  <c r="K55" i="7"/>
  <c r="K56" i="7"/>
  <c r="K57" i="7"/>
  <c r="K58" i="7"/>
  <c r="K59" i="7"/>
  <c r="K60" i="7"/>
  <c r="K61" i="7"/>
  <c r="K62" i="7"/>
  <c r="K63" i="7"/>
  <c r="K64" i="7"/>
  <c r="K65" i="7"/>
  <c r="K66" i="7"/>
  <c r="K67" i="7"/>
  <c r="K68" i="7"/>
  <c r="K69" i="7"/>
  <c r="K70" i="7"/>
  <c r="K71" i="7"/>
  <c r="K72" i="7"/>
  <c r="K73" i="7"/>
  <c r="K74" i="7"/>
  <c r="K75" i="7"/>
  <c r="K76" i="7"/>
  <c r="K77" i="7"/>
  <c r="K78" i="7"/>
  <c r="O2" i="6"/>
  <c r="O3" i="6"/>
  <c r="O4" i="6"/>
  <c r="O5" i="6"/>
  <c r="O6" i="6"/>
  <c r="O7" i="6"/>
  <c r="O8" i="6"/>
  <c r="O9" i="6"/>
  <c r="O10" i="6"/>
  <c r="O11" i="6"/>
  <c r="O12" i="6"/>
  <c r="O13" i="6"/>
  <c r="O14" i="6"/>
  <c r="O15" i="6"/>
  <c r="O16" i="6"/>
  <c r="O17" i="6"/>
  <c r="O18" i="6"/>
  <c r="O19" i="6"/>
  <c r="O20" i="6"/>
  <c r="O21" i="6"/>
  <c r="O22" i="6"/>
  <c r="O23" i="6"/>
  <c r="O24" i="6"/>
  <c r="O25" i="6"/>
  <c r="O26" i="6"/>
  <c r="O27" i="6"/>
  <c r="O28" i="6"/>
  <c r="O29" i="6"/>
  <c r="O30" i="6"/>
  <c r="O31" i="6"/>
  <c r="O32" i="6"/>
  <c r="O33" i="6"/>
  <c r="O34" i="6"/>
  <c r="O35" i="6"/>
  <c r="O36" i="6"/>
  <c r="O37" i="6"/>
  <c r="O38" i="6"/>
  <c r="O39" i="6"/>
  <c r="O40" i="6"/>
  <c r="O41" i="6"/>
  <c r="O42" i="6"/>
  <c r="O43" i="6"/>
  <c r="O44" i="6"/>
  <c r="O45" i="6"/>
  <c r="O46" i="6"/>
  <c r="O47" i="6"/>
  <c r="O48" i="6"/>
  <c r="O49" i="6"/>
  <c r="O50" i="6"/>
  <c r="O51" i="6"/>
  <c r="O52" i="6"/>
  <c r="O53" i="6"/>
  <c r="O54" i="6"/>
  <c r="O55" i="6"/>
  <c r="O56" i="6"/>
  <c r="O57" i="6"/>
  <c r="O58" i="6"/>
  <c r="O59" i="6"/>
  <c r="O60" i="6"/>
  <c r="O61" i="6"/>
  <c r="O62" i="6"/>
  <c r="O63" i="6"/>
  <c r="O64" i="6"/>
  <c r="O65" i="6"/>
  <c r="O66" i="6"/>
  <c r="O67" i="6"/>
  <c r="O68" i="6"/>
  <c r="O69" i="6"/>
  <c r="O70" i="6"/>
  <c r="O71" i="6"/>
  <c r="O72" i="6"/>
  <c r="O73" i="6"/>
  <c r="O74" i="6"/>
  <c r="O75" i="6"/>
  <c r="O76" i="6"/>
  <c r="O77" i="6"/>
  <c r="O78" i="6"/>
  <c r="O79" i="6"/>
  <c r="O80" i="6"/>
  <c r="O81" i="6"/>
  <c r="O82" i="6"/>
  <c r="O83" i="6"/>
  <c r="O84" i="6"/>
  <c r="O85" i="6"/>
  <c r="O86" i="6"/>
  <c r="O87" i="6"/>
  <c r="O88" i="6"/>
  <c r="O89" i="6"/>
  <c r="O90" i="6"/>
  <c r="O91" i="6"/>
  <c r="O92" i="6"/>
  <c r="O93" i="6"/>
  <c r="O94" i="6"/>
  <c r="O95" i="6"/>
  <c r="O96" i="6"/>
  <c r="O97" i="6"/>
  <c r="O98" i="6"/>
  <c r="O99" i="6"/>
  <c r="O100" i="6"/>
  <c r="O101" i="6"/>
  <c r="O102" i="6"/>
  <c r="O103" i="6"/>
  <c r="O104" i="6"/>
  <c r="O105" i="6"/>
  <c r="O106" i="6"/>
  <c r="O107" i="6"/>
  <c r="O108" i="6"/>
  <c r="O109" i="6"/>
  <c r="O110" i="6"/>
  <c r="O111" i="6"/>
  <c r="O112" i="6"/>
  <c r="O113" i="6"/>
  <c r="O114" i="6"/>
  <c r="O115" i="6"/>
  <c r="O116" i="6"/>
  <c r="O117" i="6"/>
  <c r="O118" i="6"/>
  <c r="O119" i="6"/>
  <c r="O120" i="6"/>
  <c r="O121" i="6"/>
  <c r="O122" i="6"/>
  <c r="O123" i="6"/>
  <c r="O124" i="6"/>
  <c r="O125" i="6"/>
  <c r="O126" i="6"/>
  <c r="O127" i="6"/>
  <c r="O128" i="6"/>
  <c r="O129" i="6"/>
  <c r="O130" i="6"/>
  <c r="O131" i="6"/>
  <c r="O132" i="6"/>
  <c r="O133" i="6"/>
  <c r="O134" i="6"/>
  <c r="O135" i="6"/>
  <c r="O136" i="6"/>
  <c r="O137" i="6"/>
  <c r="O138" i="6"/>
  <c r="O139" i="6"/>
  <c r="O140" i="6"/>
  <c r="O141" i="6"/>
  <c r="O142" i="6"/>
  <c r="O143" i="6"/>
  <c r="O144" i="6"/>
  <c r="O145" i="6"/>
  <c r="O146" i="6"/>
  <c r="O147" i="6"/>
  <c r="O148" i="6"/>
  <c r="O149" i="6"/>
  <c r="O150" i="6"/>
  <c r="O151" i="6"/>
  <c r="O152" i="6"/>
  <c r="O153" i="6"/>
  <c r="O154" i="6"/>
  <c r="O155" i="6"/>
  <c r="O156" i="6"/>
  <c r="O157" i="6"/>
  <c r="O158" i="6"/>
  <c r="O159" i="6"/>
  <c r="O160" i="6"/>
  <c r="O161" i="6"/>
  <c r="O162" i="6"/>
  <c r="O163" i="6"/>
  <c r="O164" i="6"/>
  <c r="O165" i="6"/>
  <c r="O166" i="6"/>
  <c r="O167" i="6"/>
  <c r="O168" i="6"/>
  <c r="O169" i="6"/>
  <c r="O170" i="6"/>
  <c r="O171" i="6"/>
  <c r="O172" i="6"/>
  <c r="O173" i="6"/>
  <c r="O174" i="6"/>
  <c r="O175" i="6"/>
  <c r="O176" i="6"/>
  <c r="O177" i="6"/>
  <c r="O178" i="6"/>
  <c r="O179" i="6"/>
  <c r="O180" i="6"/>
  <c r="O181" i="6"/>
  <c r="O182" i="6"/>
  <c r="O183" i="6"/>
  <c r="O184" i="6"/>
  <c r="O185" i="6"/>
  <c r="O186" i="6"/>
  <c r="O187" i="6"/>
  <c r="O188" i="6"/>
  <c r="O189" i="6"/>
  <c r="O190" i="6"/>
  <c r="O191" i="6"/>
  <c r="O192" i="6"/>
  <c r="O193" i="6"/>
  <c r="O194" i="6"/>
  <c r="O195" i="6"/>
  <c r="O196" i="6"/>
  <c r="O197" i="6"/>
  <c r="O198" i="6"/>
  <c r="O199" i="6"/>
  <c r="O200" i="6"/>
  <c r="O201" i="6"/>
  <c r="O202" i="6"/>
  <c r="O203" i="6"/>
  <c r="O204" i="6"/>
  <c r="O205" i="6"/>
  <c r="O206" i="6"/>
  <c r="O207" i="6"/>
  <c r="O208" i="6"/>
  <c r="O209" i="6"/>
  <c r="O210" i="6"/>
  <c r="O211" i="6"/>
  <c r="O212" i="6"/>
  <c r="O213" i="6"/>
  <c r="O214" i="6"/>
  <c r="O215" i="6"/>
  <c r="O216" i="6"/>
  <c r="O217" i="6"/>
  <c r="O218" i="6"/>
  <c r="O219" i="6"/>
  <c r="O220" i="6"/>
  <c r="O221" i="6"/>
  <c r="O222" i="6"/>
  <c r="O223" i="6"/>
  <c r="O224" i="6"/>
  <c r="O225" i="6"/>
  <c r="O226" i="6"/>
  <c r="O227" i="6"/>
  <c r="O228" i="6"/>
  <c r="O229" i="6"/>
  <c r="O230" i="6"/>
  <c r="O231" i="6"/>
  <c r="O232" i="6"/>
  <c r="O233" i="6"/>
  <c r="O234" i="6"/>
  <c r="O235" i="6"/>
  <c r="O236" i="6"/>
  <c r="O237" i="6"/>
  <c r="O238" i="6"/>
  <c r="O239" i="6"/>
  <c r="O240" i="6"/>
  <c r="O241" i="6"/>
  <c r="O242" i="6"/>
  <c r="O243" i="6"/>
  <c r="O244" i="6"/>
  <c r="O245" i="6"/>
  <c r="O246" i="6"/>
  <c r="O247" i="6"/>
  <c r="O248" i="6"/>
  <c r="O249" i="6"/>
  <c r="O250" i="6"/>
  <c r="O251" i="6"/>
  <c r="O252" i="6"/>
  <c r="O253" i="6"/>
  <c r="O254" i="6"/>
  <c r="O255" i="6"/>
  <c r="O256" i="6"/>
  <c r="O257" i="6"/>
  <c r="O258" i="6"/>
  <c r="O259" i="6"/>
  <c r="O260" i="6"/>
  <c r="O261" i="6"/>
  <c r="O262" i="6"/>
  <c r="O263" i="6"/>
  <c r="O264" i="6"/>
  <c r="O265" i="6"/>
  <c r="O266" i="6"/>
  <c r="O267" i="6"/>
  <c r="O268" i="6"/>
  <c r="O269" i="6"/>
  <c r="O270" i="6"/>
  <c r="O271" i="6"/>
  <c r="O272" i="6"/>
  <c r="O273" i="6"/>
  <c r="O274" i="6"/>
  <c r="O275" i="6"/>
  <c r="O276" i="6"/>
  <c r="O277" i="6"/>
  <c r="O278" i="6"/>
  <c r="O279" i="6"/>
  <c r="O280" i="6"/>
  <c r="O281" i="6"/>
  <c r="O282" i="6"/>
  <c r="O283" i="6"/>
  <c r="O284" i="6"/>
  <c r="O285" i="6"/>
  <c r="O286" i="6"/>
  <c r="O287" i="6"/>
  <c r="O288" i="6"/>
  <c r="O289" i="6"/>
  <c r="O290" i="6"/>
  <c r="O291" i="6"/>
  <c r="O292" i="6"/>
  <c r="O293" i="6"/>
  <c r="O294" i="6"/>
  <c r="O295" i="6"/>
  <c r="O296" i="6"/>
  <c r="O297" i="6"/>
  <c r="O298" i="6"/>
  <c r="O299" i="6"/>
  <c r="O300" i="6"/>
  <c r="O301" i="6"/>
  <c r="O302" i="6"/>
  <c r="O303" i="6"/>
  <c r="O304" i="6"/>
  <c r="O305" i="6"/>
  <c r="O306" i="6"/>
  <c r="O307" i="6"/>
  <c r="O308" i="6"/>
  <c r="O309" i="6"/>
  <c r="O310" i="6"/>
  <c r="O311" i="6"/>
  <c r="O312" i="6"/>
  <c r="O313" i="6"/>
  <c r="O314" i="6"/>
  <c r="O315" i="6"/>
  <c r="O316" i="6"/>
  <c r="O317" i="6"/>
  <c r="O318" i="6"/>
  <c r="O319" i="6"/>
  <c r="O320" i="6"/>
  <c r="O321" i="6"/>
  <c r="O322" i="6"/>
  <c r="O323" i="6"/>
  <c r="O324" i="6"/>
  <c r="O325" i="6"/>
  <c r="O326" i="6"/>
  <c r="O327" i="6"/>
  <c r="O328" i="6"/>
  <c r="O329" i="6"/>
  <c r="O330" i="6"/>
  <c r="O331" i="6"/>
  <c r="O332" i="6"/>
  <c r="O333" i="6"/>
  <c r="O334" i="6"/>
  <c r="O335" i="6"/>
  <c r="O336" i="6"/>
  <c r="O337" i="6"/>
  <c r="O338" i="6"/>
  <c r="O339" i="6"/>
  <c r="O340" i="6"/>
  <c r="O341" i="6"/>
  <c r="O342" i="6"/>
  <c r="O343" i="6"/>
  <c r="O344" i="6"/>
  <c r="O345" i="6"/>
  <c r="O346" i="6"/>
  <c r="O347" i="6"/>
  <c r="O348" i="6"/>
  <c r="O349" i="6"/>
  <c r="O350" i="6"/>
  <c r="O351" i="6"/>
  <c r="O352" i="6"/>
  <c r="O353" i="6"/>
  <c r="O354" i="6"/>
  <c r="O355" i="6"/>
  <c r="O356" i="6"/>
  <c r="O357" i="6"/>
  <c r="O358" i="6"/>
  <c r="O359" i="6"/>
  <c r="O360" i="6"/>
  <c r="O361" i="6"/>
  <c r="O362" i="6"/>
  <c r="O363" i="6"/>
  <c r="O364" i="6"/>
  <c r="O365" i="6"/>
  <c r="O366" i="6"/>
  <c r="O367" i="6"/>
  <c r="O368" i="6"/>
  <c r="O369" i="6"/>
  <c r="O370" i="6"/>
  <c r="O371" i="6"/>
  <c r="O372" i="6"/>
  <c r="O373" i="6"/>
  <c r="O374" i="6"/>
  <c r="O375" i="6"/>
  <c r="O376" i="6"/>
  <c r="O377" i="6"/>
  <c r="O378" i="6"/>
  <c r="O379" i="6"/>
  <c r="O380" i="6"/>
  <c r="O381" i="6"/>
  <c r="O382" i="6"/>
  <c r="O383" i="6"/>
  <c r="O384" i="6"/>
  <c r="O385" i="6"/>
  <c r="O386" i="6"/>
  <c r="O387" i="6"/>
  <c r="O388" i="6"/>
  <c r="O389" i="6"/>
  <c r="O390" i="6"/>
  <c r="O391" i="6"/>
  <c r="O392" i="6"/>
  <c r="O393" i="6"/>
  <c r="O394" i="6"/>
  <c r="O395" i="6"/>
  <c r="O396" i="6"/>
  <c r="O397" i="6"/>
  <c r="O398" i="6"/>
  <c r="O399" i="6"/>
  <c r="O400" i="6"/>
  <c r="O401" i="6"/>
  <c r="O402" i="6"/>
  <c r="O403" i="6"/>
  <c r="O404" i="6"/>
  <c r="O405" i="6"/>
  <c r="O406" i="6"/>
  <c r="O407" i="6"/>
  <c r="O408" i="6"/>
  <c r="O409" i="6"/>
  <c r="O410" i="6"/>
  <c r="O411" i="6"/>
  <c r="O412" i="6"/>
  <c r="O413" i="6"/>
  <c r="O414" i="6"/>
  <c r="O415" i="6"/>
  <c r="O416" i="6"/>
  <c r="O417" i="6"/>
  <c r="O418" i="6"/>
  <c r="O419" i="6"/>
  <c r="O420" i="6"/>
  <c r="O421" i="6"/>
  <c r="O422" i="6"/>
  <c r="O423" i="6"/>
  <c r="O424" i="6"/>
  <c r="O425" i="6"/>
  <c r="O426" i="6"/>
  <c r="O427" i="6"/>
  <c r="O428" i="6"/>
  <c r="O429" i="6"/>
  <c r="O430" i="6"/>
  <c r="O431" i="6"/>
  <c r="O432" i="6"/>
  <c r="O433" i="6"/>
  <c r="O434" i="6"/>
  <c r="O435" i="6"/>
  <c r="O436" i="6"/>
  <c r="O437" i="6"/>
  <c r="O438" i="6"/>
  <c r="O439" i="6"/>
  <c r="O440" i="6"/>
  <c r="O441" i="6"/>
  <c r="O442" i="6"/>
  <c r="O443" i="6"/>
  <c r="O444" i="6"/>
  <c r="O445" i="6"/>
  <c r="O446" i="6"/>
  <c r="O447" i="6"/>
  <c r="O448" i="6"/>
  <c r="O449" i="6"/>
  <c r="O450" i="6"/>
  <c r="O451" i="6"/>
  <c r="O452" i="6"/>
  <c r="O453" i="6"/>
  <c r="O454" i="6"/>
  <c r="O455" i="6"/>
  <c r="O456" i="6"/>
  <c r="O457" i="6"/>
  <c r="O458" i="6"/>
  <c r="O459" i="6"/>
  <c r="O460" i="6"/>
  <c r="O461" i="6"/>
  <c r="O462" i="6"/>
  <c r="O463" i="6"/>
  <c r="O464" i="6"/>
  <c r="O465" i="6"/>
  <c r="O466" i="6"/>
  <c r="O467" i="6"/>
  <c r="O468" i="6"/>
  <c r="O469" i="6"/>
  <c r="O470" i="6"/>
  <c r="O471" i="6"/>
  <c r="O472" i="6"/>
  <c r="O473" i="6"/>
  <c r="O474" i="6"/>
  <c r="O475" i="6"/>
  <c r="O476" i="6"/>
  <c r="O477" i="6"/>
  <c r="O478" i="6"/>
  <c r="O479" i="6"/>
  <c r="O480" i="6"/>
  <c r="O481" i="6"/>
  <c r="O482" i="6"/>
  <c r="O483" i="6"/>
  <c r="O484" i="6"/>
  <c r="O485" i="6"/>
  <c r="O486" i="6"/>
  <c r="O487" i="6"/>
  <c r="O488" i="6"/>
  <c r="O489" i="6"/>
  <c r="O490" i="6"/>
  <c r="O491" i="6"/>
  <c r="O492" i="6"/>
  <c r="O493" i="6"/>
  <c r="O494" i="6"/>
  <c r="O495" i="6"/>
  <c r="O496" i="6"/>
  <c r="O497" i="6"/>
  <c r="O498" i="6"/>
  <c r="O499" i="6"/>
  <c r="O500" i="6"/>
  <c r="O501" i="6"/>
  <c r="O502" i="6"/>
  <c r="O503" i="6"/>
  <c r="O504" i="6"/>
  <c r="O505" i="6"/>
  <c r="O506" i="6"/>
  <c r="O507" i="6"/>
  <c r="O508" i="6"/>
  <c r="O509" i="6"/>
  <c r="O510" i="6"/>
  <c r="O511" i="6"/>
  <c r="O512" i="6"/>
  <c r="O513" i="6"/>
  <c r="O514" i="6"/>
  <c r="O515" i="6"/>
  <c r="O516" i="6"/>
  <c r="O517" i="6"/>
  <c r="O518" i="6"/>
  <c r="O519" i="6"/>
  <c r="O520" i="6"/>
  <c r="O521" i="6"/>
  <c r="O522" i="6"/>
  <c r="O523" i="6"/>
  <c r="O524" i="6"/>
  <c r="O525" i="6"/>
  <c r="O526" i="6"/>
  <c r="O527" i="6"/>
  <c r="O528" i="6"/>
  <c r="O529" i="6"/>
  <c r="O530" i="6"/>
  <c r="O531" i="6"/>
  <c r="O532" i="6"/>
  <c r="O533" i="6"/>
  <c r="O534" i="6"/>
  <c r="O535" i="6"/>
  <c r="O536" i="6"/>
  <c r="O537" i="6"/>
  <c r="O538" i="6"/>
  <c r="O539" i="6"/>
  <c r="O540" i="6"/>
  <c r="O541" i="6"/>
  <c r="O542" i="6"/>
  <c r="O543" i="6"/>
  <c r="O544" i="6"/>
  <c r="O545" i="6"/>
  <c r="O546" i="6"/>
  <c r="O547" i="6"/>
  <c r="O548" i="6"/>
  <c r="O549" i="6"/>
  <c r="O550" i="6"/>
  <c r="O551" i="6"/>
  <c r="O552" i="6"/>
  <c r="O553" i="6"/>
  <c r="O554" i="6"/>
  <c r="O555" i="6"/>
  <c r="O556" i="6"/>
  <c r="O557" i="6"/>
  <c r="O558" i="6"/>
  <c r="O559" i="6"/>
  <c r="O560" i="6"/>
  <c r="O561" i="6"/>
  <c r="O562" i="6"/>
  <c r="O563" i="6"/>
  <c r="O564" i="6"/>
  <c r="O565" i="6"/>
  <c r="O566" i="6"/>
  <c r="O567" i="6"/>
  <c r="O568" i="6"/>
  <c r="O569" i="6"/>
  <c r="O570" i="6"/>
  <c r="O571" i="6"/>
  <c r="O572" i="6"/>
  <c r="O573" i="6"/>
  <c r="O574" i="6"/>
  <c r="O575" i="6"/>
  <c r="O576" i="6"/>
  <c r="O577" i="6"/>
  <c r="O578" i="6"/>
  <c r="O579" i="6"/>
  <c r="O580" i="6"/>
  <c r="O581" i="6"/>
  <c r="O582" i="6"/>
  <c r="O583" i="6"/>
  <c r="O584" i="6"/>
  <c r="O585" i="6"/>
  <c r="O586" i="6"/>
  <c r="O587" i="6"/>
  <c r="O588" i="6"/>
  <c r="O589" i="6"/>
  <c r="O590" i="6"/>
  <c r="O591" i="6"/>
  <c r="O592" i="6"/>
  <c r="O593" i="6"/>
  <c r="O594" i="6"/>
  <c r="O595" i="6"/>
  <c r="O596" i="6"/>
  <c r="O597" i="6"/>
  <c r="O598" i="6"/>
  <c r="O599" i="6"/>
  <c r="O600" i="6"/>
  <c r="O601" i="6"/>
  <c r="O602" i="6"/>
  <c r="O603" i="6"/>
  <c r="O604" i="6"/>
  <c r="O605" i="6"/>
  <c r="O606" i="6"/>
  <c r="O607" i="6"/>
  <c r="O608" i="6"/>
  <c r="O609" i="6"/>
  <c r="O610" i="6"/>
  <c r="O611" i="6"/>
  <c r="O612" i="6"/>
  <c r="O613" i="6"/>
  <c r="O614" i="6"/>
  <c r="O615" i="6"/>
  <c r="O616" i="6"/>
  <c r="O617" i="6"/>
  <c r="O618" i="6"/>
  <c r="O619" i="6"/>
  <c r="O620" i="6"/>
  <c r="O621" i="6"/>
  <c r="O622" i="6"/>
  <c r="O623" i="6"/>
  <c r="O624" i="6"/>
  <c r="O625" i="6"/>
  <c r="O626" i="6"/>
  <c r="O627" i="6"/>
  <c r="O628" i="6"/>
  <c r="O629" i="6"/>
  <c r="O630" i="6"/>
  <c r="O631" i="6"/>
  <c r="O632" i="6"/>
  <c r="O633" i="6"/>
  <c r="O634" i="6"/>
  <c r="O635" i="6"/>
  <c r="O636" i="6"/>
  <c r="O637" i="6"/>
  <c r="O638" i="6"/>
  <c r="O639" i="6"/>
  <c r="O640" i="6"/>
  <c r="O641" i="6"/>
  <c r="O642" i="6"/>
  <c r="O643" i="6"/>
  <c r="O644" i="6"/>
  <c r="O645" i="6"/>
  <c r="O646" i="6"/>
  <c r="O647" i="6"/>
  <c r="O648" i="6"/>
  <c r="O649" i="6"/>
  <c r="O650" i="6"/>
  <c r="O651" i="6"/>
  <c r="O652" i="6"/>
  <c r="O653" i="6"/>
  <c r="O654" i="6"/>
  <c r="O655" i="6"/>
  <c r="O656" i="6"/>
  <c r="O657" i="6"/>
  <c r="O658" i="6"/>
  <c r="O659" i="6"/>
  <c r="O660" i="6"/>
  <c r="O661" i="6"/>
  <c r="O662" i="6"/>
  <c r="O663" i="6"/>
  <c r="O664" i="6"/>
  <c r="O665" i="6"/>
  <c r="O666" i="6"/>
  <c r="O667" i="6"/>
  <c r="O668" i="6"/>
  <c r="O669" i="6"/>
  <c r="O670" i="6"/>
  <c r="O671" i="6"/>
  <c r="O672" i="6"/>
  <c r="O673" i="6"/>
  <c r="O674" i="6"/>
  <c r="O675" i="6"/>
  <c r="O676" i="6"/>
  <c r="O677" i="6"/>
  <c r="O678" i="6"/>
  <c r="O679" i="6"/>
  <c r="O680" i="6"/>
  <c r="O681" i="6"/>
  <c r="O682" i="6"/>
  <c r="O683" i="6"/>
  <c r="O684" i="6"/>
  <c r="O685" i="6"/>
  <c r="O686" i="6"/>
  <c r="O687" i="6"/>
  <c r="O688" i="6"/>
  <c r="O689" i="6"/>
  <c r="O690" i="6"/>
  <c r="O691" i="6"/>
  <c r="O692" i="6"/>
  <c r="O693" i="6"/>
  <c r="O694" i="6"/>
  <c r="O695" i="6"/>
  <c r="O696" i="6"/>
  <c r="O697" i="6"/>
  <c r="O698" i="6"/>
  <c r="O699" i="6"/>
  <c r="O700" i="6"/>
  <c r="O701" i="6"/>
  <c r="O702" i="6"/>
  <c r="O703" i="6"/>
  <c r="O704" i="6"/>
  <c r="O705" i="6"/>
  <c r="O706" i="6"/>
  <c r="O707" i="6"/>
  <c r="O708" i="6"/>
  <c r="O709" i="6"/>
  <c r="O710" i="6"/>
  <c r="O711" i="6"/>
  <c r="O712" i="6"/>
  <c r="O713" i="6"/>
  <c r="O714" i="6"/>
  <c r="O715" i="6"/>
  <c r="O716" i="6"/>
  <c r="O717" i="6"/>
  <c r="O718" i="6"/>
  <c r="O719" i="6"/>
  <c r="O720" i="6"/>
  <c r="O721" i="6"/>
  <c r="O722" i="6"/>
  <c r="O723" i="6"/>
  <c r="O724" i="6"/>
  <c r="O725" i="6"/>
  <c r="O726" i="6"/>
  <c r="O727" i="6"/>
  <c r="O728" i="6"/>
  <c r="O729" i="6"/>
  <c r="O730" i="6"/>
  <c r="O731" i="6"/>
  <c r="O732" i="6"/>
  <c r="O733" i="6"/>
  <c r="O734" i="6"/>
  <c r="O735" i="6"/>
  <c r="O736" i="6"/>
  <c r="O737" i="6"/>
  <c r="O738" i="6"/>
  <c r="O739" i="6"/>
  <c r="O740" i="6"/>
  <c r="O741" i="6"/>
  <c r="O742" i="6"/>
  <c r="O743" i="6"/>
  <c r="O744" i="6"/>
  <c r="O745" i="6"/>
  <c r="O746" i="6"/>
  <c r="O747" i="6"/>
  <c r="O748" i="6"/>
  <c r="O749" i="6"/>
  <c r="O750" i="6"/>
  <c r="O751" i="6"/>
  <c r="O752" i="6"/>
  <c r="O753" i="6"/>
  <c r="O754" i="6"/>
  <c r="O755" i="6"/>
  <c r="O756" i="6"/>
  <c r="O757" i="6"/>
  <c r="O758" i="6"/>
  <c r="O759" i="6"/>
  <c r="O760" i="6"/>
  <c r="O761" i="6"/>
  <c r="O762" i="6"/>
  <c r="O763" i="6"/>
  <c r="O764" i="6"/>
  <c r="O765" i="6"/>
  <c r="O766" i="6"/>
  <c r="O767" i="6"/>
  <c r="O768" i="6"/>
  <c r="O769" i="6"/>
  <c r="O770" i="6"/>
  <c r="O771" i="6"/>
  <c r="O772" i="6"/>
  <c r="O773" i="6"/>
  <c r="O774" i="6"/>
  <c r="O775" i="6"/>
  <c r="O776" i="6"/>
  <c r="O777" i="6"/>
  <c r="O778" i="6"/>
  <c r="O779" i="6"/>
  <c r="O780" i="6"/>
  <c r="O781" i="6"/>
  <c r="O782" i="6"/>
  <c r="O783" i="6"/>
  <c r="O784" i="6"/>
  <c r="O785" i="6"/>
  <c r="O786" i="6"/>
  <c r="O787" i="6"/>
  <c r="O788" i="6"/>
  <c r="O789" i="6"/>
  <c r="O790" i="6"/>
  <c r="O791" i="6"/>
  <c r="O792" i="6"/>
  <c r="O793" i="6"/>
  <c r="O794" i="6"/>
  <c r="O795" i="6"/>
  <c r="O796" i="6"/>
  <c r="O797" i="6"/>
  <c r="O798" i="6"/>
  <c r="O799" i="6"/>
  <c r="O800" i="6"/>
  <c r="O801" i="6"/>
  <c r="O802" i="6"/>
  <c r="O803" i="6"/>
  <c r="O804" i="6"/>
  <c r="O805" i="6"/>
  <c r="O806" i="6"/>
  <c r="O807" i="6"/>
  <c r="O808" i="6"/>
  <c r="O809" i="6"/>
  <c r="O810" i="6"/>
  <c r="O811" i="6"/>
  <c r="O812" i="6"/>
  <c r="O813" i="6"/>
  <c r="O814" i="6"/>
  <c r="O815" i="6"/>
  <c r="O816" i="6"/>
  <c r="O817" i="6"/>
  <c r="O818" i="6"/>
  <c r="O819" i="6"/>
  <c r="O820" i="6"/>
  <c r="O821" i="6"/>
  <c r="O822" i="6"/>
  <c r="O823" i="6"/>
  <c r="O824" i="6"/>
  <c r="O825" i="6"/>
  <c r="O826" i="6"/>
  <c r="O827" i="6"/>
  <c r="O828" i="6"/>
  <c r="O829" i="6"/>
  <c r="O830" i="6"/>
  <c r="O831" i="6"/>
  <c r="G2" i="5"/>
  <c r="G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G243" i="5"/>
  <c r="G244" i="5"/>
  <c r="G245" i="5"/>
  <c r="G246" i="5"/>
  <c r="G247" i="5"/>
  <c r="G248" i="5"/>
  <c r="G249" i="5"/>
  <c r="G250" i="5"/>
  <c r="G251" i="5"/>
  <c r="G252" i="5"/>
  <c r="G253" i="5"/>
  <c r="G254" i="5"/>
  <c r="G255" i="5"/>
  <c r="G256" i="5"/>
  <c r="G257" i="5"/>
  <c r="G258" i="5"/>
  <c r="G259" i="5"/>
  <c r="G260" i="5"/>
  <c r="G261" i="5"/>
  <c r="G262" i="5"/>
  <c r="G263" i="5"/>
  <c r="G264" i="5"/>
  <c r="G265" i="5"/>
  <c r="G266" i="5"/>
  <c r="G267" i="5"/>
  <c r="G268" i="5"/>
  <c r="G269" i="5"/>
  <c r="G270" i="5"/>
  <c r="G271" i="5"/>
  <c r="G272" i="5"/>
  <c r="G273" i="5"/>
  <c r="G274" i="5"/>
  <c r="G275" i="5"/>
  <c r="G276" i="5"/>
  <c r="G277" i="5"/>
  <c r="G278" i="5"/>
  <c r="G279" i="5"/>
  <c r="G280" i="5"/>
  <c r="G281" i="5"/>
  <c r="G282" i="5"/>
  <c r="G283" i="5"/>
  <c r="G284" i="5"/>
  <c r="G285" i="5"/>
  <c r="G286" i="5"/>
  <c r="G287" i="5"/>
  <c r="G288" i="5"/>
  <c r="G289" i="5"/>
  <c r="G290" i="5"/>
  <c r="G291" i="5"/>
  <c r="G292" i="5"/>
  <c r="G293" i="5"/>
  <c r="G294" i="5"/>
  <c r="G295" i="5"/>
  <c r="G296" i="5"/>
  <c r="G297" i="5"/>
  <c r="G298" i="5"/>
  <c r="G299" i="5"/>
  <c r="G300" i="5"/>
  <c r="G301" i="5"/>
  <c r="G302" i="5"/>
  <c r="G303" i="5"/>
  <c r="G304" i="5"/>
  <c r="G305" i="5"/>
  <c r="G306" i="5"/>
  <c r="G307" i="5"/>
  <c r="G308" i="5"/>
  <c r="G309" i="5"/>
  <c r="G310" i="5"/>
  <c r="G311" i="5"/>
  <c r="G312" i="5"/>
  <c r="G313" i="5"/>
  <c r="G314" i="5"/>
  <c r="G315" i="5"/>
  <c r="G316" i="5"/>
  <c r="G317" i="5"/>
  <c r="G318" i="5"/>
  <c r="G319" i="5"/>
  <c r="G320" i="5"/>
  <c r="G321" i="5"/>
  <c r="G322" i="5"/>
  <c r="G323" i="5"/>
  <c r="G324" i="5"/>
  <c r="G325" i="5"/>
  <c r="G326" i="5"/>
  <c r="G327" i="5"/>
  <c r="G328" i="5"/>
  <c r="G329" i="5"/>
  <c r="G330" i="5"/>
  <c r="G331" i="5"/>
  <c r="G332" i="5"/>
  <c r="G333" i="5"/>
  <c r="G334" i="5"/>
  <c r="G335" i="5"/>
  <c r="G336" i="5"/>
  <c r="G337" i="5"/>
  <c r="G338" i="5"/>
  <c r="G339" i="5"/>
  <c r="G340" i="5"/>
  <c r="G341" i="5"/>
  <c r="G342" i="5"/>
  <c r="G343" i="5"/>
  <c r="G344" i="5"/>
  <c r="G345" i="5"/>
  <c r="G346" i="5"/>
  <c r="G347" i="5"/>
  <c r="G348" i="5"/>
  <c r="G349" i="5"/>
  <c r="G350" i="5"/>
  <c r="G351" i="5"/>
  <c r="G352" i="5"/>
  <c r="G353" i="5"/>
  <c r="G354" i="5"/>
  <c r="G355" i="5"/>
  <c r="G356" i="5"/>
  <c r="G357" i="5"/>
  <c r="G358" i="5"/>
  <c r="G359" i="5"/>
  <c r="G360" i="5"/>
  <c r="G361" i="5"/>
  <c r="G362" i="5"/>
  <c r="G363" i="5"/>
  <c r="G364" i="5"/>
  <c r="G365" i="5"/>
  <c r="G366" i="5"/>
  <c r="G367" i="5"/>
  <c r="G368" i="5"/>
  <c r="G369" i="5"/>
  <c r="G370" i="5"/>
  <c r="G371" i="5"/>
  <c r="G372" i="5"/>
  <c r="G373" i="5"/>
  <c r="G374" i="5"/>
  <c r="G375" i="5"/>
  <c r="G376" i="5"/>
  <c r="G377" i="5"/>
  <c r="G378" i="5"/>
  <c r="G379" i="5"/>
  <c r="G380" i="5"/>
  <c r="G381" i="5"/>
  <c r="G382" i="5"/>
  <c r="G383" i="5"/>
  <c r="G384" i="5"/>
  <c r="G385" i="5"/>
  <c r="G386" i="5"/>
  <c r="G387" i="5"/>
  <c r="G388" i="5"/>
  <c r="G389" i="5"/>
  <c r="G390" i="5"/>
  <c r="G391" i="5"/>
  <c r="G392" i="5"/>
  <c r="G393" i="5"/>
  <c r="G394" i="5"/>
  <c r="G395" i="5"/>
  <c r="G396" i="5"/>
  <c r="G397" i="5"/>
  <c r="G398" i="5"/>
  <c r="G399" i="5"/>
  <c r="G400" i="5"/>
  <c r="G401" i="5"/>
  <c r="G402" i="5"/>
  <c r="G403" i="5"/>
  <c r="G404" i="5"/>
  <c r="G405" i="5"/>
  <c r="G406" i="5"/>
  <c r="G407" i="5"/>
  <c r="G408" i="5"/>
  <c r="G409" i="5"/>
  <c r="G410" i="5"/>
  <c r="G411" i="5"/>
  <c r="G412" i="5"/>
  <c r="G413" i="5"/>
  <c r="G414" i="5"/>
  <c r="G415" i="5"/>
  <c r="G416" i="5"/>
  <c r="G417" i="5"/>
  <c r="G418" i="5"/>
  <c r="G419" i="5"/>
  <c r="G420" i="5"/>
  <c r="G421" i="5"/>
  <c r="G422" i="5"/>
  <c r="G423" i="5"/>
  <c r="G424" i="5"/>
  <c r="G425" i="5"/>
  <c r="G426" i="5"/>
  <c r="G427" i="5"/>
  <c r="G428" i="5"/>
  <c r="G429" i="5"/>
  <c r="G430" i="5"/>
  <c r="G431" i="5"/>
  <c r="G432" i="5"/>
  <c r="G433" i="5"/>
  <c r="G434" i="5"/>
  <c r="G435" i="5"/>
  <c r="G436" i="5"/>
  <c r="G437" i="5"/>
  <c r="G438" i="5"/>
  <c r="G439" i="5"/>
  <c r="G440" i="5"/>
  <c r="G441" i="5"/>
  <c r="G442" i="5"/>
  <c r="G443" i="5"/>
  <c r="G444" i="5"/>
  <c r="G445" i="5"/>
  <c r="G446" i="5"/>
  <c r="G447" i="5"/>
  <c r="G448" i="5"/>
  <c r="G449" i="5"/>
  <c r="G450" i="5"/>
  <c r="G451" i="5"/>
  <c r="G452" i="5"/>
  <c r="G453" i="5"/>
  <c r="G454" i="5"/>
  <c r="G455" i="5"/>
  <c r="G456" i="5"/>
  <c r="G457" i="5"/>
  <c r="G458" i="5"/>
  <c r="G459" i="5"/>
  <c r="G460" i="5"/>
  <c r="G461" i="5"/>
  <c r="G462" i="5"/>
  <c r="G463" i="5"/>
  <c r="G464" i="5"/>
  <c r="G465" i="5"/>
  <c r="G466" i="5"/>
  <c r="G467" i="5"/>
  <c r="G468" i="5"/>
  <c r="G469" i="5"/>
  <c r="G470" i="5"/>
  <c r="G471" i="5"/>
  <c r="G472" i="5"/>
  <c r="G473" i="5"/>
  <c r="G474" i="5"/>
  <c r="G475" i="5"/>
  <c r="G476" i="5"/>
  <c r="G477" i="5"/>
  <c r="G478" i="5"/>
  <c r="G479" i="5"/>
  <c r="G480" i="5"/>
  <c r="G481" i="5"/>
  <c r="G482" i="5"/>
  <c r="G483" i="5"/>
  <c r="G484" i="5"/>
  <c r="G485" i="5"/>
  <c r="G486" i="5"/>
  <c r="G487" i="5"/>
  <c r="G488" i="5"/>
  <c r="G489" i="5"/>
  <c r="G490" i="5"/>
  <c r="G491" i="5"/>
  <c r="G492" i="5"/>
  <c r="G493" i="5"/>
  <c r="G494" i="5"/>
  <c r="G495" i="5"/>
  <c r="G496" i="5"/>
  <c r="G497" i="5"/>
  <c r="G498" i="5"/>
  <c r="G499" i="5"/>
  <c r="G500" i="5"/>
  <c r="G501" i="5"/>
  <c r="G502" i="5"/>
  <c r="G503" i="5"/>
  <c r="G504" i="5"/>
  <c r="G505" i="5"/>
  <c r="G506" i="5"/>
  <c r="G507" i="5"/>
  <c r="G508" i="5"/>
  <c r="G509" i="5"/>
  <c r="G510" i="5"/>
  <c r="G511" i="5"/>
  <c r="G512" i="5"/>
  <c r="G513" i="5"/>
  <c r="G514" i="5"/>
  <c r="G515" i="5"/>
  <c r="G516" i="5"/>
  <c r="G517" i="5"/>
  <c r="G518" i="5"/>
  <c r="G519" i="5"/>
  <c r="G520" i="5"/>
  <c r="G521" i="5"/>
  <c r="G522" i="5"/>
  <c r="G523" i="5"/>
  <c r="G524" i="5"/>
  <c r="G525" i="5"/>
  <c r="G526" i="5"/>
  <c r="G527" i="5"/>
  <c r="G528" i="5"/>
  <c r="G529" i="5"/>
  <c r="G530" i="5"/>
  <c r="G531" i="5"/>
  <c r="G532" i="5"/>
  <c r="G533" i="5"/>
  <c r="G534" i="5"/>
  <c r="G535" i="5"/>
  <c r="G536" i="5"/>
  <c r="G537" i="5"/>
  <c r="G538" i="5"/>
  <c r="G539" i="5"/>
  <c r="G540" i="5"/>
  <c r="G541" i="5"/>
  <c r="G542" i="5"/>
  <c r="G543" i="5"/>
  <c r="G544" i="5"/>
  <c r="G545" i="5"/>
  <c r="G546" i="5"/>
  <c r="G547" i="5"/>
  <c r="G548" i="5"/>
  <c r="G549" i="5"/>
  <c r="G550" i="5"/>
  <c r="G551" i="5"/>
  <c r="G552" i="5"/>
  <c r="G553" i="5"/>
  <c r="G554" i="5"/>
  <c r="G555" i="5"/>
  <c r="G556" i="5"/>
  <c r="G557" i="5"/>
  <c r="G558" i="5"/>
  <c r="G559" i="5"/>
  <c r="G560" i="5"/>
  <c r="G561" i="5"/>
  <c r="G562" i="5"/>
  <c r="G563" i="5"/>
  <c r="G564" i="5"/>
  <c r="G565" i="5"/>
  <c r="G566" i="5"/>
  <c r="G567" i="5"/>
  <c r="G568" i="5"/>
  <c r="G569" i="5"/>
  <c r="G570" i="5"/>
  <c r="G571" i="5"/>
  <c r="G572" i="5"/>
  <c r="G573" i="5"/>
  <c r="G574" i="5"/>
  <c r="G575" i="5"/>
  <c r="G576" i="5"/>
  <c r="G577" i="5"/>
  <c r="G578" i="5"/>
  <c r="G579" i="5"/>
  <c r="G580" i="5"/>
  <c r="G581" i="5"/>
  <c r="G582" i="5"/>
  <c r="G583" i="5"/>
  <c r="G584" i="5"/>
  <c r="G585" i="5"/>
  <c r="G586" i="5"/>
  <c r="G587" i="5"/>
  <c r="G588" i="5"/>
  <c r="G589" i="5"/>
  <c r="G590" i="5"/>
  <c r="G591" i="5"/>
  <c r="G592" i="5"/>
  <c r="G593" i="5"/>
  <c r="G594" i="5"/>
  <c r="G595" i="5"/>
  <c r="G596" i="5"/>
  <c r="G597" i="5"/>
  <c r="G598" i="5"/>
  <c r="G599" i="5"/>
  <c r="G600" i="5"/>
  <c r="G601" i="5"/>
  <c r="G602" i="5"/>
  <c r="G603" i="5"/>
  <c r="G604" i="5"/>
  <c r="G605" i="5"/>
  <c r="G606" i="5"/>
  <c r="G607" i="5"/>
  <c r="G608" i="5"/>
  <c r="G609" i="5"/>
  <c r="G610" i="5"/>
  <c r="G611" i="5"/>
  <c r="G612" i="5"/>
  <c r="G613" i="5"/>
  <c r="G614" i="5"/>
  <c r="G615" i="5"/>
  <c r="G616" i="5"/>
  <c r="G617" i="5"/>
  <c r="G618" i="5"/>
  <c r="G619" i="5"/>
  <c r="G620" i="5"/>
  <c r="G621" i="5"/>
  <c r="G622" i="5"/>
  <c r="G623" i="5"/>
  <c r="G624" i="5"/>
  <c r="G625" i="5"/>
  <c r="G626" i="5"/>
  <c r="G627" i="5"/>
  <c r="G628" i="5"/>
  <c r="G629" i="5"/>
  <c r="G630" i="5"/>
  <c r="G631" i="5"/>
  <c r="G632" i="5"/>
  <c r="G633" i="5"/>
  <c r="G634" i="5"/>
  <c r="G635" i="5"/>
  <c r="G636" i="5"/>
  <c r="G637" i="5"/>
  <c r="G638" i="5"/>
  <c r="G639" i="5"/>
  <c r="G640" i="5"/>
  <c r="G641" i="5"/>
  <c r="G642" i="5"/>
  <c r="G643" i="5"/>
  <c r="G644" i="5"/>
  <c r="G645" i="5"/>
  <c r="G646" i="5"/>
  <c r="G647" i="5"/>
  <c r="G648" i="5"/>
  <c r="G649" i="5"/>
  <c r="G650" i="5"/>
  <c r="G651" i="5"/>
  <c r="G652" i="5"/>
  <c r="G653" i="5"/>
  <c r="G654" i="5"/>
  <c r="G655" i="5"/>
  <c r="G656" i="5"/>
  <c r="G657" i="5"/>
  <c r="G658" i="5"/>
  <c r="G659" i="5"/>
  <c r="G660" i="5"/>
  <c r="G661" i="5"/>
  <c r="G662" i="5"/>
  <c r="G663" i="5"/>
  <c r="G664" i="5"/>
  <c r="G665" i="5"/>
  <c r="G666" i="5"/>
  <c r="G667" i="5"/>
  <c r="G668" i="5"/>
  <c r="G669" i="5"/>
  <c r="G670" i="5"/>
  <c r="G671" i="5"/>
  <c r="G672" i="5"/>
  <c r="G673" i="5"/>
  <c r="G674" i="5"/>
  <c r="G675" i="5"/>
  <c r="G676" i="5"/>
  <c r="G677" i="5"/>
  <c r="G678" i="5"/>
  <c r="G679" i="5"/>
  <c r="G680" i="5"/>
  <c r="G681" i="5"/>
  <c r="G682" i="5"/>
  <c r="G683" i="5"/>
  <c r="G684" i="5"/>
  <c r="G685" i="5"/>
  <c r="G686" i="5"/>
  <c r="G687" i="5"/>
  <c r="G688" i="5"/>
  <c r="G689" i="5"/>
  <c r="G690" i="5"/>
  <c r="G691" i="5"/>
  <c r="G692" i="5"/>
  <c r="G693" i="5"/>
  <c r="G694" i="5"/>
  <c r="G695" i="5"/>
  <c r="G696" i="5"/>
  <c r="G697" i="5"/>
  <c r="G698" i="5"/>
  <c r="G699" i="5"/>
  <c r="G700" i="5"/>
  <c r="G701" i="5"/>
  <c r="G702" i="5"/>
  <c r="G703" i="5"/>
  <c r="G704" i="5"/>
  <c r="G705" i="5"/>
  <c r="G706" i="5"/>
  <c r="G707" i="5"/>
  <c r="G708" i="5"/>
  <c r="G709" i="5"/>
  <c r="G710" i="5"/>
  <c r="G711" i="5"/>
  <c r="G712" i="5"/>
  <c r="G713" i="5"/>
  <c r="G714" i="5"/>
  <c r="G715" i="5"/>
  <c r="G716" i="5"/>
  <c r="G717" i="5"/>
  <c r="G718" i="5"/>
  <c r="G719" i="5"/>
  <c r="G720" i="5"/>
  <c r="G721" i="5"/>
  <c r="G722" i="5"/>
  <c r="G723" i="5"/>
  <c r="G724" i="5"/>
  <c r="G725" i="5"/>
  <c r="G726" i="5"/>
  <c r="G727" i="5"/>
  <c r="G728" i="5"/>
  <c r="G729" i="5"/>
  <c r="G730" i="5"/>
  <c r="G731" i="5"/>
  <c r="G732" i="5"/>
  <c r="G733" i="5"/>
  <c r="G734" i="5"/>
  <c r="G735" i="5"/>
  <c r="G736" i="5"/>
  <c r="G737" i="5"/>
  <c r="G738" i="5"/>
  <c r="G739" i="5"/>
  <c r="G740" i="5"/>
  <c r="G741" i="5"/>
  <c r="G742" i="5"/>
  <c r="G743" i="5"/>
  <c r="G744" i="5"/>
  <c r="G745" i="5"/>
  <c r="G746" i="5"/>
  <c r="G747" i="5"/>
  <c r="G748" i="5"/>
  <c r="G749" i="5"/>
  <c r="G750" i="5"/>
  <c r="G751" i="5"/>
  <c r="G752" i="5"/>
  <c r="G753" i="5"/>
  <c r="G754" i="5"/>
  <c r="G755" i="5"/>
  <c r="G756" i="5"/>
  <c r="G757" i="5"/>
  <c r="G758" i="5"/>
  <c r="G759" i="5"/>
  <c r="G760" i="5"/>
  <c r="G761" i="5"/>
  <c r="G762" i="5"/>
  <c r="G763" i="5"/>
  <c r="G764" i="5"/>
  <c r="G765" i="5"/>
  <c r="G766" i="5"/>
  <c r="G767" i="5"/>
  <c r="G768" i="5"/>
  <c r="G769" i="5"/>
  <c r="G770" i="5"/>
  <c r="G771" i="5"/>
  <c r="G772" i="5"/>
  <c r="G773" i="5"/>
  <c r="G774" i="5"/>
  <c r="G775" i="5"/>
  <c r="G776" i="5"/>
  <c r="G777" i="5"/>
  <c r="G778" i="5"/>
  <c r="G779" i="5"/>
  <c r="G780" i="5"/>
  <c r="G781" i="5"/>
  <c r="G782" i="5"/>
  <c r="G783" i="5"/>
  <c r="G784" i="5"/>
  <c r="G785" i="5"/>
  <c r="G786" i="5"/>
  <c r="G787" i="5"/>
  <c r="G788" i="5"/>
  <c r="G789" i="5"/>
  <c r="G790" i="5"/>
  <c r="G791" i="5"/>
  <c r="G792" i="5"/>
  <c r="G793" i="5"/>
  <c r="G794" i="5"/>
  <c r="G795" i="5"/>
  <c r="G796" i="5"/>
  <c r="G797" i="5"/>
  <c r="G798" i="5"/>
  <c r="G799" i="5"/>
  <c r="G800" i="5"/>
  <c r="G801" i="5"/>
  <c r="G802" i="5"/>
  <c r="G803" i="5"/>
  <c r="G804" i="5"/>
  <c r="G805" i="5"/>
  <c r="G806" i="5"/>
  <c r="G807" i="5"/>
  <c r="G808" i="5"/>
  <c r="G809" i="5"/>
  <c r="G810" i="5"/>
  <c r="G811" i="5"/>
  <c r="G812" i="5"/>
  <c r="G813" i="5"/>
  <c r="G814" i="5"/>
  <c r="G815" i="5"/>
  <c r="G816" i="5"/>
  <c r="G817" i="5"/>
  <c r="G818" i="5"/>
  <c r="G819" i="5"/>
  <c r="G820" i="5"/>
  <c r="G821" i="5"/>
  <c r="G822" i="5"/>
  <c r="G823" i="5"/>
  <c r="G824" i="5"/>
  <c r="G825" i="5"/>
  <c r="G826" i="5"/>
  <c r="G827" i="5"/>
  <c r="G828" i="5"/>
  <c r="G829" i="5"/>
  <c r="G830" i="5"/>
  <c r="G831" i="5"/>
  <c r="G832" i="5"/>
  <c r="G833" i="5"/>
  <c r="G834" i="5"/>
  <c r="G835" i="5"/>
  <c r="G836" i="5"/>
  <c r="G837" i="5"/>
  <c r="G838" i="5"/>
  <c r="G839" i="5"/>
  <c r="G840" i="5"/>
  <c r="G841" i="5"/>
  <c r="G842" i="5"/>
  <c r="G843" i="5"/>
  <c r="G844" i="5"/>
  <c r="G845" i="5"/>
  <c r="G846" i="5"/>
  <c r="G847" i="5"/>
  <c r="G848" i="5"/>
  <c r="G849" i="5"/>
  <c r="G850" i="5"/>
  <c r="G851" i="5"/>
  <c r="G852" i="5"/>
  <c r="G853" i="5"/>
  <c r="G854" i="5"/>
  <c r="G855" i="5"/>
  <c r="G856" i="5"/>
  <c r="G857" i="5"/>
  <c r="G858" i="5"/>
  <c r="G859" i="5"/>
  <c r="G860" i="5"/>
  <c r="G861" i="5"/>
  <c r="G862" i="5"/>
  <c r="G863" i="5"/>
  <c r="G864" i="5"/>
  <c r="G865" i="5"/>
  <c r="G866" i="5"/>
  <c r="G867" i="5"/>
  <c r="G868" i="5"/>
  <c r="G869" i="5"/>
  <c r="G870" i="5"/>
  <c r="G871" i="5"/>
  <c r="G872" i="5"/>
  <c r="G873" i="5"/>
  <c r="G874" i="5"/>
  <c r="G875" i="5"/>
  <c r="G876" i="5"/>
  <c r="G877" i="5"/>
  <c r="G878" i="5"/>
  <c r="G879" i="5"/>
  <c r="G880" i="5"/>
  <c r="G881" i="5"/>
  <c r="G882" i="5"/>
  <c r="G883" i="5"/>
  <c r="G884" i="5"/>
  <c r="G885" i="5"/>
  <c r="G886" i="5"/>
  <c r="G887" i="5"/>
  <c r="G888" i="5"/>
  <c r="G889" i="5"/>
  <c r="G890" i="5"/>
  <c r="G891" i="5"/>
  <c r="G892" i="5"/>
  <c r="G893" i="5"/>
  <c r="G894" i="5"/>
  <c r="G895" i="5"/>
  <c r="G896" i="5"/>
  <c r="G897" i="5"/>
  <c r="G898" i="5"/>
  <c r="G899" i="5"/>
  <c r="G900" i="5"/>
  <c r="G901" i="5"/>
  <c r="G902" i="5"/>
  <c r="G903" i="5"/>
  <c r="G904" i="5"/>
  <c r="G905" i="5"/>
  <c r="G906" i="5"/>
  <c r="G907" i="5"/>
  <c r="G908" i="5"/>
  <c r="G909" i="5"/>
  <c r="G910" i="5"/>
  <c r="G911" i="5"/>
  <c r="G912" i="5"/>
  <c r="G913" i="5"/>
  <c r="G914" i="5"/>
  <c r="G915" i="5"/>
  <c r="G916" i="5"/>
  <c r="G917" i="5"/>
  <c r="G918" i="5"/>
  <c r="G919" i="5"/>
  <c r="G920" i="5"/>
  <c r="G921" i="5"/>
  <c r="G922" i="5"/>
  <c r="G923" i="5"/>
  <c r="G924" i="5"/>
  <c r="G925" i="5"/>
  <c r="G926" i="5"/>
  <c r="G927" i="5"/>
  <c r="G928" i="5"/>
  <c r="G929" i="5"/>
  <c r="G930" i="5"/>
  <c r="G931" i="5"/>
  <c r="G932" i="5"/>
  <c r="G933" i="5"/>
  <c r="G934" i="5"/>
  <c r="G935" i="5"/>
  <c r="G936" i="5"/>
  <c r="G937" i="5"/>
  <c r="G938" i="5"/>
  <c r="G939" i="5"/>
  <c r="G940" i="5"/>
  <c r="G941" i="5"/>
  <c r="G942" i="5"/>
  <c r="G943" i="5"/>
  <c r="G944" i="5"/>
  <c r="G945" i="5"/>
  <c r="G946" i="5"/>
  <c r="G947" i="5"/>
  <c r="G948" i="5"/>
  <c r="G949" i="5"/>
  <c r="G950" i="5"/>
  <c r="G951" i="5"/>
  <c r="G952" i="5"/>
  <c r="G953" i="5"/>
  <c r="G954" i="5"/>
  <c r="G955" i="5"/>
  <c r="G956" i="5"/>
  <c r="G957" i="5"/>
  <c r="G958" i="5"/>
  <c r="G959" i="5"/>
  <c r="G960" i="5"/>
  <c r="G961" i="5"/>
  <c r="G962" i="5"/>
  <c r="G963" i="5"/>
  <c r="G964" i="5"/>
  <c r="G965" i="5"/>
  <c r="G966" i="5"/>
  <c r="G967" i="5"/>
  <c r="G968" i="5"/>
  <c r="G969" i="5"/>
  <c r="G970" i="5"/>
  <c r="G971" i="5"/>
  <c r="G972" i="5"/>
  <c r="G973" i="5"/>
  <c r="G974" i="5"/>
  <c r="G975" i="5"/>
  <c r="G976" i="5"/>
  <c r="G977" i="5"/>
  <c r="G978" i="5"/>
  <c r="G979" i="5"/>
  <c r="G980" i="5"/>
  <c r="G981" i="5"/>
  <c r="G982" i="5"/>
  <c r="G983" i="5"/>
  <c r="G984" i="5"/>
  <c r="G985" i="5"/>
  <c r="G986" i="5"/>
  <c r="G987" i="5"/>
  <c r="G988" i="5"/>
  <c r="G989" i="5"/>
  <c r="G990" i="5"/>
  <c r="G991" i="5"/>
  <c r="G992" i="5"/>
  <c r="G993" i="5"/>
  <c r="G994" i="5"/>
  <c r="G995" i="5"/>
  <c r="G996" i="5"/>
  <c r="G997" i="5"/>
  <c r="G998" i="5"/>
  <c r="G999" i="5"/>
  <c r="G1000" i="5"/>
  <c r="G1001" i="5"/>
  <c r="G1002" i="5"/>
  <c r="G1003" i="5"/>
  <c r="G1004" i="5"/>
  <c r="G1005" i="5"/>
  <c r="G1006" i="5"/>
  <c r="G1007" i="5"/>
  <c r="G1008" i="5"/>
  <c r="G1009" i="5"/>
  <c r="G1010" i="5"/>
  <c r="G1011" i="5"/>
  <c r="G1012" i="5"/>
  <c r="G1013" i="5"/>
  <c r="G1014" i="5"/>
  <c r="G1015" i="5"/>
  <c r="G1016" i="5"/>
  <c r="G1017" i="5"/>
  <c r="G1018" i="5"/>
  <c r="G1019" i="5"/>
  <c r="G1020" i="5"/>
  <c r="G1021" i="5"/>
  <c r="G1022" i="5"/>
  <c r="G1023" i="5"/>
  <c r="G1024" i="5"/>
  <c r="G1025" i="5"/>
  <c r="G1026" i="5"/>
  <c r="G1027" i="5"/>
  <c r="G1028" i="5"/>
  <c r="G1029" i="5"/>
  <c r="G1030" i="5"/>
  <c r="G1031" i="5"/>
  <c r="G1032" i="5"/>
  <c r="G1033" i="5"/>
  <c r="G1034" i="5"/>
  <c r="G1035" i="5"/>
  <c r="G1036" i="5"/>
  <c r="G1037" i="5"/>
  <c r="G1038" i="5"/>
  <c r="G1039" i="5"/>
  <c r="G1040" i="5"/>
  <c r="G1041" i="5"/>
  <c r="G1042" i="5"/>
  <c r="G1043" i="5"/>
  <c r="G1044" i="5"/>
  <c r="G1045" i="5"/>
  <c r="G1046" i="5"/>
  <c r="G1047" i="5"/>
  <c r="G1048" i="5"/>
  <c r="G1049" i="5"/>
  <c r="G1050" i="5"/>
  <c r="G1051" i="5"/>
  <c r="G1052" i="5"/>
  <c r="G1053" i="5"/>
  <c r="G1054" i="5"/>
  <c r="G1055" i="5"/>
  <c r="G1056" i="5"/>
  <c r="G1057" i="5"/>
  <c r="G1058" i="5"/>
  <c r="G1059" i="5"/>
  <c r="G1060" i="5"/>
  <c r="G1061" i="5"/>
  <c r="G1062" i="5"/>
  <c r="G1063" i="5"/>
  <c r="G1064" i="5"/>
  <c r="G1065" i="5"/>
  <c r="G1066" i="5"/>
  <c r="G1067" i="5"/>
  <c r="G1068" i="5"/>
  <c r="G1069" i="5"/>
  <c r="G1070" i="5"/>
  <c r="G1071" i="5"/>
  <c r="G1072" i="5"/>
  <c r="G1073" i="5"/>
  <c r="G1074" i="5"/>
  <c r="G1075" i="5"/>
  <c r="G1076" i="5"/>
  <c r="G1077" i="5"/>
  <c r="G1078" i="5"/>
  <c r="G1079" i="5"/>
  <c r="G1080" i="5"/>
  <c r="G1081" i="5"/>
  <c r="G1082" i="5"/>
  <c r="G1083" i="5"/>
  <c r="G1084" i="5"/>
  <c r="G1085" i="5"/>
  <c r="G1086" i="5"/>
  <c r="G1087" i="5"/>
  <c r="G1088" i="5"/>
  <c r="G1089" i="5"/>
  <c r="G1090" i="5"/>
  <c r="G1091" i="5"/>
  <c r="G1092" i="5"/>
  <c r="G1093" i="5"/>
  <c r="G1094" i="5"/>
  <c r="G1095" i="5"/>
  <c r="G1096" i="5"/>
  <c r="G1097" i="5"/>
  <c r="G1098" i="5"/>
  <c r="G1099" i="5"/>
  <c r="G1100" i="5"/>
  <c r="G1101" i="5"/>
  <c r="G1102" i="5"/>
  <c r="G1103" i="5"/>
  <c r="G1104" i="5"/>
  <c r="G1105" i="5"/>
  <c r="G1106" i="5"/>
  <c r="G1107" i="5"/>
  <c r="G1108" i="5"/>
  <c r="G1109" i="5"/>
  <c r="G1110" i="5"/>
  <c r="G1111" i="5"/>
  <c r="G1112" i="5"/>
  <c r="G1113" i="5"/>
  <c r="G1114" i="5"/>
  <c r="G1115" i="5"/>
  <c r="G1116" i="5"/>
  <c r="G1117" i="5"/>
  <c r="G1118" i="5"/>
  <c r="G1119" i="5"/>
  <c r="G1120" i="5"/>
  <c r="G1121" i="5"/>
  <c r="G1122" i="5"/>
  <c r="G1123" i="5"/>
  <c r="G1124" i="5"/>
  <c r="G1125" i="5"/>
  <c r="G1126" i="5"/>
  <c r="G1127" i="5"/>
  <c r="G1128" i="5"/>
  <c r="G1129" i="5"/>
  <c r="G1130" i="5"/>
  <c r="G1131" i="5"/>
  <c r="G1132" i="5"/>
  <c r="G1133" i="5"/>
  <c r="G1134" i="5"/>
  <c r="G1135" i="5"/>
  <c r="G1136" i="5"/>
  <c r="G1137" i="5"/>
  <c r="G1138" i="5"/>
  <c r="G1139" i="5"/>
  <c r="G1140" i="5"/>
  <c r="G1141" i="5"/>
  <c r="G1142" i="5"/>
  <c r="G1143" i="5"/>
  <c r="G1144" i="5"/>
  <c r="G1145" i="5"/>
  <c r="G1146" i="5"/>
  <c r="G1147" i="5"/>
  <c r="G1148" i="5"/>
  <c r="G1149" i="5"/>
  <c r="G1150" i="5"/>
  <c r="G1151" i="5"/>
  <c r="G1152" i="5"/>
  <c r="G1153" i="5"/>
  <c r="G1154" i="5"/>
  <c r="G1155" i="5"/>
  <c r="G1156" i="5"/>
  <c r="G1157" i="5"/>
  <c r="G1158" i="5"/>
  <c r="G1159" i="5"/>
  <c r="G1160" i="5"/>
  <c r="G1161" i="5"/>
  <c r="G1162" i="5"/>
  <c r="G1163" i="5"/>
  <c r="G1164" i="5"/>
  <c r="G1165" i="5"/>
  <c r="G1166" i="5"/>
  <c r="G1167" i="5"/>
  <c r="G1168" i="5"/>
  <c r="G1169" i="5"/>
  <c r="G1170" i="5"/>
  <c r="G1171" i="5"/>
  <c r="G1172" i="5"/>
  <c r="G1173" i="5"/>
  <c r="G1174" i="5"/>
  <c r="G1175" i="5"/>
  <c r="G1176" i="5"/>
  <c r="G1177" i="5"/>
  <c r="G1178" i="5"/>
  <c r="G1179" i="5"/>
  <c r="G1180" i="5"/>
  <c r="G1181" i="5"/>
  <c r="G1182" i="5"/>
  <c r="G1183" i="5"/>
  <c r="G1184" i="5"/>
  <c r="G1185" i="5"/>
  <c r="G1186" i="5"/>
  <c r="G1187" i="5"/>
  <c r="G1188" i="5"/>
  <c r="G1189" i="5"/>
  <c r="G1190" i="5"/>
  <c r="G1191" i="5"/>
  <c r="G1192" i="5"/>
  <c r="G1193" i="5"/>
  <c r="G1194" i="5"/>
  <c r="G1195" i="5"/>
  <c r="G1196" i="5"/>
  <c r="G1197" i="5"/>
  <c r="G1198" i="5"/>
  <c r="G1199" i="5"/>
  <c r="G1200" i="5"/>
  <c r="G1201" i="5"/>
  <c r="G1202" i="5"/>
  <c r="G1203" i="5"/>
  <c r="G1204" i="5"/>
  <c r="G1205" i="5"/>
  <c r="G1206" i="5"/>
  <c r="G1207" i="5"/>
  <c r="G1208" i="5"/>
  <c r="G1209" i="5"/>
  <c r="G1210" i="5"/>
  <c r="G1211" i="5"/>
  <c r="G1212" i="5"/>
  <c r="G1213" i="5"/>
  <c r="G1214" i="5"/>
  <c r="G1215" i="5"/>
  <c r="G1216" i="5"/>
  <c r="G1217" i="5"/>
  <c r="G1218" i="5"/>
  <c r="G1219" i="5"/>
  <c r="G1220" i="5"/>
  <c r="G1221" i="5"/>
  <c r="G1222" i="5"/>
  <c r="G1223" i="5"/>
  <c r="G1224" i="5"/>
  <c r="G1225" i="5"/>
  <c r="G1226" i="5"/>
  <c r="G1227" i="5"/>
  <c r="G1228" i="5"/>
  <c r="G1229" i="5"/>
  <c r="G1230" i="5"/>
  <c r="G1231" i="5"/>
  <c r="G1232" i="5"/>
  <c r="G1233" i="5"/>
  <c r="G1234" i="5"/>
  <c r="G1235" i="5"/>
  <c r="G1236" i="5"/>
  <c r="G1237" i="5"/>
  <c r="G1238" i="5"/>
  <c r="G1239" i="5"/>
  <c r="G1240" i="5"/>
  <c r="G1241" i="5"/>
  <c r="G1242" i="5"/>
  <c r="G1243" i="5"/>
  <c r="G1244" i="5"/>
  <c r="G1245" i="5"/>
  <c r="G1246" i="5"/>
  <c r="G1247" i="5"/>
  <c r="G1248" i="5"/>
  <c r="G1249" i="5"/>
  <c r="G1250" i="5"/>
  <c r="G1251" i="5"/>
  <c r="G1252" i="5"/>
  <c r="G1253" i="5"/>
  <c r="G1254" i="5"/>
  <c r="G1255" i="5"/>
  <c r="G1256" i="5"/>
  <c r="G1257" i="5"/>
  <c r="G1258" i="5"/>
  <c r="G1259" i="5"/>
  <c r="G1260" i="5"/>
  <c r="G1261" i="5"/>
  <c r="G1262" i="5"/>
  <c r="G1263" i="5"/>
  <c r="G1264" i="5"/>
  <c r="G1265" i="5"/>
  <c r="G1266" i="5"/>
  <c r="G1267" i="5"/>
  <c r="G1268" i="5"/>
  <c r="G1269" i="5"/>
  <c r="G1270" i="5"/>
  <c r="G1271" i="5"/>
  <c r="G1272" i="5"/>
  <c r="G1273" i="5"/>
  <c r="G1274" i="5"/>
  <c r="G1275" i="5"/>
  <c r="G1276" i="5"/>
  <c r="G1277" i="5"/>
  <c r="G1278" i="5"/>
  <c r="G1279" i="5"/>
  <c r="G1280" i="5"/>
  <c r="G1281" i="5"/>
  <c r="G1282" i="5"/>
  <c r="G1283" i="5"/>
  <c r="G1284" i="5"/>
  <c r="G1285" i="5"/>
  <c r="G1286" i="5"/>
  <c r="G1287" i="5"/>
  <c r="G1288" i="5"/>
  <c r="G1289" i="5"/>
  <c r="G1290" i="5"/>
  <c r="G1291" i="5"/>
  <c r="G1292" i="5"/>
  <c r="G1293" i="5"/>
  <c r="G1294" i="5"/>
  <c r="G1295" i="5"/>
  <c r="G1296" i="5"/>
  <c r="G1297" i="5"/>
  <c r="G1298" i="5"/>
  <c r="G1299" i="5"/>
  <c r="G1300" i="5"/>
  <c r="G1301" i="5"/>
  <c r="G1302" i="5"/>
  <c r="G1303" i="5"/>
  <c r="G1304" i="5"/>
  <c r="G1305" i="5"/>
  <c r="G1306" i="5"/>
  <c r="G1307" i="5"/>
  <c r="G1308" i="5"/>
  <c r="G1309" i="5"/>
  <c r="G1310" i="5"/>
  <c r="G1311" i="5"/>
  <c r="G1312" i="5"/>
  <c r="G1313" i="5"/>
  <c r="G1314" i="5"/>
  <c r="G1315" i="5"/>
  <c r="G1316" i="5"/>
  <c r="G1317" i="5"/>
  <c r="G1318" i="5"/>
  <c r="G1319" i="5"/>
  <c r="G1320" i="5"/>
  <c r="G1321" i="5"/>
  <c r="G1322" i="5"/>
  <c r="G1323" i="5"/>
  <c r="G1324" i="5"/>
  <c r="G1325" i="5"/>
  <c r="G1326" i="5"/>
  <c r="G1327" i="5"/>
  <c r="G1328" i="5"/>
  <c r="G1329" i="5"/>
  <c r="G1330" i="5"/>
  <c r="G1331" i="5"/>
  <c r="G1332" i="5"/>
  <c r="G1333" i="5"/>
  <c r="G1334" i="5"/>
  <c r="G1335" i="5"/>
  <c r="G1336" i="5"/>
  <c r="G1337" i="5"/>
  <c r="G1338" i="5"/>
  <c r="G1339" i="5"/>
  <c r="G1340" i="5"/>
  <c r="G1341" i="5"/>
  <c r="G1342" i="5"/>
  <c r="G1343" i="5"/>
  <c r="G1344" i="5"/>
  <c r="G1345" i="5"/>
  <c r="G1346" i="5"/>
  <c r="G1347" i="5"/>
  <c r="G1348" i="5"/>
  <c r="G1349" i="5"/>
  <c r="G1350" i="5"/>
  <c r="G1351" i="5"/>
  <c r="G1352" i="5"/>
  <c r="G1353" i="5"/>
  <c r="G1354" i="5"/>
  <c r="G1355" i="5"/>
  <c r="G1356" i="5"/>
  <c r="G1357" i="5"/>
  <c r="G1358" i="5"/>
  <c r="G1359" i="5"/>
  <c r="G1360" i="5"/>
  <c r="G1361" i="5"/>
  <c r="G1362" i="5"/>
  <c r="G1363" i="5"/>
  <c r="G1364" i="5"/>
  <c r="G1365" i="5"/>
  <c r="G1366" i="5"/>
  <c r="G1367" i="5"/>
  <c r="G1368" i="5"/>
  <c r="G1369" i="5"/>
  <c r="G1370" i="5"/>
  <c r="G1371" i="5"/>
  <c r="G1372" i="5"/>
  <c r="G1373" i="5"/>
  <c r="G1374" i="5"/>
  <c r="G1375" i="5"/>
  <c r="G1376" i="5"/>
  <c r="G1377" i="5"/>
  <c r="G1378" i="5"/>
  <c r="G1379" i="5"/>
  <c r="G1380" i="5"/>
  <c r="G1381" i="5"/>
  <c r="G1382" i="5"/>
  <c r="G1383" i="5"/>
  <c r="G1384" i="5"/>
  <c r="G1385" i="5"/>
  <c r="G1386" i="5"/>
  <c r="G1387" i="5"/>
  <c r="G1388" i="5"/>
  <c r="G1389" i="5"/>
  <c r="G1390" i="5"/>
  <c r="G1391" i="5"/>
  <c r="G1392" i="5"/>
  <c r="G1393" i="5"/>
  <c r="G1394" i="5"/>
  <c r="G1395" i="5"/>
  <c r="G1396" i="5"/>
  <c r="G1397" i="5"/>
  <c r="G1398" i="5"/>
  <c r="G1399" i="5"/>
  <c r="G1400" i="5"/>
  <c r="G1401" i="5"/>
  <c r="G1402" i="5"/>
  <c r="G1403" i="5"/>
  <c r="G1404" i="5"/>
  <c r="G1405" i="5"/>
  <c r="G1406" i="5"/>
  <c r="G1407" i="5"/>
  <c r="G1408" i="5"/>
  <c r="G1409" i="5"/>
  <c r="G1410" i="5"/>
  <c r="G1411" i="5"/>
  <c r="G1412" i="5"/>
  <c r="G1413" i="5"/>
  <c r="G1414" i="5"/>
  <c r="G1415" i="5"/>
  <c r="G1416" i="5"/>
  <c r="G1417" i="5"/>
  <c r="G1418" i="5"/>
  <c r="G1419" i="5"/>
  <c r="G1420" i="5"/>
  <c r="G1421" i="5"/>
  <c r="G1422" i="5"/>
  <c r="G1423" i="5"/>
  <c r="G1424" i="5"/>
  <c r="G1425" i="5"/>
  <c r="G1426" i="5"/>
  <c r="G1427" i="5"/>
  <c r="G1428" i="5"/>
  <c r="G1429" i="5"/>
  <c r="G1430" i="5"/>
  <c r="G1431" i="5"/>
  <c r="G1432" i="5"/>
  <c r="G1433" i="5"/>
  <c r="G1434" i="5"/>
  <c r="G1435" i="5"/>
  <c r="G1436" i="5"/>
  <c r="G1437" i="5"/>
  <c r="G1438" i="5"/>
  <c r="G1439" i="5"/>
  <c r="G1440" i="5"/>
  <c r="G1441" i="5"/>
  <c r="G1442" i="5"/>
  <c r="G1443" i="5"/>
  <c r="G1444" i="5"/>
  <c r="G1445" i="5"/>
  <c r="G1446" i="5"/>
  <c r="G1447" i="5"/>
  <c r="G1448" i="5"/>
  <c r="G1449" i="5"/>
  <c r="G1450" i="5"/>
  <c r="G1451" i="5"/>
  <c r="G1452" i="5"/>
  <c r="G1453" i="5"/>
  <c r="G1454" i="5"/>
  <c r="G1455" i="5"/>
  <c r="G1456" i="5"/>
  <c r="G1457" i="5"/>
  <c r="G1458" i="5"/>
  <c r="G1459" i="5"/>
  <c r="G1460" i="5"/>
  <c r="G1461" i="5"/>
  <c r="G1462" i="5"/>
  <c r="G1463" i="5"/>
  <c r="G1464" i="5"/>
  <c r="G1465" i="5"/>
  <c r="G1466" i="5"/>
  <c r="G1467" i="5"/>
  <c r="G1468" i="5"/>
  <c r="G1469" i="5"/>
  <c r="G1470" i="5"/>
  <c r="G1471" i="5"/>
  <c r="G1472" i="5"/>
  <c r="G1473" i="5"/>
  <c r="G1474" i="5"/>
  <c r="G1475" i="5"/>
  <c r="G1476" i="5"/>
  <c r="G1477" i="5"/>
  <c r="G1478" i="5"/>
  <c r="G1479" i="5"/>
  <c r="G1480" i="5"/>
  <c r="G1481" i="5"/>
  <c r="G1482" i="5"/>
  <c r="G1483" i="5"/>
  <c r="G1484" i="5"/>
  <c r="G1485" i="5"/>
  <c r="G1486" i="5"/>
  <c r="G1487" i="5"/>
  <c r="G1488" i="5"/>
  <c r="G1489" i="5"/>
  <c r="G1490" i="5"/>
  <c r="G1491" i="5"/>
  <c r="G1492" i="5"/>
  <c r="G1493" i="5"/>
  <c r="G1494" i="5"/>
  <c r="G1495" i="5"/>
  <c r="G1496" i="5"/>
  <c r="G1497" i="5"/>
  <c r="G1498" i="5"/>
  <c r="G1499" i="5"/>
  <c r="G1500" i="5"/>
  <c r="G1501" i="5"/>
  <c r="G1502" i="5"/>
  <c r="G1503" i="5"/>
  <c r="G1504" i="5"/>
  <c r="G1505" i="5"/>
  <c r="G1506" i="5"/>
  <c r="G1507" i="5"/>
  <c r="G1508" i="5"/>
  <c r="G1509" i="5"/>
  <c r="G1510" i="5"/>
  <c r="G1511" i="5"/>
  <c r="G1512" i="5"/>
  <c r="G1513" i="5"/>
  <c r="G1514" i="5"/>
  <c r="G1515" i="5"/>
  <c r="G1516" i="5"/>
  <c r="G1517" i="5"/>
  <c r="G1518" i="5"/>
  <c r="G1519" i="5"/>
  <c r="G1520" i="5"/>
  <c r="G1521" i="5"/>
  <c r="G1522" i="5"/>
  <c r="G1523" i="5"/>
  <c r="G1524" i="5"/>
  <c r="G1525" i="5"/>
  <c r="G1526" i="5"/>
  <c r="G1527" i="5"/>
  <c r="G1528" i="5"/>
  <c r="G1529" i="5"/>
  <c r="G1530" i="5"/>
  <c r="G1531" i="5"/>
  <c r="G1532" i="5"/>
  <c r="G1533" i="5"/>
  <c r="G1534" i="5"/>
  <c r="G1535" i="5"/>
  <c r="G1536" i="5"/>
  <c r="G1537" i="5"/>
  <c r="G1538" i="5"/>
  <c r="G1539" i="5"/>
  <c r="G1540" i="5"/>
  <c r="G1541" i="5"/>
  <c r="G1542" i="5"/>
  <c r="G1543" i="5"/>
  <c r="G1544" i="5"/>
  <c r="G1545" i="5"/>
  <c r="G1546" i="5"/>
  <c r="G1547" i="5"/>
  <c r="G1548" i="5"/>
  <c r="G1549" i="5"/>
  <c r="G1550" i="5"/>
  <c r="G1551" i="5"/>
  <c r="G1552" i="5"/>
  <c r="G1553" i="5"/>
  <c r="G1554" i="5"/>
  <c r="G1555" i="5"/>
  <c r="G1556" i="5"/>
  <c r="G1557" i="5"/>
  <c r="G1558" i="5"/>
  <c r="G1559" i="5"/>
  <c r="G1560" i="5"/>
  <c r="G1561" i="5"/>
  <c r="G1562" i="5"/>
  <c r="G1563" i="5"/>
  <c r="G1564" i="5"/>
  <c r="G1565" i="5"/>
  <c r="G1566" i="5"/>
  <c r="G1567" i="5"/>
  <c r="G1568" i="5"/>
  <c r="G1569" i="5"/>
  <c r="G1570" i="5"/>
  <c r="G1571" i="5"/>
  <c r="G1572" i="5"/>
  <c r="G1573" i="5"/>
  <c r="G1574" i="5"/>
  <c r="G1575" i="5"/>
  <c r="G1576" i="5"/>
  <c r="G1577" i="5"/>
  <c r="G1578" i="5"/>
  <c r="G1579" i="5"/>
  <c r="G1580" i="5"/>
  <c r="G1581" i="5"/>
  <c r="G1582" i="5"/>
  <c r="G1583" i="5"/>
  <c r="G1584" i="5"/>
  <c r="G1585" i="5"/>
  <c r="G1586" i="5"/>
  <c r="G1587" i="5"/>
  <c r="G1588" i="5"/>
  <c r="G1589" i="5"/>
  <c r="G1590" i="5"/>
  <c r="G1591" i="5"/>
  <c r="G1592" i="5"/>
  <c r="G1593" i="5"/>
  <c r="G1594" i="5"/>
  <c r="G1595" i="5"/>
  <c r="G1596" i="5"/>
  <c r="G1597" i="5"/>
  <c r="G1598" i="5"/>
  <c r="G1599" i="5"/>
  <c r="G1600" i="5"/>
  <c r="G1601" i="5"/>
  <c r="G1602" i="5"/>
  <c r="G1603" i="5"/>
  <c r="G1604" i="5"/>
  <c r="G1605" i="5"/>
  <c r="G1606" i="5"/>
  <c r="G1607" i="5"/>
  <c r="G1608" i="5"/>
  <c r="G1609" i="5"/>
  <c r="G1610" i="5"/>
  <c r="G1611" i="5"/>
  <c r="G1612" i="5"/>
  <c r="G1613" i="5"/>
  <c r="G1614" i="5"/>
  <c r="G1615" i="5"/>
  <c r="G1616" i="5"/>
  <c r="G1617" i="5"/>
  <c r="G1618" i="5"/>
  <c r="G1619" i="5"/>
  <c r="G1620" i="5"/>
  <c r="G1621" i="5"/>
  <c r="G1622" i="5"/>
  <c r="G1623" i="5"/>
  <c r="G1624" i="5"/>
  <c r="G1625" i="5"/>
  <c r="G1626" i="5"/>
  <c r="G1627" i="5"/>
  <c r="G1628" i="5"/>
  <c r="G1629" i="5"/>
  <c r="G1630" i="5"/>
  <c r="G1631" i="5"/>
  <c r="G1632" i="5"/>
  <c r="G1633" i="5"/>
  <c r="G1634" i="5"/>
  <c r="G1635" i="5"/>
  <c r="G1636" i="5"/>
  <c r="G1637" i="5"/>
  <c r="G1638" i="5"/>
  <c r="G1639" i="5"/>
  <c r="G1640" i="5"/>
  <c r="G1641" i="5"/>
  <c r="G1642" i="5"/>
  <c r="G1643" i="5"/>
  <c r="G1644" i="5"/>
  <c r="G1645" i="5"/>
  <c r="G1646" i="5"/>
  <c r="G1647" i="5"/>
  <c r="G1648" i="5"/>
  <c r="G1649" i="5"/>
  <c r="G1650" i="5"/>
  <c r="G1651" i="5"/>
  <c r="G1652" i="5"/>
  <c r="G1653" i="5"/>
  <c r="G1654" i="5"/>
  <c r="G1655" i="5"/>
  <c r="G1656" i="5"/>
  <c r="G1657" i="5"/>
  <c r="G1658" i="5"/>
  <c r="G1659" i="5"/>
  <c r="G1660" i="5"/>
  <c r="G1661" i="5"/>
  <c r="G1662" i="5"/>
  <c r="G1663" i="5"/>
  <c r="G1664" i="5"/>
  <c r="G1665" i="5"/>
  <c r="G1666" i="5"/>
  <c r="G1667" i="5"/>
  <c r="G1668" i="5"/>
  <c r="G1669" i="5"/>
  <c r="G1670" i="5"/>
  <c r="G1671" i="5"/>
  <c r="G1672" i="5"/>
  <c r="G1673" i="5"/>
  <c r="G1674" i="5"/>
  <c r="G1675" i="5"/>
  <c r="G1676" i="5"/>
  <c r="G1677" i="5"/>
  <c r="G1678" i="5"/>
  <c r="G1679" i="5"/>
  <c r="G1680" i="5"/>
  <c r="G1681" i="5"/>
  <c r="G1682" i="5"/>
  <c r="G1683" i="5"/>
  <c r="G1684" i="5"/>
  <c r="G1685" i="5"/>
  <c r="G1686" i="5"/>
  <c r="G1687" i="5"/>
  <c r="G1688" i="5"/>
  <c r="G1689" i="5"/>
  <c r="G1690" i="5"/>
  <c r="G1691" i="5"/>
  <c r="G1692" i="5"/>
  <c r="G1693" i="5"/>
  <c r="G1694" i="5"/>
  <c r="G1695" i="5"/>
  <c r="G1696" i="5"/>
  <c r="G1697" i="5"/>
  <c r="G1698" i="5"/>
  <c r="G1699" i="5"/>
  <c r="G1700" i="5"/>
  <c r="G1701" i="5"/>
  <c r="G1702" i="5"/>
  <c r="G1703" i="5"/>
  <c r="G1704" i="5"/>
  <c r="G1705" i="5"/>
  <c r="G1706" i="5"/>
  <c r="G1707" i="5"/>
  <c r="G1708" i="5"/>
  <c r="G1709" i="5"/>
  <c r="G1710" i="5"/>
  <c r="G1711" i="5"/>
  <c r="G1712" i="5"/>
  <c r="G1713" i="5"/>
  <c r="G1714" i="5"/>
  <c r="G1715" i="5"/>
  <c r="G1716" i="5"/>
  <c r="G1717" i="5"/>
  <c r="G1718" i="5"/>
  <c r="G1719" i="5"/>
  <c r="G1720" i="5"/>
  <c r="G1721" i="5"/>
  <c r="G1722" i="5"/>
  <c r="G1723" i="5"/>
  <c r="G1724" i="5"/>
  <c r="G1725" i="5"/>
  <c r="G1726" i="5"/>
  <c r="G1727" i="5"/>
  <c r="G1728" i="5"/>
  <c r="G1729" i="5"/>
  <c r="G1730" i="5"/>
  <c r="G1731" i="5"/>
  <c r="G1732" i="5"/>
  <c r="G1733" i="5"/>
  <c r="G1734" i="5"/>
  <c r="G1735" i="5"/>
  <c r="G1736" i="5"/>
  <c r="G1737" i="5"/>
  <c r="G1738" i="5"/>
  <c r="G1739" i="5"/>
  <c r="G1740" i="5"/>
  <c r="G1741" i="5"/>
  <c r="G1742" i="5"/>
  <c r="G1743" i="5"/>
  <c r="G1744" i="5"/>
  <c r="G1745" i="5"/>
  <c r="G1746" i="5"/>
  <c r="G1747" i="5"/>
  <c r="G1748" i="5"/>
  <c r="G1749" i="5"/>
  <c r="G1750" i="5"/>
  <c r="G1751" i="5"/>
  <c r="G1752" i="5"/>
  <c r="G1753" i="5"/>
  <c r="G1754" i="5"/>
  <c r="G1755" i="5"/>
  <c r="G1756" i="5"/>
  <c r="G1757" i="5"/>
  <c r="G1758" i="5"/>
  <c r="G1759" i="5"/>
  <c r="G1760" i="5"/>
  <c r="G1761" i="5"/>
  <c r="G1762" i="5"/>
  <c r="G1763" i="5"/>
  <c r="G1764" i="5"/>
  <c r="G1765" i="5"/>
  <c r="G1766" i="5"/>
  <c r="G1767" i="5"/>
  <c r="G1768" i="5"/>
  <c r="G1769" i="5"/>
  <c r="G1770" i="5"/>
  <c r="G1771" i="5"/>
  <c r="G1772" i="5"/>
  <c r="G1773" i="5"/>
  <c r="G1774" i="5"/>
  <c r="G1775" i="5"/>
  <c r="G1776" i="5"/>
  <c r="G1777" i="5"/>
  <c r="G1778" i="5"/>
  <c r="G1779" i="5"/>
  <c r="G1780" i="5"/>
  <c r="G1781" i="5"/>
  <c r="G1782" i="5"/>
  <c r="G1783" i="5"/>
  <c r="G1784" i="5"/>
  <c r="G1785" i="5"/>
  <c r="G1786" i="5"/>
  <c r="G1787" i="5"/>
  <c r="G1788" i="5"/>
  <c r="G1789" i="5"/>
  <c r="G1790" i="5"/>
  <c r="G1791" i="5"/>
  <c r="G1792" i="5"/>
  <c r="G1793" i="5"/>
  <c r="G1794" i="5"/>
  <c r="G1795" i="5"/>
  <c r="G1796" i="5"/>
  <c r="G1797" i="5"/>
  <c r="G1798" i="5"/>
  <c r="G1799" i="5"/>
  <c r="G1800" i="5"/>
  <c r="G1801" i="5"/>
  <c r="G1802" i="5"/>
  <c r="G1803" i="5"/>
  <c r="G1804" i="5"/>
  <c r="G1805" i="5"/>
  <c r="G1806" i="5"/>
  <c r="G1807" i="5"/>
  <c r="G1808" i="5"/>
  <c r="G1809" i="5"/>
  <c r="G1810" i="5"/>
  <c r="G1811" i="5"/>
  <c r="G1812" i="5"/>
  <c r="G1813" i="5"/>
  <c r="G1814" i="5"/>
  <c r="G1815" i="5"/>
  <c r="G1816" i="5"/>
  <c r="G1817" i="5"/>
  <c r="G1818" i="5"/>
  <c r="G1819" i="5"/>
  <c r="G1820" i="5"/>
  <c r="G1821" i="5"/>
  <c r="G1822" i="5"/>
  <c r="G1823" i="5"/>
  <c r="G1824" i="5"/>
  <c r="G1825" i="5"/>
  <c r="G1826" i="5"/>
  <c r="G1827" i="5"/>
  <c r="G1828" i="5"/>
  <c r="G1829" i="5"/>
  <c r="G1830" i="5"/>
  <c r="G1831" i="5"/>
  <c r="G1832" i="5"/>
  <c r="G1833" i="5"/>
  <c r="G1834" i="5"/>
  <c r="G1835" i="5"/>
  <c r="G1836" i="5"/>
  <c r="G1837" i="5"/>
  <c r="G1838" i="5"/>
  <c r="G1839" i="5"/>
  <c r="G1840" i="5"/>
  <c r="G1841" i="5"/>
  <c r="G1842" i="5"/>
  <c r="G1843" i="5"/>
  <c r="G1844" i="5"/>
  <c r="G1845" i="5"/>
  <c r="G1846" i="5"/>
  <c r="G1847" i="5"/>
  <c r="G1848" i="5"/>
  <c r="G1849" i="5"/>
  <c r="G1850" i="5"/>
  <c r="G1851" i="5"/>
  <c r="G1852" i="5"/>
  <c r="G1853" i="5"/>
  <c r="G1854" i="5"/>
  <c r="G1855" i="5"/>
  <c r="G1856" i="5"/>
  <c r="G1857" i="5"/>
  <c r="G1858" i="5"/>
  <c r="G1859" i="5"/>
  <c r="G1860" i="5"/>
  <c r="G1861" i="5"/>
  <c r="G1862" i="5"/>
  <c r="G1863" i="5"/>
  <c r="G1864" i="5"/>
  <c r="G1865" i="5"/>
  <c r="G1866" i="5"/>
  <c r="G1867" i="5"/>
  <c r="G1868" i="5"/>
  <c r="G1869" i="5"/>
  <c r="G1870" i="5"/>
  <c r="G1871" i="5"/>
  <c r="G1872" i="5"/>
  <c r="G1873" i="5"/>
  <c r="G1874" i="5"/>
  <c r="G1875" i="5"/>
  <c r="G1876" i="5"/>
  <c r="G1877" i="5"/>
  <c r="G1878" i="5"/>
  <c r="G1879" i="5"/>
  <c r="G1880" i="5"/>
  <c r="G1881" i="5"/>
  <c r="G1882" i="5"/>
  <c r="G1883" i="5"/>
  <c r="G1884" i="5"/>
  <c r="G1885" i="5"/>
  <c r="G1886" i="5"/>
  <c r="G1887" i="5"/>
  <c r="G1888" i="5"/>
  <c r="G1889" i="5"/>
  <c r="G1890" i="5"/>
  <c r="G1891" i="5"/>
  <c r="G1892" i="5"/>
  <c r="G1893" i="5"/>
  <c r="G1894" i="5"/>
  <c r="G1895" i="5"/>
  <c r="G1896" i="5"/>
  <c r="G1897" i="5"/>
  <c r="G1898" i="5"/>
  <c r="G1899" i="5"/>
  <c r="G1900" i="5"/>
  <c r="G1901" i="5"/>
  <c r="G1902" i="5"/>
  <c r="G1903" i="5"/>
  <c r="G1904" i="5"/>
  <c r="G1905" i="5"/>
  <c r="G1906" i="5"/>
  <c r="G1907" i="5"/>
  <c r="G1908" i="5"/>
  <c r="G1909" i="5"/>
  <c r="G1910" i="5"/>
  <c r="G1911" i="5"/>
  <c r="G1912" i="5"/>
  <c r="G1913" i="5"/>
  <c r="G1914" i="5"/>
  <c r="G1915" i="5"/>
  <c r="G1916" i="5"/>
  <c r="G1917" i="5"/>
  <c r="G1918" i="5"/>
  <c r="G1919" i="5"/>
  <c r="G1920" i="5"/>
  <c r="G1921" i="5"/>
  <c r="G1922" i="5"/>
  <c r="G1923" i="5"/>
  <c r="G1924" i="5"/>
  <c r="G1925" i="5"/>
  <c r="G1926" i="5"/>
  <c r="G1927" i="5"/>
  <c r="G1928" i="5"/>
  <c r="G1929" i="5"/>
  <c r="G1930" i="5"/>
  <c r="G1931" i="5"/>
  <c r="G1932" i="5"/>
  <c r="G1933" i="5"/>
  <c r="G1934" i="5"/>
  <c r="G1935" i="5"/>
  <c r="G1936" i="5"/>
  <c r="G1937" i="5"/>
  <c r="G1938" i="5"/>
  <c r="G1939" i="5"/>
  <c r="G1940" i="5"/>
  <c r="G1941" i="5"/>
  <c r="G1942" i="5"/>
  <c r="G1943" i="5"/>
  <c r="G1944" i="5"/>
  <c r="G1945" i="5"/>
  <c r="G1946" i="5"/>
  <c r="G1947" i="5"/>
  <c r="G1948" i="5"/>
  <c r="G1949" i="5"/>
  <c r="G1950" i="5"/>
  <c r="G1951" i="5"/>
  <c r="G1952" i="5"/>
  <c r="G1953" i="5"/>
  <c r="G1954" i="5"/>
  <c r="G1955" i="5"/>
  <c r="G1956" i="5"/>
  <c r="G1957" i="5"/>
  <c r="G1958" i="5"/>
  <c r="G1959" i="5"/>
  <c r="G1960" i="5"/>
  <c r="G1961" i="5"/>
  <c r="G1962" i="5"/>
  <c r="G1963" i="5"/>
  <c r="G1964" i="5"/>
  <c r="G1965" i="5"/>
  <c r="G1966" i="5"/>
  <c r="G1967" i="5"/>
  <c r="G1968" i="5"/>
  <c r="G1969" i="5"/>
  <c r="G1970" i="5"/>
  <c r="G1971" i="5"/>
  <c r="G1972" i="5"/>
  <c r="G1973" i="5"/>
  <c r="G1974" i="5"/>
  <c r="G1975" i="5"/>
  <c r="G1976" i="5"/>
  <c r="G1977" i="5"/>
  <c r="G1978" i="5"/>
  <c r="G1979" i="5"/>
  <c r="G1980" i="5"/>
  <c r="G1981" i="5"/>
  <c r="G1982" i="5"/>
  <c r="G1983" i="5"/>
  <c r="G1984" i="5"/>
  <c r="G1985" i="5"/>
  <c r="G1986" i="5"/>
  <c r="G1987" i="5"/>
  <c r="G1988" i="5"/>
  <c r="G1989" i="5"/>
  <c r="G1990" i="5"/>
  <c r="G1991" i="5"/>
  <c r="G1992" i="5"/>
  <c r="G1993" i="5"/>
  <c r="G1994" i="5"/>
  <c r="G1995" i="5"/>
  <c r="G1996" i="5"/>
  <c r="G1997" i="5"/>
  <c r="G1998" i="5"/>
  <c r="G1999" i="5"/>
  <c r="G2000" i="5"/>
  <c r="G2001" i="5"/>
  <c r="G2002" i="5"/>
  <c r="G2003" i="5"/>
  <c r="G2004" i="5"/>
  <c r="G2005" i="5"/>
  <c r="G2006" i="5"/>
  <c r="G2007" i="5"/>
  <c r="G2008" i="5"/>
  <c r="G2009" i="5"/>
  <c r="G2010" i="5"/>
  <c r="G2011" i="5"/>
  <c r="G2012" i="5"/>
  <c r="G2013" i="5"/>
  <c r="G2014" i="5"/>
  <c r="G2015" i="5"/>
  <c r="G2016" i="5"/>
  <c r="G2017" i="5"/>
  <c r="G2018" i="5"/>
  <c r="G2019" i="5"/>
  <c r="G2020" i="5"/>
  <c r="G2021" i="5"/>
  <c r="G2022" i="5"/>
  <c r="G2023" i="5"/>
  <c r="G2024" i="5"/>
  <c r="G2025" i="5"/>
  <c r="G2026" i="5"/>
  <c r="G2027" i="5"/>
  <c r="G2028" i="5"/>
  <c r="G2029" i="5"/>
  <c r="G2030" i="5"/>
  <c r="G2031" i="5"/>
  <c r="G2032" i="5"/>
  <c r="G2033" i="5"/>
  <c r="G2034" i="5"/>
  <c r="G2035" i="5"/>
  <c r="G2036" i="5"/>
  <c r="G2037" i="5"/>
  <c r="G2038" i="5"/>
  <c r="G2039" i="5"/>
  <c r="G2040" i="5"/>
  <c r="G2041" i="5"/>
  <c r="G2042" i="5"/>
  <c r="G2043" i="5"/>
  <c r="G2044" i="5"/>
  <c r="G2045" i="5"/>
  <c r="G2046" i="5"/>
  <c r="G2047" i="5"/>
  <c r="G2048" i="5"/>
  <c r="G2049" i="5"/>
  <c r="G2050" i="5"/>
  <c r="G2051" i="5"/>
  <c r="G2052" i="5"/>
  <c r="G2053" i="5"/>
  <c r="G2054" i="5"/>
  <c r="G2055" i="5"/>
  <c r="G2056" i="5"/>
  <c r="G2057" i="5"/>
  <c r="G2058" i="5"/>
  <c r="G2059" i="5"/>
  <c r="G2060" i="5"/>
  <c r="G2061" i="5"/>
  <c r="G2062" i="5"/>
  <c r="G2063" i="5"/>
  <c r="G2064" i="5"/>
  <c r="G2065" i="5"/>
  <c r="G2066" i="5"/>
  <c r="G2067" i="5"/>
  <c r="G2068" i="5"/>
  <c r="G2069" i="5"/>
  <c r="G2070" i="5"/>
  <c r="G2071" i="5"/>
  <c r="G2072" i="5"/>
  <c r="G2073" i="5"/>
  <c r="G2074" i="5"/>
  <c r="G2075" i="5"/>
  <c r="G2076" i="5"/>
  <c r="G2077" i="5"/>
  <c r="G2078" i="5"/>
  <c r="G2079" i="5"/>
  <c r="G2080" i="5"/>
  <c r="G2081" i="5"/>
  <c r="G2082" i="5"/>
  <c r="G2083" i="5"/>
  <c r="G2084" i="5"/>
  <c r="G2085" i="5"/>
  <c r="G2086" i="5"/>
  <c r="G2087" i="5"/>
  <c r="G2088" i="5"/>
  <c r="G2089" i="5"/>
  <c r="G2090" i="5"/>
  <c r="G2091" i="5"/>
  <c r="G2092" i="5"/>
  <c r="G2093" i="5"/>
  <c r="G2094" i="5"/>
  <c r="G2095" i="5"/>
  <c r="G2096" i="5"/>
  <c r="G2097" i="5"/>
  <c r="G2098" i="5"/>
  <c r="G2099" i="5"/>
  <c r="G2100" i="5"/>
  <c r="G2101" i="5"/>
  <c r="G2102" i="5"/>
  <c r="G2103" i="5"/>
  <c r="G2104" i="5"/>
  <c r="G2105" i="5"/>
  <c r="G2106" i="5"/>
  <c r="G2107" i="5"/>
  <c r="G2108" i="5"/>
  <c r="G2109" i="5"/>
  <c r="G2110" i="5"/>
  <c r="G2111" i="5"/>
  <c r="G2112" i="5"/>
  <c r="G2113" i="5"/>
  <c r="G2114" i="5"/>
  <c r="G2115" i="5"/>
  <c r="G2116" i="5"/>
  <c r="G2117" i="5"/>
  <c r="G2118" i="5"/>
  <c r="G2119" i="5"/>
  <c r="G2120" i="5"/>
  <c r="G2121" i="5"/>
  <c r="G2122" i="5"/>
  <c r="G2123" i="5"/>
  <c r="G2124" i="5"/>
  <c r="G2125" i="5"/>
  <c r="G2126" i="5"/>
  <c r="G2127" i="5"/>
  <c r="G2128" i="5"/>
  <c r="G2129" i="5"/>
  <c r="G2130" i="5"/>
  <c r="G2131" i="5"/>
  <c r="G2132" i="5"/>
  <c r="G2133" i="5"/>
  <c r="G2134" i="5"/>
  <c r="G2135" i="5"/>
  <c r="G2136" i="5"/>
  <c r="G2137" i="5"/>
  <c r="G2138" i="5"/>
  <c r="G2139" i="5"/>
  <c r="G2140" i="5"/>
  <c r="G2141" i="5"/>
  <c r="G2142" i="5"/>
  <c r="G2143" i="5"/>
  <c r="G2144" i="5"/>
  <c r="G2145" i="5"/>
  <c r="G2146" i="5"/>
  <c r="G2147" i="5"/>
  <c r="G2148" i="5"/>
  <c r="G2149" i="5"/>
  <c r="G2150" i="5"/>
  <c r="G2151" i="5"/>
  <c r="G2152" i="5"/>
  <c r="G2153" i="5"/>
  <c r="G2154" i="5"/>
  <c r="G2155" i="5"/>
  <c r="G2156" i="5"/>
  <c r="H2" i="5"/>
  <c r="H3" i="5"/>
  <c r="H4" i="5"/>
  <c r="H5" i="5"/>
  <c r="H6" i="5"/>
  <c r="H7" i="5"/>
  <c r="H8" i="5"/>
  <c r="H9" i="5"/>
  <c r="H10" i="5"/>
  <c r="H11" i="5"/>
  <c r="H12" i="5"/>
  <c r="H13" i="5"/>
  <c r="H14" i="5"/>
  <c r="H15" i="5"/>
  <c r="H16" i="5"/>
  <c r="H17" i="5"/>
  <c r="H18" i="5"/>
  <c r="H19" i="5"/>
  <c r="H20" i="5"/>
  <c r="H21" i="5"/>
  <c r="H22" i="5"/>
  <c r="H23" i="5"/>
  <c r="H24" i="5"/>
  <c r="H25" i="5"/>
  <c r="H26" i="5"/>
  <c r="H27" i="5"/>
  <c r="H28" i="5"/>
  <c r="H29" i="5"/>
  <c r="H30" i="5"/>
  <c r="H31" i="5"/>
  <c r="H32" i="5"/>
  <c r="H33" i="5"/>
  <c r="H34" i="5"/>
  <c r="H35" i="5"/>
  <c r="H36" i="5"/>
  <c r="H37" i="5"/>
  <c r="H38" i="5"/>
  <c r="H39" i="5"/>
  <c r="H40" i="5"/>
  <c r="H41" i="5"/>
  <c r="H42" i="5"/>
  <c r="H43" i="5"/>
  <c r="H44" i="5"/>
  <c r="H45" i="5"/>
  <c r="H46" i="5"/>
  <c r="H47" i="5"/>
  <c r="H48" i="5"/>
  <c r="H49" i="5"/>
  <c r="H50" i="5"/>
  <c r="H51" i="5"/>
  <c r="H52" i="5"/>
  <c r="H53" i="5"/>
  <c r="H54" i="5"/>
  <c r="H55" i="5"/>
  <c r="H56" i="5"/>
  <c r="H57" i="5"/>
  <c r="H58" i="5"/>
  <c r="H59" i="5"/>
  <c r="H60" i="5"/>
  <c r="H61" i="5"/>
  <c r="H62" i="5"/>
  <c r="H63" i="5"/>
  <c r="H64" i="5"/>
  <c r="H65" i="5"/>
  <c r="H66" i="5"/>
  <c r="H67" i="5"/>
  <c r="H68" i="5"/>
  <c r="H69" i="5"/>
  <c r="H70" i="5"/>
  <c r="H71" i="5"/>
  <c r="H72" i="5"/>
  <c r="H73" i="5"/>
  <c r="H74" i="5"/>
  <c r="H75" i="5"/>
  <c r="H76" i="5"/>
  <c r="H77" i="5"/>
  <c r="H78" i="5"/>
  <c r="H79" i="5"/>
  <c r="H80" i="5"/>
  <c r="H81" i="5"/>
  <c r="H82" i="5"/>
  <c r="H83" i="5"/>
  <c r="H84" i="5"/>
  <c r="H85" i="5"/>
  <c r="H86" i="5"/>
  <c r="H87" i="5"/>
  <c r="H88" i="5"/>
  <c r="H89" i="5"/>
  <c r="H90" i="5"/>
  <c r="H91" i="5"/>
  <c r="H92" i="5"/>
  <c r="H93" i="5"/>
  <c r="H94" i="5"/>
  <c r="H95" i="5"/>
  <c r="H96" i="5"/>
  <c r="H97" i="5"/>
  <c r="H98" i="5"/>
  <c r="H99" i="5"/>
  <c r="H100" i="5"/>
  <c r="H101" i="5"/>
  <c r="H102" i="5"/>
  <c r="H103" i="5"/>
  <c r="H104" i="5"/>
  <c r="H105" i="5"/>
  <c r="H106" i="5"/>
  <c r="H107" i="5"/>
  <c r="H108" i="5"/>
  <c r="H109" i="5"/>
  <c r="H110" i="5"/>
  <c r="H111" i="5"/>
  <c r="H112" i="5"/>
  <c r="H113" i="5"/>
  <c r="H114" i="5"/>
  <c r="H115" i="5"/>
  <c r="H116" i="5"/>
  <c r="H117" i="5"/>
  <c r="H118" i="5"/>
  <c r="H119" i="5"/>
  <c r="H120" i="5"/>
  <c r="H121" i="5"/>
  <c r="H122" i="5"/>
  <c r="H123" i="5"/>
  <c r="H124" i="5"/>
  <c r="H125" i="5"/>
  <c r="H126" i="5"/>
  <c r="H127" i="5"/>
  <c r="H128" i="5"/>
  <c r="H129" i="5"/>
  <c r="H130" i="5"/>
  <c r="H131" i="5"/>
  <c r="H132" i="5"/>
  <c r="H133" i="5"/>
  <c r="H134" i="5"/>
  <c r="H135" i="5"/>
  <c r="H136" i="5"/>
  <c r="H137" i="5"/>
  <c r="H138" i="5"/>
  <c r="H139" i="5"/>
  <c r="H140" i="5"/>
  <c r="H141" i="5"/>
  <c r="H142" i="5"/>
  <c r="H143" i="5"/>
  <c r="H144" i="5"/>
  <c r="H145" i="5"/>
  <c r="H146" i="5"/>
  <c r="H147" i="5"/>
  <c r="H148" i="5"/>
  <c r="H149" i="5"/>
  <c r="H150" i="5"/>
  <c r="H151" i="5"/>
  <c r="H152" i="5"/>
  <c r="H153" i="5"/>
  <c r="H154" i="5"/>
  <c r="H155" i="5"/>
  <c r="H156" i="5"/>
  <c r="H157" i="5"/>
  <c r="H158" i="5"/>
  <c r="H159" i="5"/>
  <c r="H160" i="5"/>
  <c r="H161" i="5"/>
  <c r="H162" i="5"/>
  <c r="H163" i="5"/>
  <c r="H164" i="5"/>
  <c r="H165" i="5"/>
  <c r="H166" i="5"/>
  <c r="H167" i="5"/>
  <c r="H168" i="5"/>
  <c r="H169" i="5"/>
  <c r="H170" i="5"/>
  <c r="H171" i="5"/>
  <c r="H172" i="5"/>
  <c r="H173" i="5"/>
  <c r="H174" i="5"/>
  <c r="H175" i="5"/>
  <c r="H176" i="5"/>
  <c r="H177" i="5"/>
  <c r="H178" i="5"/>
  <c r="H179" i="5"/>
  <c r="H180" i="5"/>
  <c r="H181" i="5"/>
  <c r="H182" i="5"/>
  <c r="H183" i="5"/>
  <c r="H184" i="5"/>
  <c r="H185" i="5"/>
  <c r="H186" i="5"/>
  <c r="H187" i="5"/>
  <c r="H188" i="5"/>
  <c r="H189" i="5"/>
  <c r="H190" i="5"/>
  <c r="H191" i="5"/>
  <c r="H192" i="5"/>
  <c r="H193" i="5"/>
  <c r="H194" i="5"/>
  <c r="H195" i="5"/>
  <c r="H196" i="5"/>
  <c r="H197" i="5"/>
  <c r="H198" i="5"/>
  <c r="H199" i="5"/>
  <c r="H200" i="5"/>
  <c r="H201" i="5"/>
  <c r="H202" i="5"/>
  <c r="H203" i="5"/>
  <c r="H204" i="5"/>
  <c r="H205" i="5"/>
  <c r="H206" i="5"/>
  <c r="H207" i="5"/>
  <c r="H208" i="5"/>
  <c r="H209" i="5"/>
  <c r="H210" i="5"/>
  <c r="H211" i="5"/>
  <c r="H212" i="5"/>
  <c r="H213" i="5"/>
  <c r="H214" i="5"/>
  <c r="H215" i="5"/>
  <c r="H216" i="5"/>
  <c r="H217" i="5"/>
  <c r="H218" i="5"/>
  <c r="H219" i="5"/>
  <c r="H220" i="5"/>
  <c r="H221" i="5"/>
  <c r="H222" i="5"/>
  <c r="H223" i="5"/>
  <c r="H224" i="5"/>
  <c r="H225" i="5"/>
  <c r="H226" i="5"/>
  <c r="H227" i="5"/>
  <c r="H228" i="5"/>
  <c r="H229" i="5"/>
  <c r="H230" i="5"/>
  <c r="H231" i="5"/>
  <c r="H232" i="5"/>
  <c r="H233" i="5"/>
  <c r="H234" i="5"/>
  <c r="H235" i="5"/>
  <c r="H236" i="5"/>
  <c r="H237" i="5"/>
  <c r="H238" i="5"/>
  <c r="H239" i="5"/>
  <c r="H240" i="5"/>
  <c r="H241" i="5"/>
  <c r="H242" i="5"/>
  <c r="H243" i="5"/>
  <c r="H244" i="5"/>
  <c r="H245" i="5"/>
  <c r="H246" i="5"/>
  <c r="H247" i="5"/>
  <c r="H248" i="5"/>
  <c r="H249" i="5"/>
  <c r="H250" i="5"/>
  <c r="H251" i="5"/>
  <c r="H252" i="5"/>
  <c r="H253" i="5"/>
  <c r="H254" i="5"/>
  <c r="H255" i="5"/>
  <c r="H256" i="5"/>
  <c r="H257" i="5"/>
  <c r="H258" i="5"/>
  <c r="H259" i="5"/>
  <c r="H260" i="5"/>
  <c r="H261" i="5"/>
  <c r="H262" i="5"/>
  <c r="H263" i="5"/>
  <c r="H264" i="5"/>
  <c r="H265" i="5"/>
  <c r="H266" i="5"/>
  <c r="H267" i="5"/>
  <c r="H268" i="5"/>
  <c r="H269" i="5"/>
  <c r="H270" i="5"/>
  <c r="H271" i="5"/>
  <c r="H272" i="5"/>
  <c r="H273" i="5"/>
  <c r="H274" i="5"/>
  <c r="H275" i="5"/>
  <c r="H276" i="5"/>
  <c r="H277" i="5"/>
  <c r="H278" i="5"/>
  <c r="H279" i="5"/>
  <c r="H280" i="5"/>
  <c r="H281" i="5"/>
  <c r="H282" i="5"/>
  <c r="H283" i="5"/>
  <c r="H284" i="5"/>
  <c r="H285" i="5"/>
  <c r="H286" i="5"/>
  <c r="H287" i="5"/>
  <c r="H288" i="5"/>
  <c r="H289" i="5"/>
  <c r="H290" i="5"/>
  <c r="H291" i="5"/>
  <c r="H292" i="5"/>
  <c r="H293" i="5"/>
  <c r="H294" i="5"/>
  <c r="H295" i="5"/>
  <c r="H296" i="5"/>
  <c r="H297" i="5"/>
  <c r="H298" i="5"/>
  <c r="H299" i="5"/>
  <c r="H300" i="5"/>
  <c r="H301" i="5"/>
  <c r="H302" i="5"/>
  <c r="H303" i="5"/>
  <c r="H304" i="5"/>
  <c r="H305" i="5"/>
  <c r="H306" i="5"/>
  <c r="H307" i="5"/>
  <c r="H308" i="5"/>
  <c r="H309" i="5"/>
  <c r="H310" i="5"/>
  <c r="H311" i="5"/>
  <c r="H312" i="5"/>
  <c r="H313" i="5"/>
  <c r="H314" i="5"/>
  <c r="H315" i="5"/>
  <c r="H316" i="5"/>
  <c r="H317" i="5"/>
  <c r="H318" i="5"/>
  <c r="H319" i="5"/>
  <c r="H320" i="5"/>
  <c r="H321" i="5"/>
  <c r="H322" i="5"/>
  <c r="H323" i="5"/>
  <c r="H324" i="5"/>
  <c r="H325" i="5"/>
  <c r="H326" i="5"/>
  <c r="H327" i="5"/>
  <c r="H328" i="5"/>
  <c r="H329" i="5"/>
  <c r="H330" i="5"/>
  <c r="H331" i="5"/>
  <c r="H332" i="5"/>
  <c r="H333" i="5"/>
  <c r="H334" i="5"/>
  <c r="H335" i="5"/>
  <c r="H336" i="5"/>
  <c r="H337" i="5"/>
  <c r="H338" i="5"/>
  <c r="H339" i="5"/>
  <c r="H340" i="5"/>
  <c r="H341" i="5"/>
  <c r="H342" i="5"/>
  <c r="H343" i="5"/>
  <c r="H344" i="5"/>
  <c r="H345" i="5"/>
  <c r="H346" i="5"/>
  <c r="H347" i="5"/>
  <c r="H348" i="5"/>
  <c r="H349" i="5"/>
  <c r="H350" i="5"/>
  <c r="H351" i="5"/>
  <c r="H352" i="5"/>
  <c r="H353" i="5"/>
  <c r="H354" i="5"/>
  <c r="H355" i="5"/>
  <c r="H356" i="5"/>
  <c r="H357" i="5"/>
  <c r="H358" i="5"/>
  <c r="H359" i="5"/>
  <c r="H360" i="5"/>
  <c r="H361" i="5"/>
  <c r="H362" i="5"/>
  <c r="H363" i="5"/>
  <c r="H364" i="5"/>
  <c r="H365" i="5"/>
  <c r="H366" i="5"/>
  <c r="H367" i="5"/>
  <c r="H368" i="5"/>
  <c r="H369" i="5"/>
  <c r="H370" i="5"/>
  <c r="H371" i="5"/>
  <c r="H372" i="5"/>
  <c r="H373" i="5"/>
  <c r="H374" i="5"/>
  <c r="H375" i="5"/>
  <c r="H376" i="5"/>
  <c r="H377" i="5"/>
  <c r="H378" i="5"/>
  <c r="H379" i="5"/>
  <c r="H380" i="5"/>
  <c r="H381" i="5"/>
  <c r="H382" i="5"/>
  <c r="H383" i="5"/>
  <c r="H384" i="5"/>
  <c r="H385" i="5"/>
  <c r="H386" i="5"/>
  <c r="H387" i="5"/>
  <c r="H388" i="5"/>
  <c r="H389" i="5"/>
  <c r="H390" i="5"/>
  <c r="H391" i="5"/>
  <c r="H392" i="5"/>
  <c r="H393" i="5"/>
  <c r="H394" i="5"/>
  <c r="H395" i="5"/>
  <c r="H396" i="5"/>
  <c r="H397" i="5"/>
  <c r="H398" i="5"/>
  <c r="H399" i="5"/>
  <c r="H400" i="5"/>
  <c r="H401" i="5"/>
  <c r="H402" i="5"/>
  <c r="H403" i="5"/>
  <c r="H404" i="5"/>
  <c r="H405" i="5"/>
  <c r="H406" i="5"/>
  <c r="H407" i="5"/>
  <c r="H408" i="5"/>
  <c r="H409" i="5"/>
  <c r="H410" i="5"/>
  <c r="H411" i="5"/>
  <c r="H412" i="5"/>
  <c r="H413" i="5"/>
  <c r="H414" i="5"/>
  <c r="H415" i="5"/>
  <c r="H416" i="5"/>
  <c r="H417" i="5"/>
  <c r="H418" i="5"/>
  <c r="H419" i="5"/>
  <c r="H420" i="5"/>
  <c r="H421" i="5"/>
  <c r="H422" i="5"/>
  <c r="H423" i="5"/>
  <c r="H424" i="5"/>
  <c r="H425" i="5"/>
  <c r="H426" i="5"/>
  <c r="H427" i="5"/>
  <c r="H428" i="5"/>
  <c r="H429" i="5"/>
  <c r="H430" i="5"/>
  <c r="H431" i="5"/>
  <c r="H432" i="5"/>
  <c r="H433" i="5"/>
  <c r="H434" i="5"/>
  <c r="H435" i="5"/>
  <c r="H436" i="5"/>
  <c r="H437" i="5"/>
  <c r="H438" i="5"/>
  <c r="H439" i="5"/>
  <c r="H440" i="5"/>
  <c r="H441" i="5"/>
  <c r="H442" i="5"/>
  <c r="H443" i="5"/>
  <c r="H444" i="5"/>
  <c r="H445" i="5"/>
  <c r="H446" i="5"/>
  <c r="H447" i="5"/>
  <c r="H448" i="5"/>
  <c r="H449" i="5"/>
  <c r="H450" i="5"/>
  <c r="H451" i="5"/>
  <c r="H452" i="5"/>
  <c r="H453" i="5"/>
  <c r="H454" i="5"/>
  <c r="H455" i="5"/>
  <c r="H456" i="5"/>
  <c r="H457" i="5"/>
  <c r="H458" i="5"/>
  <c r="H459" i="5"/>
  <c r="H460" i="5"/>
  <c r="H461" i="5"/>
  <c r="H462" i="5"/>
  <c r="H463" i="5"/>
  <c r="H464" i="5"/>
  <c r="H465" i="5"/>
  <c r="H466" i="5"/>
  <c r="H467" i="5"/>
  <c r="H468" i="5"/>
  <c r="H469" i="5"/>
  <c r="H470" i="5"/>
  <c r="H471" i="5"/>
  <c r="H472" i="5"/>
  <c r="H473" i="5"/>
  <c r="H474" i="5"/>
  <c r="H475" i="5"/>
  <c r="H476" i="5"/>
  <c r="H477" i="5"/>
  <c r="H478" i="5"/>
  <c r="H479" i="5"/>
  <c r="H480" i="5"/>
  <c r="H481" i="5"/>
  <c r="H482" i="5"/>
  <c r="H483" i="5"/>
  <c r="H484" i="5"/>
  <c r="H485" i="5"/>
  <c r="H486" i="5"/>
  <c r="H487" i="5"/>
  <c r="H488" i="5"/>
  <c r="H489" i="5"/>
  <c r="H490" i="5"/>
  <c r="H491" i="5"/>
  <c r="H492" i="5"/>
  <c r="H493" i="5"/>
  <c r="H494" i="5"/>
  <c r="H495" i="5"/>
  <c r="H496" i="5"/>
  <c r="H497" i="5"/>
  <c r="H498" i="5"/>
  <c r="H499" i="5"/>
  <c r="H500" i="5"/>
  <c r="H501" i="5"/>
  <c r="H502" i="5"/>
  <c r="H503" i="5"/>
  <c r="H504" i="5"/>
  <c r="H505" i="5"/>
  <c r="H506" i="5"/>
  <c r="H507" i="5"/>
  <c r="H508" i="5"/>
  <c r="H509" i="5"/>
  <c r="H510" i="5"/>
  <c r="H511" i="5"/>
  <c r="H512" i="5"/>
  <c r="H513" i="5"/>
  <c r="H514" i="5"/>
  <c r="H515" i="5"/>
  <c r="H516" i="5"/>
  <c r="H517" i="5"/>
  <c r="H518" i="5"/>
  <c r="H519" i="5"/>
  <c r="H520" i="5"/>
  <c r="H521" i="5"/>
  <c r="H522" i="5"/>
  <c r="H523" i="5"/>
  <c r="H524" i="5"/>
  <c r="H525" i="5"/>
  <c r="H526" i="5"/>
  <c r="H527" i="5"/>
  <c r="H528" i="5"/>
  <c r="H529" i="5"/>
  <c r="H530" i="5"/>
  <c r="H531" i="5"/>
  <c r="H532" i="5"/>
  <c r="H533" i="5"/>
  <c r="H534" i="5"/>
  <c r="H535" i="5"/>
  <c r="H536" i="5"/>
  <c r="H537" i="5"/>
  <c r="H538" i="5"/>
  <c r="H539" i="5"/>
  <c r="H540" i="5"/>
  <c r="H541" i="5"/>
  <c r="H542" i="5"/>
  <c r="H543" i="5"/>
  <c r="H544" i="5"/>
  <c r="H545" i="5"/>
  <c r="H546" i="5"/>
  <c r="H547" i="5"/>
  <c r="H548" i="5"/>
  <c r="H549" i="5"/>
  <c r="H550" i="5"/>
  <c r="H551" i="5"/>
  <c r="H552" i="5"/>
  <c r="H553" i="5"/>
  <c r="H554" i="5"/>
  <c r="H555" i="5"/>
  <c r="H556" i="5"/>
  <c r="H557" i="5"/>
  <c r="H558" i="5"/>
  <c r="H559" i="5"/>
  <c r="H560" i="5"/>
  <c r="H561" i="5"/>
  <c r="H562" i="5"/>
  <c r="H563" i="5"/>
  <c r="H564" i="5"/>
  <c r="H565" i="5"/>
  <c r="H566" i="5"/>
  <c r="H567" i="5"/>
  <c r="H568" i="5"/>
  <c r="H569" i="5"/>
  <c r="H570" i="5"/>
  <c r="H571" i="5"/>
  <c r="H572" i="5"/>
  <c r="H573" i="5"/>
  <c r="H574" i="5"/>
  <c r="H575" i="5"/>
  <c r="H576" i="5"/>
  <c r="H577" i="5"/>
  <c r="H578" i="5"/>
  <c r="H579" i="5"/>
  <c r="H580" i="5"/>
  <c r="H581" i="5"/>
  <c r="H582" i="5"/>
  <c r="H583" i="5"/>
  <c r="H584" i="5"/>
  <c r="H585" i="5"/>
  <c r="H586" i="5"/>
  <c r="H587" i="5"/>
  <c r="H588" i="5"/>
  <c r="H589" i="5"/>
  <c r="H590" i="5"/>
  <c r="H591" i="5"/>
  <c r="H592" i="5"/>
  <c r="H593" i="5"/>
  <c r="H594" i="5"/>
  <c r="H595" i="5"/>
  <c r="H596" i="5"/>
  <c r="H597" i="5"/>
  <c r="H598" i="5"/>
  <c r="H599" i="5"/>
  <c r="H600" i="5"/>
  <c r="H601" i="5"/>
  <c r="H602" i="5"/>
  <c r="H603" i="5"/>
  <c r="H604" i="5"/>
  <c r="H605" i="5"/>
  <c r="H606" i="5"/>
  <c r="H607" i="5"/>
  <c r="H608" i="5"/>
  <c r="H609" i="5"/>
  <c r="H610" i="5"/>
  <c r="H611" i="5"/>
  <c r="H612" i="5"/>
  <c r="H613" i="5"/>
  <c r="H614" i="5"/>
  <c r="H615" i="5"/>
  <c r="H616" i="5"/>
  <c r="H617" i="5"/>
  <c r="H618" i="5"/>
  <c r="H619" i="5"/>
  <c r="H620" i="5"/>
  <c r="H621" i="5"/>
  <c r="H622" i="5"/>
  <c r="H623" i="5"/>
  <c r="H624" i="5"/>
  <c r="H625" i="5"/>
  <c r="H626" i="5"/>
  <c r="H627" i="5"/>
  <c r="H628" i="5"/>
  <c r="H629" i="5"/>
  <c r="H630" i="5"/>
  <c r="H631" i="5"/>
  <c r="H632" i="5"/>
  <c r="H633" i="5"/>
  <c r="H634" i="5"/>
  <c r="H635" i="5"/>
  <c r="H636" i="5"/>
  <c r="H637" i="5"/>
  <c r="H638" i="5"/>
  <c r="H639" i="5"/>
  <c r="H640" i="5"/>
  <c r="H641" i="5"/>
  <c r="H642" i="5"/>
  <c r="H643" i="5"/>
  <c r="H644" i="5"/>
  <c r="H645" i="5"/>
  <c r="H646" i="5"/>
  <c r="H647" i="5"/>
  <c r="H648" i="5"/>
  <c r="H649" i="5"/>
  <c r="H650" i="5"/>
  <c r="H651" i="5"/>
  <c r="H652" i="5"/>
  <c r="H653" i="5"/>
  <c r="H654" i="5"/>
  <c r="H655" i="5"/>
  <c r="H656" i="5"/>
  <c r="H657" i="5"/>
  <c r="H658" i="5"/>
  <c r="H659" i="5"/>
  <c r="H660" i="5"/>
  <c r="H661" i="5"/>
  <c r="H662" i="5"/>
  <c r="H663" i="5"/>
  <c r="H664" i="5"/>
  <c r="H665" i="5"/>
  <c r="H666" i="5"/>
  <c r="H667" i="5"/>
  <c r="H668" i="5"/>
  <c r="H669" i="5"/>
  <c r="H670" i="5"/>
  <c r="H671" i="5"/>
  <c r="H672" i="5"/>
  <c r="H673" i="5"/>
  <c r="H674" i="5"/>
  <c r="H675" i="5"/>
  <c r="H676" i="5"/>
  <c r="H677" i="5"/>
  <c r="H678" i="5"/>
  <c r="H679" i="5"/>
  <c r="H680" i="5"/>
  <c r="H681" i="5"/>
  <c r="H682" i="5"/>
  <c r="H683" i="5"/>
  <c r="H684" i="5"/>
  <c r="H685" i="5"/>
  <c r="H686" i="5"/>
  <c r="H687" i="5"/>
  <c r="H688" i="5"/>
  <c r="H689" i="5"/>
  <c r="H690" i="5"/>
  <c r="H691" i="5"/>
  <c r="H692" i="5"/>
  <c r="H693" i="5"/>
  <c r="H694" i="5"/>
  <c r="H695" i="5"/>
  <c r="H696" i="5"/>
  <c r="H697" i="5"/>
  <c r="H698" i="5"/>
  <c r="H699" i="5"/>
  <c r="H700" i="5"/>
  <c r="H701" i="5"/>
  <c r="H702" i="5"/>
  <c r="H703" i="5"/>
  <c r="H704" i="5"/>
  <c r="H705" i="5"/>
  <c r="H706" i="5"/>
  <c r="H707" i="5"/>
  <c r="H708" i="5"/>
  <c r="H709" i="5"/>
  <c r="H710" i="5"/>
  <c r="H711" i="5"/>
  <c r="H712" i="5"/>
  <c r="H713" i="5"/>
  <c r="H714" i="5"/>
  <c r="H715" i="5"/>
  <c r="H716" i="5"/>
  <c r="H717" i="5"/>
  <c r="H718" i="5"/>
  <c r="H719" i="5"/>
  <c r="H720" i="5"/>
  <c r="H721" i="5"/>
  <c r="H722" i="5"/>
  <c r="H723" i="5"/>
  <c r="H724" i="5"/>
  <c r="H725" i="5"/>
  <c r="H726" i="5"/>
  <c r="H727" i="5"/>
  <c r="H728" i="5"/>
  <c r="H729" i="5"/>
  <c r="H730" i="5"/>
  <c r="H731" i="5"/>
  <c r="H732" i="5"/>
  <c r="H733" i="5"/>
  <c r="H734" i="5"/>
  <c r="H735" i="5"/>
  <c r="H736" i="5"/>
  <c r="H737" i="5"/>
  <c r="H738" i="5"/>
  <c r="H739" i="5"/>
  <c r="H740" i="5"/>
  <c r="H741" i="5"/>
  <c r="H742" i="5"/>
  <c r="H743" i="5"/>
  <c r="H744" i="5"/>
  <c r="H745" i="5"/>
  <c r="H746" i="5"/>
  <c r="H747" i="5"/>
  <c r="H748" i="5"/>
  <c r="H749" i="5"/>
  <c r="H750" i="5"/>
  <c r="H751" i="5"/>
  <c r="H752" i="5"/>
  <c r="H753" i="5"/>
  <c r="H754" i="5"/>
  <c r="H755" i="5"/>
  <c r="H756" i="5"/>
  <c r="H757" i="5"/>
  <c r="H758" i="5"/>
  <c r="H759" i="5"/>
  <c r="H760" i="5"/>
  <c r="H761" i="5"/>
  <c r="H762" i="5"/>
  <c r="H763" i="5"/>
  <c r="H764" i="5"/>
  <c r="H765" i="5"/>
  <c r="H766" i="5"/>
  <c r="H767" i="5"/>
  <c r="H768" i="5"/>
  <c r="H769" i="5"/>
  <c r="H770" i="5"/>
  <c r="H771" i="5"/>
  <c r="H772" i="5"/>
  <c r="H773" i="5"/>
  <c r="H774" i="5"/>
  <c r="H775" i="5"/>
  <c r="H776" i="5"/>
  <c r="H777" i="5"/>
  <c r="H778" i="5"/>
  <c r="H779" i="5"/>
  <c r="H780" i="5"/>
  <c r="H781" i="5"/>
  <c r="H782" i="5"/>
  <c r="H783" i="5"/>
  <c r="H784" i="5"/>
  <c r="H785" i="5"/>
  <c r="H786" i="5"/>
  <c r="H787" i="5"/>
  <c r="H788" i="5"/>
  <c r="H789" i="5"/>
  <c r="H790" i="5"/>
  <c r="H791" i="5"/>
  <c r="H792" i="5"/>
  <c r="H793" i="5"/>
  <c r="H794" i="5"/>
  <c r="H795" i="5"/>
  <c r="H796" i="5"/>
  <c r="H797" i="5"/>
  <c r="H798" i="5"/>
  <c r="H799" i="5"/>
  <c r="H800" i="5"/>
  <c r="H801" i="5"/>
  <c r="H802" i="5"/>
  <c r="H803" i="5"/>
  <c r="H804" i="5"/>
  <c r="H805" i="5"/>
  <c r="H806" i="5"/>
  <c r="H807" i="5"/>
  <c r="H808" i="5"/>
  <c r="H809" i="5"/>
  <c r="H810" i="5"/>
  <c r="H811" i="5"/>
  <c r="H812" i="5"/>
  <c r="H813" i="5"/>
  <c r="H814" i="5"/>
  <c r="H815" i="5"/>
  <c r="H816" i="5"/>
  <c r="H817" i="5"/>
  <c r="H818" i="5"/>
  <c r="H819" i="5"/>
  <c r="H820" i="5"/>
  <c r="H821" i="5"/>
  <c r="H822" i="5"/>
  <c r="H823" i="5"/>
  <c r="H824" i="5"/>
  <c r="H825" i="5"/>
  <c r="H826" i="5"/>
  <c r="H827" i="5"/>
  <c r="H828" i="5"/>
  <c r="H829" i="5"/>
  <c r="H830" i="5"/>
  <c r="H831" i="5"/>
  <c r="H832" i="5"/>
  <c r="H833" i="5"/>
  <c r="H834" i="5"/>
  <c r="H835" i="5"/>
  <c r="H836" i="5"/>
  <c r="H837" i="5"/>
  <c r="H838" i="5"/>
  <c r="H839" i="5"/>
  <c r="H840" i="5"/>
  <c r="H841" i="5"/>
  <c r="H842" i="5"/>
  <c r="H843" i="5"/>
  <c r="H844" i="5"/>
  <c r="H845" i="5"/>
  <c r="H846" i="5"/>
  <c r="H847" i="5"/>
  <c r="H848" i="5"/>
  <c r="H849" i="5"/>
  <c r="H850" i="5"/>
  <c r="H851" i="5"/>
  <c r="H852" i="5"/>
  <c r="H853" i="5"/>
  <c r="H854" i="5"/>
  <c r="H855" i="5"/>
  <c r="H856" i="5"/>
  <c r="H857" i="5"/>
  <c r="H858" i="5"/>
  <c r="H859" i="5"/>
  <c r="H860" i="5"/>
  <c r="H861" i="5"/>
  <c r="H862" i="5"/>
  <c r="H863" i="5"/>
  <c r="H864" i="5"/>
  <c r="H865" i="5"/>
  <c r="H866" i="5"/>
  <c r="H867" i="5"/>
  <c r="H868" i="5"/>
  <c r="H869" i="5"/>
  <c r="H870" i="5"/>
  <c r="H871" i="5"/>
  <c r="H872" i="5"/>
  <c r="H873" i="5"/>
  <c r="H874" i="5"/>
  <c r="H875" i="5"/>
  <c r="H876" i="5"/>
  <c r="H877" i="5"/>
  <c r="H878" i="5"/>
  <c r="H879" i="5"/>
  <c r="H880" i="5"/>
  <c r="H881" i="5"/>
  <c r="H882" i="5"/>
  <c r="H883" i="5"/>
  <c r="H884" i="5"/>
  <c r="H885" i="5"/>
  <c r="H886" i="5"/>
  <c r="H887" i="5"/>
  <c r="H888" i="5"/>
  <c r="H889" i="5"/>
  <c r="H890" i="5"/>
  <c r="H891" i="5"/>
  <c r="H892" i="5"/>
  <c r="H893" i="5"/>
  <c r="H894" i="5"/>
  <c r="H895" i="5"/>
  <c r="H896" i="5"/>
  <c r="H897" i="5"/>
  <c r="H898" i="5"/>
  <c r="H899" i="5"/>
  <c r="H900" i="5"/>
  <c r="H901" i="5"/>
  <c r="H902" i="5"/>
  <c r="H903" i="5"/>
  <c r="H904" i="5"/>
  <c r="H905" i="5"/>
  <c r="H906" i="5"/>
  <c r="H907" i="5"/>
  <c r="H908" i="5"/>
  <c r="H909" i="5"/>
  <c r="H910" i="5"/>
  <c r="H911" i="5"/>
  <c r="H912" i="5"/>
  <c r="H913" i="5"/>
  <c r="H914" i="5"/>
  <c r="H915" i="5"/>
  <c r="H916" i="5"/>
  <c r="H917" i="5"/>
  <c r="H918" i="5"/>
  <c r="H919" i="5"/>
  <c r="H920" i="5"/>
  <c r="H921" i="5"/>
  <c r="H922" i="5"/>
  <c r="H923" i="5"/>
  <c r="H924" i="5"/>
  <c r="H925" i="5"/>
  <c r="H926" i="5"/>
  <c r="H927" i="5"/>
  <c r="H928" i="5"/>
  <c r="H929" i="5"/>
  <c r="H930" i="5"/>
  <c r="H931" i="5"/>
  <c r="H932" i="5"/>
  <c r="H933" i="5"/>
  <c r="H934" i="5"/>
  <c r="H935" i="5"/>
  <c r="H936" i="5"/>
  <c r="H937" i="5"/>
  <c r="H938" i="5"/>
  <c r="H939" i="5"/>
  <c r="H940" i="5"/>
  <c r="H941" i="5"/>
  <c r="H942" i="5"/>
  <c r="H943" i="5"/>
  <c r="H944" i="5"/>
  <c r="H945" i="5"/>
  <c r="H946" i="5"/>
  <c r="H947" i="5"/>
  <c r="H948" i="5"/>
  <c r="H949" i="5"/>
  <c r="H950" i="5"/>
  <c r="H951" i="5"/>
  <c r="H952" i="5"/>
  <c r="H953" i="5"/>
  <c r="H954" i="5"/>
  <c r="H955" i="5"/>
  <c r="H956" i="5"/>
  <c r="H957" i="5"/>
  <c r="H958" i="5"/>
  <c r="H959" i="5"/>
  <c r="H960" i="5"/>
  <c r="H961" i="5"/>
  <c r="H962" i="5"/>
  <c r="H963" i="5"/>
  <c r="H964" i="5"/>
  <c r="H965" i="5"/>
  <c r="H966" i="5"/>
  <c r="H967" i="5"/>
  <c r="H968" i="5"/>
  <c r="H969" i="5"/>
  <c r="H970" i="5"/>
  <c r="H971" i="5"/>
  <c r="H972" i="5"/>
  <c r="H973" i="5"/>
  <c r="H974" i="5"/>
  <c r="H975" i="5"/>
  <c r="H976" i="5"/>
  <c r="H977" i="5"/>
  <c r="H978" i="5"/>
  <c r="H979" i="5"/>
  <c r="H980" i="5"/>
  <c r="H981" i="5"/>
  <c r="H982" i="5"/>
  <c r="H983" i="5"/>
  <c r="H984" i="5"/>
  <c r="H985" i="5"/>
  <c r="H986" i="5"/>
  <c r="H987" i="5"/>
  <c r="H988" i="5"/>
  <c r="H989" i="5"/>
  <c r="H990" i="5"/>
  <c r="H991" i="5"/>
  <c r="H992" i="5"/>
  <c r="H993" i="5"/>
  <c r="H994" i="5"/>
  <c r="H995" i="5"/>
  <c r="H996" i="5"/>
  <c r="H997" i="5"/>
  <c r="H998" i="5"/>
  <c r="H999" i="5"/>
  <c r="H1000" i="5"/>
  <c r="H1001" i="5"/>
  <c r="H1002" i="5"/>
  <c r="H1003" i="5"/>
  <c r="H1004" i="5"/>
  <c r="H1005" i="5"/>
  <c r="H1006" i="5"/>
  <c r="H1007" i="5"/>
  <c r="H1008" i="5"/>
  <c r="H1009" i="5"/>
  <c r="H1010" i="5"/>
  <c r="H1011" i="5"/>
  <c r="H1012" i="5"/>
  <c r="H1013" i="5"/>
  <c r="H1014" i="5"/>
  <c r="H1015" i="5"/>
  <c r="H1016" i="5"/>
  <c r="H1017" i="5"/>
  <c r="H1018" i="5"/>
  <c r="H1019" i="5"/>
  <c r="H1020" i="5"/>
  <c r="H1021" i="5"/>
  <c r="H1022" i="5"/>
  <c r="H1023" i="5"/>
  <c r="H1024" i="5"/>
  <c r="H1025" i="5"/>
  <c r="H1026" i="5"/>
  <c r="H1027" i="5"/>
  <c r="H1028" i="5"/>
  <c r="H1029" i="5"/>
  <c r="H1030" i="5"/>
  <c r="H1031" i="5"/>
  <c r="H1032" i="5"/>
  <c r="H1033" i="5"/>
  <c r="H1034" i="5"/>
  <c r="H1035" i="5"/>
  <c r="H1036" i="5"/>
  <c r="H1037" i="5"/>
  <c r="H1038" i="5"/>
  <c r="H1039" i="5"/>
  <c r="H1040" i="5"/>
  <c r="H1041" i="5"/>
  <c r="H1042" i="5"/>
  <c r="H1043" i="5"/>
  <c r="H1044" i="5"/>
  <c r="H1045" i="5"/>
  <c r="H1046" i="5"/>
  <c r="H1047" i="5"/>
  <c r="H1048" i="5"/>
  <c r="H1049" i="5"/>
  <c r="H1050" i="5"/>
  <c r="H1051" i="5"/>
  <c r="H1052" i="5"/>
  <c r="H1053" i="5"/>
  <c r="H1054" i="5"/>
  <c r="H1055" i="5"/>
  <c r="H1056" i="5"/>
  <c r="H1057" i="5"/>
  <c r="H1058" i="5"/>
  <c r="H1059" i="5"/>
  <c r="H1060" i="5"/>
  <c r="H1061" i="5"/>
  <c r="H1062" i="5"/>
  <c r="H1063" i="5"/>
  <c r="H1064" i="5"/>
  <c r="H1065" i="5"/>
  <c r="H1066" i="5"/>
  <c r="H1067" i="5"/>
  <c r="H1068" i="5"/>
  <c r="H1069" i="5"/>
  <c r="H1070" i="5"/>
  <c r="H1071" i="5"/>
  <c r="H1072" i="5"/>
  <c r="H1073" i="5"/>
  <c r="H1074" i="5"/>
  <c r="H1075" i="5"/>
  <c r="H1076" i="5"/>
  <c r="H1077" i="5"/>
  <c r="H1078" i="5"/>
  <c r="H1079" i="5"/>
  <c r="H1080" i="5"/>
  <c r="H1081" i="5"/>
  <c r="H1082" i="5"/>
  <c r="H1083" i="5"/>
  <c r="H1084" i="5"/>
  <c r="H1085" i="5"/>
  <c r="H1086" i="5"/>
  <c r="H1087" i="5"/>
  <c r="H1088" i="5"/>
  <c r="H1089" i="5"/>
  <c r="H1090" i="5"/>
  <c r="H1091" i="5"/>
  <c r="H1092" i="5"/>
  <c r="H1093" i="5"/>
  <c r="H1094" i="5"/>
  <c r="H1095" i="5"/>
  <c r="H1096" i="5"/>
  <c r="H1097" i="5"/>
  <c r="H1098" i="5"/>
  <c r="H1099" i="5"/>
  <c r="H1100" i="5"/>
  <c r="H1101" i="5"/>
  <c r="H1102" i="5"/>
  <c r="H1103" i="5"/>
  <c r="H1104" i="5"/>
  <c r="H1105" i="5"/>
  <c r="H1106" i="5"/>
  <c r="H1107" i="5"/>
  <c r="H1108" i="5"/>
  <c r="H1109" i="5"/>
  <c r="H1110" i="5"/>
  <c r="H1111" i="5"/>
  <c r="H1112" i="5"/>
  <c r="H1113" i="5"/>
  <c r="H1114" i="5"/>
  <c r="H1115" i="5"/>
  <c r="H1116" i="5"/>
  <c r="H1117" i="5"/>
  <c r="H1118" i="5"/>
  <c r="H1119" i="5"/>
  <c r="H1120" i="5"/>
  <c r="H1121" i="5"/>
  <c r="H1122" i="5"/>
  <c r="H1123" i="5"/>
  <c r="H1124" i="5"/>
  <c r="H1125" i="5"/>
  <c r="H1126" i="5"/>
  <c r="H1127" i="5"/>
  <c r="H1128" i="5"/>
  <c r="H1129" i="5"/>
  <c r="H1130" i="5"/>
  <c r="H1131" i="5"/>
  <c r="H1132" i="5"/>
  <c r="H1133" i="5"/>
  <c r="H1134" i="5"/>
  <c r="H1135" i="5"/>
  <c r="H1136" i="5"/>
  <c r="H1137" i="5"/>
  <c r="H1138" i="5"/>
  <c r="H1139" i="5"/>
  <c r="H1140" i="5"/>
  <c r="H1141" i="5"/>
  <c r="H1142" i="5"/>
  <c r="H1143" i="5"/>
  <c r="H1144" i="5"/>
  <c r="H1145" i="5"/>
  <c r="H1146" i="5"/>
  <c r="H1147" i="5"/>
  <c r="H1148" i="5"/>
  <c r="H1149" i="5"/>
  <c r="H1150" i="5"/>
  <c r="H1151" i="5"/>
  <c r="H1152" i="5"/>
  <c r="H1153" i="5"/>
  <c r="H1154" i="5"/>
  <c r="H1155" i="5"/>
  <c r="H1156" i="5"/>
  <c r="H1157" i="5"/>
  <c r="H1158" i="5"/>
  <c r="H1159" i="5"/>
  <c r="H1160" i="5"/>
  <c r="H1161" i="5"/>
  <c r="H1162" i="5"/>
  <c r="H1163" i="5"/>
  <c r="H1164" i="5"/>
  <c r="H1165" i="5"/>
  <c r="H1166" i="5"/>
  <c r="H1167" i="5"/>
  <c r="H1168" i="5"/>
  <c r="H1169" i="5"/>
  <c r="H1170" i="5"/>
  <c r="H1171" i="5"/>
  <c r="H1172" i="5"/>
  <c r="H1173" i="5"/>
  <c r="H1174" i="5"/>
  <c r="H1175" i="5"/>
  <c r="H1176" i="5"/>
  <c r="H1177" i="5"/>
  <c r="H1178" i="5"/>
  <c r="H1179" i="5"/>
  <c r="H1180" i="5"/>
  <c r="H1181" i="5"/>
  <c r="H1182" i="5"/>
  <c r="H1183" i="5"/>
  <c r="H1184" i="5"/>
  <c r="H1185" i="5"/>
  <c r="H1186" i="5"/>
  <c r="H1187" i="5"/>
  <c r="H1188" i="5"/>
  <c r="H1189" i="5"/>
  <c r="H1190" i="5"/>
  <c r="H1191" i="5"/>
  <c r="H1192" i="5"/>
  <c r="H1193" i="5"/>
  <c r="H1194" i="5"/>
  <c r="H1195" i="5"/>
  <c r="H1196" i="5"/>
  <c r="H1197" i="5"/>
  <c r="H1198" i="5"/>
  <c r="H1199" i="5"/>
  <c r="H1200" i="5"/>
  <c r="H1201" i="5"/>
  <c r="H1202" i="5"/>
  <c r="H1203" i="5"/>
  <c r="H1204" i="5"/>
  <c r="H1205" i="5"/>
  <c r="H1206" i="5"/>
  <c r="H1207" i="5"/>
  <c r="H1208" i="5"/>
  <c r="H1209" i="5"/>
  <c r="H1210" i="5"/>
  <c r="H1211" i="5"/>
  <c r="H1212" i="5"/>
  <c r="H1213" i="5"/>
  <c r="H1214" i="5"/>
  <c r="H1215" i="5"/>
  <c r="H1216" i="5"/>
  <c r="H1217" i="5"/>
  <c r="H1218" i="5"/>
  <c r="H1219" i="5"/>
  <c r="H1220" i="5"/>
  <c r="H1221" i="5"/>
  <c r="H1222" i="5"/>
  <c r="H1223" i="5"/>
  <c r="H1224" i="5"/>
  <c r="H1225" i="5"/>
  <c r="H1226" i="5"/>
  <c r="H1227" i="5"/>
  <c r="H1228" i="5"/>
  <c r="H1229" i="5"/>
  <c r="H1230" i="5"/>
  <c r="H1231" i="5"/>
  <c r="H1232" i="5"/>
  <c r="H1233" i="5"/>
  <c r="H1234" i="5"/>
  <c r="H1235" i="5"/>
  <c r="H1236" i="5"/>
  <c r="H1237" i="5"/>
  <c r="H1238" i="5"/>
  <c r="H1239" i="5"/>
  <c r="H1240" i="5"/>
  <c r="H1241" i="5"/>
  <c r="H1242" i="5"/>
  <c r="H1243" i="5"/>
  <c r="H1244" i="5"/>
  <c r="H1245" i="5"/>
  <c r="H1246" i="5"/>
  <c r="H1247" i="5"/>
  <c r="H1248" i="5"/>
  <c r="H1249" i="5"/>
  <c r="H1250" i="5"/>
  <c r="H1251" i="5"/>
  <c r="H1252" i="5"/>
  <c r="H1253" i="5"/>
  <c r="H1254" i="5"/>
  <c r="H1255" i="5"/>
  <c r="H1256" i="5"/>
  <c r="H1257" i="5"/>
  <c r="H1258" i="5"/>
  <c r="H1259" i="5"/>
  <c r="H1260" i="5"/>
  <c r="H1261" i="5"/>
  <c r="H1262" i="5"/>
  <c r="H1263" i="5"/>
  <c r="H1264" i="5"/>
  <c r="H1265" i="5"/>
  <c r="H1266" i="5"/>
  <c r="H1267" i="5"/>
  <c r="H1268" i="5"/>
  <c r="H1269" i="5"/>
  <c r="H1270" i="5"/>
  <c r="H1271" i="5"/>
  <c r="H1272" i="5"/>
  <c r="H1273" i="5"/>
  <c r="H1274" i="5"/>
  <c r="H1275" i="5"/>
  <c r="H1276" i="5"/>
  <c r="H1277" i="5"/>
  <c r="H1278" i="5"/>
  <c r="H1279" i="5"/>
  <c r="H1280" i="5"/>
  <c r="H1281" i="5"/>
  <c r="H1282" i="5"/>
  <c r="H1283" i="5"/>
  <c r="H1284" i="5"/>
  <c r="H1285" i="5"/>
  <c r="H1286" i="5"/>
  <c r="H1287" i="5"/>
  <c r="H1288" i="5"/>
  <c r="H1289" i="5"/>
  <c r="H1290" i="5"/>
  <c r="H1291" i="5"/>
  <c r="H1292" i="5"/>
  <c r="H1293" i="5"/>
  <c r="H1294" i="5"/>
  <c r="H1295" i="5"/>
  <c r="H1296" i="5"/>
  <c r="H1297" i="5"/>
  <c r="H1298" i="5"/>
  <c r="H1299" i="5"/>
  <c r="H1300" i="5"/>
  <c r="H1301" i="5"/>
  <c r="H1302" i="5"/>
  <c r="H1303" i="5"/>
  <c r="H1304" i="5"/>
  <c r="H1305" i="5"/>
  <c r="H1306" i="5"/>
  <c r="H1307" i="5"/>
  <c r="H1308" i="5"/>
  <c r="H1309" i="5"/>
  <c r="H1310" i="5"/>
  <c r="H1311" i="5"/>
  <c r="H1312" i="5"/>
  <c r="H1313" i="5"/>
  <c r="H1314" i="5"/>
  <c r="H1315" i="5"/>
  <c r="H1316" i="5"/>
  <c r="H1317" i="5"/>
  <c r="H1318" i="5"/>
  <c r="H1319" i="5"/>
  <c r="H1320" i="5"/>
  <c r="H1321" i="5"/>
  <c r="H1322" i="5"/>
  <c r="H1323" i="5"/>
  <c r="H1324" i="5"/>
  <c r="H1325" i="5"/>
  <c r="H1326" i="5"/>
  <c r="H1327" i="5"/>
  <c r="H1328" i="5"/>
  <c r="H1329" i="5"/>
  <c r="H1330" i="5"/>
  <c r="H1331" i="5"/>
  <c r="H1332" i="5"/>
  <c r="H1333" i="5"/>
  <c r="H1334" i="5"/>
  <c r="H1335" i="5"/>
  <c r="H1336" i="5"/>
  <c r="H1337" i="5"/>
  <c r="H1338" i="5"/>
  <c r="H1339" i="5"/>
  <c r="H1340" i="5"/>
  <c r="H1341" i="5"/>
  <c r="H1342" i="5"/>
  <c r="H1343" i="5"/>
  <c r="H1344" i="5"/>
  <c r="H1345" i="5"/>
  <c r="H1346" i="5"/>
  <c r="H1347" i="5"/>
  <c r="H1348" i="5"/>
  <c r="H1349" i="5"/>
  <c r="H1350" i="5"/>
  <c r="H1351" i="5"/>
  <c r="H1352" i="5"/>
  <c r="H1353" i="5"/>
  <c r="H1354" i="5"/>
  <c r="H1355" i="5"/>
  <c r="H1356" i="5"/>
  <c r="H1357" i="5"/>
  <c r="H1358" i="5"/>
  <c r="H1359" i="5"/>
  <c r="H1360" i="5"/>
  <c r="H1361" i="5"/>
  <c r="H1362" i="5"/>
  <c r="H1363" i="5"/>
  <c r="H1364" i="5"/>
  <c r="H1365" i="5"/>
  <c r="H1366" i="5"/>
  <c r="H1367" i="5"/>
  <c r="H1368" i="5"/>
  <c r="H1369" i="5"/>
  <c r="H1370" i="5"/>
  <c r="H1371" i="5"/>
  <c r="H1372" i="5"/>
  <c r="H1373" i="5"/>
  <c r="H1374" i="5"/>
  <c r="H1375" i="5"/>
  <c r="H1376" i="5"/>
  <c r="H1377" i="5"/>
  <c r="H1378" i="5"/>
  <c r="H1379" i="5"/>
  <c r="H1380" i="5"/>
  <c r="H1381" i="5"/>
  <c r="H1382" i="5"/>
  <c r="H1383" i="5"/>
  <c r="H1384" i="5"/>
  <c r="H1385" i="5"/>
  <c r="H1386" i="5"/>
  <c r="H1387" i="5"/>
  <c r="H1388" i="5"/>
  <c r="H1389" i="5"/>
  <c r="H1390" i="5"/>
  <c r="H1391" i="5"/>
  <c r="H1392" i="5"/>
  <c r="H1393" i="5"/>
  <c r="H1394" i="5"/>
  <c r="H1395" i="5"/>
  <c r="H1396" i="5"/>
  <c r="H1397" i="5"/>
  <c r="H1398" i="5"/>
  <c r="H1399" i="5"/>
  <c r="H1400" i="5"/>
  <c r="H1401" i="5"/>
  <c r="H1402" i="5"/>
  <c r="H1403" i="5"/>
  <c r="H1404" i="5"/>
  <c r="H1405" i="5"/>
  <c r="H1406" i="5"/>
  <c r="H1407" i="5"/>
  <c r="H1408" i="5"/>
  <c r="H1409" i="5"/>
  <c r="H1410" i="5"/>
  <c r="H1411" i="5"/>
  <c r="H1412" i="5"/>
  <c r="H1413" i="5"/>
  <c r="H1414" i="5"/>
  <c r="H1415" i="5"/>
  <c r="H1416" i="5"/>
  <c r="H1417" i="5"/>
  <c r="H1418" i="5"/>
  <c r="H1419" i="5"/>
  <c r="H1420" i="5"/>
  <c r="H1421" i="5"/>
  <c r="H1422" i="5"/>
  <c r="H1423" i="5"/>
  <c r="H1424" i="5"/>
  <c r="H1425" i="5"/>
  <c r="H1426" i="5"/>
  <c r="H1427" i="5"/>
  <c r="H1428" i="5"/>
  <c r="H1429" i="5"/>
  <c r="H1430" i="5"/>
  <c r="H1431" i="5"/>
  <c r="H1432" i="5"/>
  <c r="H1433" i="5"/>
  <c r="H1434" i="5"/>
  <c r="H1435" i="5"/>
  <c r="H1436" i="5"/>
  <c r="H1437" i="5"/>
  <c r="H1438" i="5"/>
  <c r="H1439" i="5"/>
  <c r="H1440" i="5"/>
  <c r="H1441" i="5"/>
  <c r="H1442" i="5"/>
  <c r="H1443" i="5"/>
  <c r="H1444" i="5"/>
  <c r="H1445" i="5"/>
  <c r="H1446" i="5"/>
  <c r="H1447" i="5"/>
  <c r="H1448" i="5"/>
  <c r="H1449" i="5"/>
  <c r="H1450" i="5"/>
  <c r="H1451" i="5"/>
  <c r="H1452" i="5"/>
  <c r="H1453" i="5"/>
  <c r="H1454" i="5"/>
  <c r="H1455" i="5"/>
  <c r="H1456" i="5"/>
  <c r="H1457" i="5"/>
  <c r="H1458" i="5"/>
  <c r="H1459" i="5"/>
  <c r="H1460" i="5"/>
  <c r="H1461" i="5"/>
  <c r="H1462" i="5"/>
  <c r="H1463" i="5"/>
  <c r="H1464" i="5"/>
  <c r="H1465" i="5"/>
  <c r="H1466" i="5"/>
  <c r="H1467" i="5"/>
  <c r="H1468" i="5"/>
  <c r="H1469" i="5"/>
  <c r="H1470" i="5"/>
  <c r="H1471" i="5"/>
  <c r="H1472" i="5"/>
  <c r="H1473" i="5"/>
  <c r="H1474" i="5"/>
  <c r="H1475" i="5"/>
  <c r="H1476" i="5"/>
  <c r="H1477" i="5"/>
  <c r="H1478" i="5"/>
  <c r="H1479" i="5"/>
  <c r="H1480" i="5"/>
  <c r="H1481" i="5"/>
  <c r="H1482" i="5"/>
  <c r="H1483" i="5"/>
  <c r="H1484" i="5"/>
  <c r="H1485" i="5"/>
  <c r="H1486" i="5"/>
  <c r="H1487" i="5"/>
  <c r="H1488" i="5"/>
  <c r="H1489" i="5"/>
  <c r="H1490" i="5"/>
  <c r="H1491" i="5"/>
  <c r="H1492" i="5"/>
  <c r="H1493" i="5"/>
  <c r="H1494" i="5"/>
  <c r="H1495" i="5"/>
  <c r="H1496" i="5"/>
  <c r="H1497" i="5"/>
  <c r="H1498" i="5"/>
  <c r="H1499" i="5"/>
  <c r="H1500" i="5"/>
  <c r="H1501" i="5"/>
  <c r="H1502" i="5"/>
  <c r="H1503" i="5"/>
  <c r="H1504" i="5"/>
  <c r="H1505" i="5"/>
  <c r="H1506" i="5"/>
  <c r="H1507" i="5"/>
  <c r="H1508" i="5"/>
  <c r="H1509" i="5"/>
  <c r="H1510" i="5"/>
  <c r="H1511" i="5"/>
  <c r="H1512" i="5"/>
  <c r="H1513" i="5"/>
  <c r="H1514" i="5"/>
  <c r="H1515" i="5"/>
  <c r="H1516" i="5"/>
  <c r="H1517" i="5"/>
  <c r="H1518" i="5"/>
  <c r="H1519" i="5"/>
  <c r="H1520" i="5"/>
  <c r="H1521" i="5"/>
  <c r="H1522" i="5"/>
  <c r="H1523" i="5"/>
  <c r="H1524" i="5"/>
  <c r="H1525" i="5"/>
  <c r="H1526" i="5"/>
  <c r="H1527" i="5"/>
  <c r="H1528" i="5"/>
  <c r="H1529" i="5"/>
  <c r="H1530" i="5"/>
  <c r="H1531" i="5"/>
  <c r="H1532" i="5"/>
  <c r="H1533" i="5"/>
  <c r="H1534" i="5"/>
  <c r="H1535" i="5"/>
  <c r="H1536" i="5"/>
  <c r="H1537" i="5"/>
  <c r="H1538" i="5"/>
  <c r="H1539" i="5"/>
  <c r="H1540" i="5"/>
  <c r="H1541" i="5"/>
  <c r="H1542" i="5"/>
  <c r="H1543" i="5"/>
  <c r="H1544" i="5"/>
  <c r="H1545" i="5"/>
  <c r="H1546" i="5"/>
  <c r="H1547" i="5"/>
  <c r="H1548" i="5"/>
  <c r="H1549" i="5"/>
  <c r="H1550" i="5"/>
  <c r="H1551" i="5"/>
  <c r="H1552" i="5"/>
  <c r="H1553" i="5"/>
  <c r="H1554" i="5"/>
  <c r="H1555" i="5"/>
  <c r="H1556" i="5"/>
  <c r="H1557" i="5"/>
  <c r="H1558" i="5"/>
  <c r="H1559" i="5"/>
  <c r="H1560" i="5"/>
  <c r="H1561" i="5"/>
  <c r="H1562" i="5"/>
  <c r="H1563" i="5"/>
  <c r="H1564" i="5"/>
  <c r="H1565" i="5"/>
  <c r="H1566" i="5"/>
  <c r="H1567" i="5"/>
  <c r="H1568" i="5"/>
  <c r="H1569" i="5"/>
  <c r="H1570" i="5"/>
  <c r="H1571" i="5"/>
  <c r="H1572" i="5"/>
  <c r="H1573" i="5"/>
  <c r="H1574" i="5"/>
  <c r="H1575" i="5"/>
  <c r="H1576" i="5"/>
  <c r="H1577" i="5"/>
  <c r="H1578" i="5"/>
  <c r="H1579" i="5"/>
  <c r="H1580" i="5"/>
  <c r="H1581" i="5"/>
  <c r="H1582" i="5"/>
  <c r="H1583" i="5"/>
  <c r="H1584" i="5"/>
  <c r="H1585" i="5"/>
  <c r="H1586" i="5"/>
  <c r="H1587" i="5"/>
  <c r="H1588" i="5"/>
  <c r="H1589" i="5"/>
  <c r="H1590" i="5"/>
  <c r="H1591" i="5"/>
  <c r="H1592" i="5"/>
  <c r="H1593" i="5"/>
  <c r="H1594" i="5"/>
  <c r="H1595" i="5"/>
  <c r="H1596" i="5"/>
  <c r="H1597" i="5"/>
  <c r="H1598" i="5"/>
  <c r="H1599" i="5"/>
  <c r="H1600" i="5"/>
  <c r="H1601" i="5"/>
  <c r="H1602" i="5"/>
  <c r="H1603" i="5"/>
  <c r="H1604" i="5"/>
  <c r="H1605" i="5"/>
  <c r="H1606" i="5"/>
  <c r="H1607" i="5"/>
  <c r="H1608" i="5"/>
  <c r="H1609" i="5"/>
  <c r="H1610" i="5"/>
  <c r="H1611" i="5"/>
  <c r="H1612" i="5"/>
  <c r="H1613" i="5"/>
  <c r="H1614" i="5"/>
  <c r="H1615" i="5"/>
  <c r="H1616" i="5"/>
  <c r="H1617" i="5"/>
  <c r="H1618" i="5"/>
  <c r="H1619" i="5"/>
  <c r="H1620" i="5"/>
  <c r="H1621" i="5"/>
  <c r="H1622" i="5"/>
  <c r="H1623" i="5"/>
  <c r="H1624" i="5"/>
  <c r="H1625" i="5"/>
  <c r="H1626" i="5"/>
  <c r="H1627" i="5"/>
  <c r="H1628" i="5"/>
  <c r="H1629" i="5"/>
  <c r="H1630" i="5"/>
  <c r="H1631" i="5"/>
  <c r="H1632" i="5"/>
  <c r="H1633" i="5"/>
  <c r="H1634" i="5"/>
  <c r="H1635" i="5"/>
  <c r="H1636" i="5"/>
  <c r="H1637" i="5"/>
  <c r="H1638" i="5"/>
  <c r="H1639" i="5"/>
  <c r="H1640" i="5"/>
  <c r="H1641" i="5"/>
  <c r="H1642" i="5"/>
  <c r="H1643" i="5"/>
  <c r="H1644" i="5"/>
  <c r="H1645" i="5"/>
  <c r="H1646" i="5"/>
  <c r="H1647" i="5"/>
  <c r="H1648" i="5"/>
  <c r="H1649" i="5"/>
  <c r="H1650" i="5"/>
  <c r="H1651" i="5"/>
  <c r="H1652" i="5"/>
  <c r="H1653" i="5"/>
  <c r="H1654" i="5"/>
  <c r="H1655" i="5"/>
  <c r="H1656" i="5"/>
  <c r="H1657" i="5"/>
  <c r="H1658" i="5"/>
  <c r="H1659" i="5"/>
  <c r="H1660" i="5"/>
  <c r="H1661" i="5"/>
  <c r="H1662" i="5"/>
  <c r="H1663" i="5"/>
  <c r="H1664" i="5"/>
  <c r="H1665" i="5"/>
  <c r="H1666" i="5"/>
  <c r="H1667" i="5"/>
  <c r="H1668" i="5"/>
  <c r="H1669" i="5"/>
  <c r="H1670" i="5"/>
  <c r="H1671" i="5"/>
  <c r="H1672" i="5"/>
  <c r="H1673" i="5"/>
  <c r="H1674" i="5"/>
  <c r="H1675" i="5"/>
  <c r="H1676" i="5"/>
  <c r="H1677" i="5"/>
  <c r="H1678" i="5"/>
  <c r="H1679" i="5"/>
  <c r="H1680" i="5"/>
  <c r="H1681" i="5"/>
  <c r="H1682" i="5"/>
  <c r="H1683" i="5"/>
  <c r="H1684" i="5"/>
  <c r="H1685" i="5"/>
  <c r="H1686" i="5"/>
  <c r="H1687" i="5"/>
  <c r="H1688" i="5"/>
  <c r="H1689" i="5"/>
  <c r="H1690" i="5"/>
  <c r="H1691" i="5"/>
  <c r="H1692" i="5"/>
  <c r="H1693" i="5"/>
  <c r="H1694" i="5"/>
  <c r="H1695" i="5"/>
  <c r="H1696" i="5"/>
  <c r="H1697" i="5"/>
  <c r="H1698" i="5"/>
  <c r="H1699" i="5"/>
  <c r="H1700" i="5"/>
  <c r="H1701" i="5"/>
  <c r="H1702" i="5"/>
  <c r="H1703" i="5"/>
  <c r="H1704" i="5"/>
  <c r="H1705" i="5"/>
  <c r="H1706" i="5"/>
  <c r="H1707" i="5"/>
  <c r="H1708" i="5"/>
  <c r="H1709" i="5"/>
  <c r="H1710" i="5"/>
  <c r="H1711" i="5"/>
  <c r="H1712" i="5"/>
  <c r="H1713" i="5"/>
  <c r="H1714" i="5"/>
  <c r="H1715" i="5"/>
  <c r="H1716" i="5"/>
  <c r="H1717" i="5"/>
  <c r="H1718" i="5"/>
  <c r="H1719" i="5"/>
  <c r="H1720" i="5"/>
  <c r="H1721" i="5"/>
  <c r="H1722" i="5"/>
  <c r="H1723" i="5"/>
  <c r="H1724" i="5"/>
  <c r="H1725" i="5"/>
  <c r="H1726" i="5"/>
  <c r="H1727" i="5"/>
  <c r="H1728" i="5"/>
  <c r="H1729" i="5"/>
  <c r="H1730" i="5"/>
  <c r="H1731" i="5"/>
  <c r="H1732" i="5"/>
  <c r="H1733" i="5"/>
  <c r="H1734" i="5"/>
  <c r="H1735" i="5"/>
  <c r="H1736" i="5"/>
  <c r="H1737" i="5"/>
  <c r="H1738" i="5"/>
  <c r="H1739" i="5"/>
  <c r="H1740" i="5"/>
  <c r="H1741" i="5"/>
  <c r="H1742" i="5"/>
  <c r="H1743" i="5"/>
  <c r="H1744" i="5"/>
  <c r="H1745" i="5"/>
  <c r="H1746" i="5"/>
  <c r="H1747" i="5"/>
  <c r="H1748" i="5"/>
  <c r="H1749" i="5"/>
  <c r="H1750" i="5"/>
  <c r="H1751" i="5"/>
  <c r="H1752" i="5"/>
  <c r="H1753" i="5"/>
  <c r="H1754" i="5"/>
  <c r="H1755" i="5"/>
  <c r="H1756" i="5"/>
  <c r="H1757" i="5"/>
  <c r="H1758" i="5"/>
  <c r="H1759" i="5"/>
  <c r="H1760" i="5"/>
  <c r="H1761" i="5"/>
  <c r="H1762" i="5"/>
  <c r="H1763" i="5"/>
  <c r="H1764" i="5"/>
  <c r="H1765" i="5"/>
  <c r="H1766" i="5"/>
  <c r="H1767" i="5"/>
  <c r="H1768" i="5"/>
  <c r="H1769" i="5"/>
  <c r="H1770" i="5"/>
  <c r="H1771" i="5"/>
  <c r="H1772" i="5"/>
  <c r="H1773" i="5"/>
  <c r="H1774" i="5"/>
  <c r="H1775" i="5"/>
  <c r="H1776" i="5"/>
  <c r="H1777" i="5"/>
  <c r="H1778" i="5"/>
  <c r="H1779" i="5"/>
  <c r="H1780" i="5"/>
  <c r="H1781" i="5"/>
  <c r="H1782" i="5"/>
  <c r="H1783" i="5"/>
  <c r="H1784" i="5"/>
  <c r="H1785" i="5"/>
  <c r="H1786" i="5"/>
  <c r="H1787" i="5"/>
  <c r="H1788" i="5"/>
  <c r="H1789" i="5"/>
  <c r="H1790" i="5"/>
  <c r="H1791" i="5"/>
  <c r="H1792" i="5"/>
  <c r="H1793" i="5"/>
  <c r="H1794" i="5"/>
  <c r="H1795" i="5"/>
  <c r="H1796" i="5"/>
  <c r="H1797" i="5"/>
  <c r="H1798" i="5"/>
  <c r="H1799" i="5"/>
  <c r="H1800" i="5"/>
  <c r="H1801" i="5"/>
  <c r="H1802" i="5"/>
  <c r="H1803" i="5"/>
  <c r="H1804" i="5"/>
  <c r="H1805" i="5"/>
  <c r="H1806" i="5"/>
  <c r="H1807" i="5"/>
  <c r="H1808" i="5"/>
  <c r="H1809" i="5"/>
  <c r="H1810" i="5"/>
  <c r="H1811" i="5"/>
  <c r="H1812" i="5"/>
  <c r="H1813" i="5"/>
  <c r="H1814" i="5"/>
  <c r="H1815" i="5"/>
  <c r="H1816" i="5"/>
  <c r="H1817" i="5"/>
  <c r="H1818" i="5"/>
  <c r="H1819" i="5"/>
  <c r="H1820" i="5"/>
  <c r="H1821" i="5"/>
  <c r="H1822" i="5"/>
  <c r="H1823" i="5"/>
  <c r="H1824" i="5"/>
  <c r="H1825" i="5"/>
  <c r="H1826" i="5"/>
  <c r="H1827" i="5"/>
  <c r="H1828" i="5"/>
  <c r="H1829" i="5"/>
  <c r="H1830" i="5"/>
  <c r="H1831" i="5"/>
  <c r="H1832" i="5"/>
  <c r="H1833" i="5"/>
  <c r="H1834" i="5"/>
  <c r="H1835" i="5"/>
  <c r="H1836" i="5"/>
  <c r="H1837" i="5"/>
  <c r="H1838" i="5"/>
  <c r="H1839" i="5"/>
  <c r="H1840" i="5"/>
  <c r="H1841" i="5"/>
  <c r="H1842" i="5"/>
  <c r="H1843" i="5"/>
  <c r="H1844" i="5"/>
  <c r="H1845" i="5"/>
  <c r="H1846" i="5"/>
  <c r="H1847" i="5"/>
  <c r="H1848" i="5"/>
  <c r="H1849" i="5"/>
  <c r="H1850" i="5"/>
  <c r="H1851" i="5"/>
  <c r="H1852" i="5"/>
  <c r="H1853" i="5"/>
  <c r="H1854" i="5"/>
  <c r="H1855" i="5"/>
  <c r="H1856" i="5"/>
  <c r="H1857" i="5"/>
  <c r="H1858" i="5"/>
  <c r="H1859" i="5"/>
  <c r="H1860" i="5"/>
  <c r="H1861" i="5"/>
  <c r="H1862" i="5"/>
  <c r="H1863" i="5"/>
  <c r="H1864" i="5"/>
  <c r="H1865" i="5"/>
  <c r="H1866" i="5"/>
  <c r="H1867" i="5"/>
  <c r="H1868" i="5"/>
  <c r="H1869" i="5"/>
  <c r="H1870" i="5"/>
  <c r="H1871" i="5"/>
  <c r="H1872" i="5"/>
  <c r="H1873" i="5"/>
  <c r="H1874" i="5"/>
  <c r="H1875" i="5"/>
  <c r="H1876" i="5"/>
  <c r="H1877" i="5"/>
  <c r="H1878" i="5"/>
  <c r="H1879" i="5"/>
  <c r="H1880" i="5"/>
  <c r="H1881" i="5"/>
  <c r="H1882" i="5"/>
  <c r="H1883" i="5"/>
  <c r="H1884" i="5"/>
  <c r="H1885" i="5"/>
  <c r="H1886" i="5"/>
  <c r="H1887" i="5"/>
  <c r="H1888" i="5"/>
  <c r="H1889" i="5"/>
  <c r="H1890" i="5"/>
  <c r="H1891" i="5"/>
  <c r="H1892" i="5"/>
  <c r="H1893" i="5"/>
  <c r="H1894" i="5"/>
  <c r="H1895" i="5"/>
  <c r="H1896" i="5"/>
  <c r="H1897" i="5"/>
  <c r="H1898" i="5"/>
  <c r="H1899" i="5"/>
  <c r="H1900" i="5"/>
  <c r="H1901" i="5"/>
  <c r="H1902" i="5"/>
  <c r="H1903" i="5"/>
  <c r="H1904" i="5"/>
  <c r="H1905" i="5"/>
  <c r="H1906" i="5"/>
  <c r="H1907" i="5"/>
  <c r="H1908" i="5"/>
  <c r="H1909" i="5"/>
  <c r="H1910" i="5"/>
  <c r="H1911" i="5"/>
  <c r="H1912" i="5"/>
  <c r="H1913" i="5"/>
  <c r="H1914" i="5"/>
  <c r="H1915" i="5"/>
  <c r="H1916" i="5"/>
  <c r="H1917" i="5"/>
  <c r="H1918" i="5"/>
  <c r="H1919" i="5"/>
  <c r="H1920" i="5"/>
  <c r="H1921" i="5"/>
  <c r="H1922" i="5"/>
  <c r="H1923" i="5"/>
  <c r="H1924" i="5"/>
  <c r="H1925" i="5"/>
  <c r="H1926" i="5"/>
  <c r="H1927" i="5"/>
  <c r="H1928" i="5"/>
  <c r="H1929" i="5"/>
  <c r="H1930" i="5"/>
  <c r="H1931" i="5"/>
  <c r="H1932" i="5"/>
  <c r="H1933" i="5"/>
  <c r="H1934" i="5"/>
  <c r="H1935" i="5"/>
  <c r="H1936" i="5"/>
  <c r="H1937" i="5"/>
  <c r="H1938" i="5"/>
  <c r="H1939" i="5"/>
  <c r="H1940" i="5"/>
  <c r="H1941" i="5"/>
  <c r="H1942" i="5"/>
  <c r="H1943" i="5"/>
  <c r="H1944" i="5"/>
  <c r="H1945" i="5"/>
  <c r="H1946" i="5"/>
  <c r="H1947" i="5"/>
  <c r="H1948" i="5"/>
  <c r="H1949" i="5"/>
  <c r="H1950" i="5"/>
  <c r="H1951" i="5"/>
  <c r="H1952" i="5"/>
  <c r="H1953" i="5"/>
  <c r="H1954" i="5"/>
  <c r="H1955" i="5"/>
  <c r="H1956" i="5"/>
  <c r="H1957" i="5"/>
  <c r="H1958" i="5"/>
  <c r="H1959" i="5"/>
  <c r="H1960" i="5"/>
  <c r="H1961" i="5"/>
  <c r="H1962" i="5"/>
  <c r="H1963" i="5"/>
  <c r="H1964" i="5"/>
  <c r="H1965" i="5"/>
  <c r="H1966" i="5"/>
  <c r="H1967" i="5"/>
  <c r="H1968" i="5"/>
  <c r="H1969" i="5"/>
  <c r="H1970" i="5"/>
  <c r="H1971" i="5"/>
  <c r="H1972" i="5"/>
  <c r="H1973" i="5"/>
  <c r="H1974" i="5"/>
  <c r="H1975" i="5"/>
  <c r="H1976" i="5"/>
  <c r="H1977" i="5"/>
  <c r="H1978" i="5"/>
  <c r="H1979" i="5"/>
  <c r="H1980" i="5"/>
  <c r="H1981" i="5"/>
  <c r="H1982" i="5"/>
  <c r="H1983" i="5"/>
  <c r="H1984" i="5"/>
  <c r="H1985" i="5"/>
  <c r="H1986" i="5"/>
  <c r="H1987" i="5"/>
  <c r="H1988" i="5"/>
  <c r="H1989" i="5"/>
  <c r="H1990" i="5"/>
  <c r="H1991" i="5"/>
  <c r="H1992" i="5"/>
  <c r="H1993" i="5"/>
  <c r="H1994" i="5"/>
  <c r="H1995" i="5"/>
  <c r="H1996" i="5"/>
  <c r="H1997" i="5"/>
  <c r="H1998" i="5"/>
  <c r="H1999" i="5"/>
  <c r="H2000" i="5"/>
  <c r="H2001" i="5"/>
  <c r="H2002" i="5"/>
  <c r="H2003" i="5"/>
  <c r="H2004" i="5"/>
  <c r="H2005" i="5"/>
  <c r="H2006" i="5"/>
  <c r="H2007" i="5"/>
  <c r="H2008" i="5"/>
  <c r="H2009" i="5"/>
  <c r="H2010" i="5"/>
  <c r="H2011" i="5"/>
  <c r="H2012" i="5"/>
  <c r="H2013" i="5"/>
  <c r="H2014" i="5"/>
  <c r="H2015" i="5"/>
  <c r="H2016" i="5"/>
  <c r="H2017" i="5"/>
  <c r="H2018" i="5"/>
  <c r="H2019" i="5"/>
  <c r="H2020" i="5"/>
  <c r="H2021" i="5"/>
  <c r="H2022" i="5"/>
  <c r="H2023" i="5"/>
  <c r="H2024" i="5"/>
  <c r="H2025" i="5"/>
  <c r="H2026" i="5"/>
  <c r="H2027" i="5"/>
  <c r="H2028" i="5"/>
  <c r="H2029" i="5"/>
  <c r="H2030" i="5"/>
  <c r="H2031" i="5"/>
  <c r="H2032" i="5"/>
  <c r="H2033" i="5"/>
  <c r="H2034" i="5"/>
  <c r="H2035" i="5"/>
  <c r="H2036" i="5"/>
  <c r="H2037" i="5"/>
  <c r="H2038" i="5"/>
  <c r="H2039" i="5"/>
  <c r="H2040" i="5"/>
  <c r="H2041" i="5"/>
  <c r="H2042" i="5"/>
  <c r="H2043" i="5"/>
  <c r="H2044" i="5"/>
  <c r="H2045" i="5"/>
  <c r="H2046" i="5"/>
  <c r="H2047" i="5"/>
  <c r="H2048" i="5"/>
  <c r="H2049" i="5"/>
  <c r="H2050" i="5"/>
  <c r="H2051" i="5"/>
  <c r="H2052" i="5"/>
  <c r="H2053" i="5"/>
  <c r="H2054" i="5"/>
  <c r="H2055" i="5"/>
  <c r="H2056" i="5"/>
  <c r="H2057" i="5"/>
  <c r="H2058" i="5"/>
  <c r="H2059" i="5"/>
  <c r="H2060" i="5"/>
  <c r="H2061" i="5"/>
  <c r="H2062" i="5"/>
  <c r="H2063" i="5"/>
  <c r="H2064" i="5"/>
  <c r="H2065" i="5"/>
  <c r="H2066" i="5"/>
  <c r="H2067" i="5"/>
  <c r="H2068" i="5"/>
  <c r="H2069" i="5"/>
  <c r="H2070" i="5"/>
  <c r="H2071" i="5"/>
  <c r="H2072" i="5"/>
  <c r="H2073" i="5"/>
  <c r="H2074" i="5"/>
  <c r="H2075" i="5"/>
  <c r="H2076" i="5"/>
  <c r="H2077" i="5"/>
  <c r="H2078" i="5"/>
  <c r="H2079" i="5"/>
  <c r="H2080" i="5"/>
  <c r="H2081" i="5"/>
  <c r="H2082" i="5"/>
  <c r="H2083" i="5"/>
  <c r="H2084" i="5"/>
  <c r="H2085" i="5"/>
  <c r="H2086" i="5"/>
  <c r="H2087" i="5"/>
  <c r="H2088" i="5"/>
  <c r="H2089" i="5"/>
  <c r="H2090" i="5"/>
  <c r="H2091" i="5"/>
  <c r="H2092" i="5"/>
  <c r="H2093" i="5"/>
  <c r="H2094" i="5"/>
  <c r="H2095" i="5"/>
  <c r="H2096" i="5"/>
  <c r="H2097" i="5"/>
  <c r="H2098" i="5"/>
  <c r="H2099" i="5"/>
  <c r="H2100" i="5"/>
  <c r="H2101" i="5"/>
  <c r="H2102" i="5"/>
  <c r="H2103" i="5"/>
  <c r="H2104" i="5"/>
  <c r="H2105" i="5"/>
  <c r="H2106" i="5"/>
  <c r="H2107" i="5"/>
  <c r="H2108" i="5"/>
  <c r="H2109" i="5"/>
  <c r="H2110" i="5"/>
  <c r="H2111" i="5"/>
  <c r="H2112" i="5"/>
  <c r="H2113" i="5"/>
  <c r="H2114" i="5"/>
  <c r="H2115" i="5"/>
  <c r="H2116" i="5"/>
  <c r="H2117" i="5"/>
  <c r="H2118" i="5"/>
  <c r="H2119" i="5"/>
  <c r="H2120" i="5"/>
  <c r="H2121" i="5"/>
  <c r="H2122" i="5"/>
  <c r="H2123" i="5"/>
  <c r="H2124" i="5"/>
  <c r="H2125" i="5"/>
  <c r="H2126" i="5"/>
  <c r="H2127" i="5"/>
  <c r="H2128" i="5"/>
  <c r="H2129" i="5"/>
  <c r="H2130" i="5"/>
  <c r="H2131" i="5"/>
  <c r="H2132" i="5"/>
  <c r="H2133" i="5"/>
  <c r="H2134" i="5"/>
  <c r="H2135" i="5"/>
  <c r="H2136" i="5"/>
  <c r="H2137" i="5"/>
  <c r="H2138" i="5"/>
  <c r="H2139" i="5"/>
  <c r="H2140" i="5"/>
  <c r="H2141" i="5"/>
  <c r="H2142" i="5"/>
  <c r="H2143" i="5"/>
  <c r="H2144" i="5"/>
  <c r="H2145" i="5"/>
  <c r="H2146" i="5"/>
  <c r="H2147" i="5"/>
  <c r="H2148" i="5"/>
  <c r="H2149" i="5"/>
  <c r="H2150" i="5"/>
  <c r="H2151" i="5"/>
  <c r="H2152" i="5"/>
  <c r="H2153" i="5"/>
  <c r="H2154" i="5"/>
  <c r="H2155" i="5"/>
  <c r="H2156" i="5"/>
  <c r="I2" i="5"/>
  <c r="I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650" i="5"/>
  <c r="I651" i="5"/>
  <c r="I652" i="5"/>
  <c r="I653" i="5"/>
  <c r="I654" i="5"/>
  <c r="I655" i="5"/>
  <c r="I656" i="5"/>
  <c r="I657" i="5"/>
  <c r="I658" i="5"/>
  <c r="I659" i="5"/>
  <c r="I660" i="5"/>
  <c r="I661" i="5"/>
  <c r="I662" i="5"/>
  <c r="I663" i="5"/>
  <c r="I664" i="5"/>
  <c r="I665" i="5"/>
  <c r="I666" i="5"/>
  <c r="I667" i="5"/>
  <c r="I668" i="5"/>
  <c r="I669" i="5"/>
  <c r="I670" i="5"/>
  <c r="I671" i="5"/>
  <c r="I672" i="5"/>
  <c r="I673" i="5"/>
  <c r="I674" i="5"/>
  <c r="I675" i="5"/>
  <c r="I676" i="5"/>
  <c r="I677" i="5"/>
  <c r="I678" i="5"/>
  <c r="I679" i="5"/>
  <c r="I680" i="5"/>
  <c r="I681" i="5"/>
  <c r="I682" i="5"/>
  <c r="I683" i="5"/>
  <c r="I684" i="5"/>
  <c r="I685" i="5"/>
  <c r="I686" i="5"/>
  <c r="I687" i="5"/>
  <c r="I688" i="5"/>
  <c r="I689" i="5"/>
  <c r="I690" i="5"/>
  <c r="I691" i="5"/>
  <c r="I692" i="5"/>
  <c r="I693" i="5"/>
  <c r="I694" i="5"/>
  <c r="I695" i="5"/>
  <c r="I696" i="5"/>
  <c r="I697" i="5"/>
  <c r="I698" i="5"/>
  <c r="I699" i="5"/>
  <c r="I700" i="5"/>
  <c r="I701" i="5"/>
  <c r="I702" i="5"/>
  <c r="I703" i="5"/>
  <c r="I704" i="5"/>
  <c r="I705" i="5"/>
  <c r="I706" i="5"/>
  <c r="I707" i="5"/>
  <c r="I708" i="5"/>
  <c r="I709" i="5"/>
  <c r="I710" i="5"/>
  <c r="I711" i="5"/>
  <c r="I712" i="5"/>
  <c r="I713" i="5"/>
  <c r="I714" i="5"/>
  <c r="I715" i="5"/>
  <c r="I716" i="5"/>
  <c r="I717" i="5"/>
  <c r="I718" i="5"/>
  <c r="I719" i="5"/>
  <c r="I720" i="5"/>
  <c r="I721" i="5"/>
  <c r="I722" i="5"/>
  <c r="I723" i="5"/>
  <c r="I724" i="5"/>
  <c r="I725" i="5"/>
  <c r="I726" i="5"/>
  <c r="I727" i="5"/>
  <c r="I728" i="5"/>
  <c r="I729" i="5"/>
  <c r="I730" i="5"/>
  <c r="I731" i="5"/>
  <c r="I732" i="5"/>
  <c r="I733" i="5"/>
  <c r="I734" i="5"/>
  <c r="I735" i="5"/>
  <c r="I736" i="5"/>
  <c r="I737" i="5"/>
  <c r="I738" i="5"/>
  <c r="I739" i="5"/>
  <c r="I740" i="5"/>
  <c r="I741" i="5"/>
  <c r="I742" i="5"/>
  <c r="I743" i="5"/>
  <c r="I744" i="5"/>
  <c r="I745" i="5"/>
  <c r="I746" i="5"/>
  <c r="I747" i="5"/>
  <c r="I748" i="5"/>
  <c r="I749" i="5"/>
  <c r="I750" i="5"/>
  <c r="I751" i="5"/>
  <c r="I752" i="5"/>
  <c r="I753" i="5"/>
  <c r="I754" i="5"/>
  <c r="I755" i="5"/>
  <c r="I756" i="5"/>
  <c r="I757" i="5"/>
  <c r="I758" i="5"/>
  <c r="I759" i="5"/>
  <c r="I760" i="5"/>
  <c r="I761" i="5"/>
  <c r="I762" i="5"/>
  <c r="I763" i="5"/>
  <c r="I764" i="5"/>
  <c r="I765" i="5"/>
  <c r="I766" i="5"/>
  <c r="I767" i="5"/>
  <c r="I768" i="5"/>
  <c r="I769" i="5"/>
  <c r="I770" i="5"/>
  <c r="I771" i="5"/>
  <c r="I772" i="5"/>
  <c r="I773" i="5"/>
  <c r="I774" i="5"/>
  <c r="I775" i="5"/>
  <c r="I776" i="5"/>
  <c r="I777" i="5"/>
  <c r="I778" i="5"/>
  <c r="I779" i="5"/>
  <c r="I780" i="5"/>
  <c r="I781" i="5"/>
  <c r="I782" i="5"/>
  <c r="I783" i="5"/>
  <c r="I784" i="5"/>
  <c r="I785" i="5"/>
  <c r="I786" i="5"/>
  <c r="I787" i="5"/>
  <c r="I788" i="5"/>
  <c r="I789" i="5"/>
  <c r="I790" i="5"/>
  <c r="I791" i="5"/>
  <c r="I792" i="5"/>
  <c r="I793" i="5"/>
  <c r="I794" i="5"/>
  <c r="I795" i="5"/>
  <c r="I796" i="5"/>
  <c r="I797" i="5"/>
  <c r="I798" i="5"/>
  <c r="I799" i="5"/>
  <c r="I800" i="5"/>
  <c r="I801" i="5"/>
  <c r="I802" i="5"/>
  <c r="I803" i="5"/>
  <c r="I804" i="5"/>
  <c r="I805" i="5"/>
  <c r="I806" i="5"/>
  <c r="I807" i="5"/>
  <c r="I808" i="5"/>
  <c r="I809" i="5"/>
  <c r="I810" i="5"/>
  <c r="I811" i="5"/>
  <c r="I812" i="5"/>
  <c r="I813" i="5"/>
  <c r="I814" i="5"/>
  <c r="I815" i="5"/>
  <c r="I816" i="5"/>
  <c r="I817" i="5"/>
  <c r="I818" i="5"/>
  <c r="I819" i="5"/>
  <c r="I820" i="5"/>
  <c r="I821" i="5"/>
  <c r="I822" i="5"/>
  <c r="I823" i="5"/>
  <c r="I824" i="5"/>
  <c r="I825" i="5"/>
  <c r="I826" i="5"/>
  <c r="I827" i="5"/>
  <c r="I828" i="5"/>
  <c r="I829" i="5"/>
  <c r="I830" i="5"/>
  <c r="I831" i="5"/>
  <c r="I832" i="5"/>
  <c r="I833" i="5"/>
  <c r="I834" i="5"/>
  <c r="I835" i="5"/>
  <c r="I836" i="5"/>
  <c r="I837" i="5"/>
  <c r="I838" i="5"/>
  <c r="I839" i="5"/>
  <c r="I840" i="5"/>
  <c r="I841" i="5"/>
  <c r="I842" i="5"/>
  <c r="I843" i="5"/>
  <c r="I844" i="5"/>
  <c r="I845" i="5"/>
  <c r="I846" i="5"/>
  <c r="I847" i="5"/>
  <c r="I848" i="5"/>
  <c r="I849" i="5"/>
  <c r="I850" i="5"/>
  <c r="I851" i="5"/>
  <c r="I852" i="5"/>
  <c r="I853" i="5"/>
  <c r="I854" i="5"/>
  <c r="I855" i="5"/>
  <c r="I856" i="5"/>
  <c r="I857" i="5"/>
  <c r="I858" i="5"/>
  <c r="I859" i="5"/>
  <c r="I860" i="5"/>
  <c r="I861" i="5"/>
  <c r="I862" i="5"/>
  <c r="I863" i="5"/>
  <c r="I864" i="5"/>
  <c r="I865" i="5"/>
  <c r="I866" i="5"/>
  <c r="I867" i="5"/>
  <c r="I868" i="5"/>
  <c r="I869" i="5"/>
  <c r="I870" i="5"/>
  <c r="I871" i="5"/>
  <c r="I872" i="5"/>
  <c r="I873" i="5"/>
  <c r="I874" i="5"/>
  <c r="I875" i="5"/>
  <c r="I876" i="5"/>
  <c r="I877" i="5"/>
  <c r="I878" i="5"/>
  <c r="I879" i="5"/>
  <c r="I880" i="5"/>
  <c r="I881" i="5"/>
  <c r="I882" i="5"/>
  <c r="I883" i="5"/>
  <c r="I884" i="5"/>
  <c r="I885" i="5"/>
  <c r="I886" i="5"/>
  <c r="I887" i="5"/>
  <c r="I888" i="5"/>
  <c r="I889" i="5"/>
  <c r="I890" i="5"/>
  <c r="I891" i="5"/>
  <c r="I892" i="5"/>
  <c r="I893" i="5"/>
  <c r="I894" i="5"/>
  <c r="I895" i="5"/>
  <c r="I896" i="5"/>
  <c r="I897" i="5"/>
  <c r="I898" i="5"/>
  <c r="I899" i="5"/>
  <c r="I900" i="5"/>
  <c r="I901" i="5"/>
  <c r="I902" i="5"/>
  <c r="I903" i="5"/>
  <c r="I904" i="5"/>
  <c r="I905" i="5"/>
  <c r="I906" i="5"/>
  <c r="I907" i="5"/>
  <c r="I908" i="5"/>
  <c r="I909" i="5"/>
  <c r="I910" i="5"/>
  <c r="I911" i="5"/>
  <c r="I912" i="5"/>
  <c r="I913" i="5"/>
  <c r="I914" i="5"/>
  <c r="I915" i="5"/>
  <c r="I916" i="5"/>
  <c r="I917" i="5"/>
  <c r="I918" i="5"/>
  <c r="I919" i="5"/>
  <c r="I920" i="5"/>
  <c r="I921" i="5"/>
  <c r="I922" i="5"/>
  <c r="I923" i="5"/>
  <c r="I924" i="5"/>
  <c r="I925" i="5"/>
  <c r="I926" i="5"/>
  <c r="I927" i="5"/>
  <c r="I928" i="5"/>
  <c r="I929" i="5"/>
  <c r="I930" i="5"/>
  <c r="I931" i="5"/>
  <c r="I932" i="5"/>
  <c r="I933" i="5"/>
  <c r="I934" i="5"/>
  <c r="I935" i="5"/>
  <c r="I936" i="5"/>
  <c r="I937" i="5"/>
  <c r="I938" i="5"/>
  <c r="I939" i="5"/>
  <c r="I940" i="5"/>
  <c r="I941" i="5"/>
  <c r="I942" i="5"/>
  <c r="I943" i="5"/>
  <c r="I944" i="5"/>
  <c r="I945" i="5"/>
  <c r="I946" i="5"/>
  <c r="I947" i="5"/>
  <c r="I948" i="5"/>
  <c r="I949" i="5"/>
  <c r="I950" i="5"/>
  <c r="I951" i="5"/>
  <c r="I952" i="5"/>
  <c r="I953" i="5"/>
  <c r="I954" i="5"/>
  <c r="I955" i="5"/>
  <c r="I956" i="5"/>
  <c r="I957" i="5"/>
  <c r="I958" i="5"/>
  <c r="I959" i="5"/>
  <c r="I960" i="5"/>
  <c r="I961" i="5"/>
  <c r="I962" i="5"/>
  <c r="I963" i="5"/>
  <c r="I964" i="5"/>
  <c r="I965" i="5"/>
  <c r="I966" i="5"/>
  <c r="I967" i="5"/>
  <c r="I968" i="5"/>
  <c r="I969" i="5"/>
  <c r="I970" i="5"/>
  <c r="I971" i="5"/>
  <c r="I972" i="5"/>
  <c r="I973" i="5"/>
  <c r="I974" i="5"/>
  <c r="I975" i="5"/>
  <c r="I976" i="5"/>
  <c r="I977" i="5"/>
  <c r="I978" i="5"/>
  <c r="I979" i="5"/>
  <c r="I980" i="5"/>
  <c r="I981" i="5"/>
  <c r="I982" i="5"/>
  <c r="I983" i="5"/>
  <c r="I984" i="5"/>
  <c r="I985" i="5"/>
  <c r="I986" i="5"/>
  <c r="I987" i="5"/>
  <c r="I988" i="5"/>
  <c r="I989" i="5"/>
  <c r="I990" i="5"/>
  <c r="I991" i="5"/>
  <c r="I992" i="5"/>
  <c r="I993" i="5"/>
  <c r="I994" i="5"/>
  <c r="I995" i="5"/>
  <c r="I996" i="5"/>
  <c r="I997" i="5"/>
  <c r="I998" i="5"/>
  <c r="I999" i="5"/>
  <c r="I1000" i="5"/>
  <c r="I1001" i="5"/>
  <c r="I1002" i="5"/>
  <c r="I1003" i="5"/>
  <c r="I1004" i="5"/>
  <c r="I1005" i="5"/>
  <c r="I1006" i="5"/>
  <c r="I1007" i="5"/>
  <c r="I1008" i="5"/>
  <c r="I1009" i="5"/>
  <c r="I1010" i="5"/>
  <c r="I1011" i="5"/>
  <c r="I1012" i="5"/>
  <c r="I1013" i="5"/>
  <c r="I1014" i="5"/>
  <c r="I1015" i="5"/>
  <c r="I1016" i="5"/>
  <c r="I1017" i="5"/>
  <c r="I1018" i="5"/>
  <c r="I1019" i="5"/>
  <c r="I1020" i="5"/>
  <c r="I1021" i="5"/>
  <c r="I1022" i="5"/>
  <c r="I1023" i="5"/>
  <c r="I1024" i="5"/>
  <c r="I1025" i="5"/>
  <c r="I1026" i="5"/>
  <c r="I1027" i="5"/>
  <c r="I1028" i="5"/>
  <c r="I1029" i="5"/>
  <c r="I1030" i="5"/>
  <c r="I1031" i="5"/>
  <c r="I1032" i="5"/>
  <c r="I1033" i="5"/>
  <c r="I1034" i="5"/>
  <c r="I1035" i="5"/>
  <c r="I1036" i="5"/>
  <c r="I1037" i="5"/>
  <c r="I1038" i="5"/>
  <c r="I1039" i="5"/>
  <c r="I1040" i="5"/>
  <c r="I1041" i="5"/>
  <c r="I1042" i="5"/>
  <c r="I1043" i="5"/>
  <c r="I1044" i="5"/>
  <c r="I1045" i="5"/>
  <c r="I1046" i="5"/>
  <c r="I1047" i="5"/>
  <c r="I1048" i="5"/>
  <c r="I1049" i="5"/>
  <c r="I1050" i="5"/>
  <c r="I1051" i="5"/>
  <c r="I1052" i="5"/>
  <c r="I1053" i="5"/>
  <c r="I1054" i="5"/>
  <c r="I1055" i="5"/>
  <c r="I1056" i="5"/>
  <c r="I1057" i="5"/>
  <c r="I1058" i="5"/>
  <c r="I1059" i="5"/>
  <c r="I1060" i="5"/>
  <c r="I1061" i="5"/>
  <c r="I1062" i="5"/>
  <c r="I1063" i="5"/>
  <c r="I1064" i="5"/>
  <c r="I1065" i="5"/>
  <c r="I1066" i="5"/>
  <c r="I1067" i="5"/>
  <c r="I1068" i="5"/>
  <c r="I1069" i="5"/>
  <c r="I1070" i="5"/>
  <c r="I1071" i="5"/>
  <c r="I1072" i="5"/>
  <c r="I1073" i="5"/>
  <c r="I1074" i="5"/>
  <c r="I1075" i="5"/>
  <c r="I1076" i="5"/>
  <c r="I1077" i="5"/>
  <c r="I1078" i="5"/>
  <c r="I1079" i="5"/>
  <c r="I1080" i="5"/>
  <c r="I1081" i="5"/>
  <c r="I1082" i="5"/>
  <c r="I1083" i="5"/>
  <c r="I1084" i="5"/>
  <c r="I1085" i="5"/>
  <c r="I1086" i="5"/>
  <c r="I1087" i="5"/>
  <c r="I1088" i="5"/>
  <c r="I1089" i="5"/>
  <c r="I1090" i="5"/>
  <c r="I1091" i="5"/>
  <c r="I1092" i="5"/>
  <c r="I1093" i="5"/>
  <c r="I1094" i="5"/>
  <c r="I1095" i="5"/>
  <c r="I1096" i="5"/>
  <c r="I1097" i="5"/>
  <c r="I1098" i="5"/>
  <c r="I1099" i="5"/>
  <c r="I1100" i="5"/>
  <c r="I1101" i="5"/>
  <c r="I1102" i="5"/>
  <c r="I1103" i="5"/>
  <c r="I1104" i="5"/>
  <c r="I1105" i="5"/>
  <c r="I1106" i="5"/>
  <c r="I1107" i="5"/>
  <c r="I1108" i="5"/>
  <c r="I1109" i="5"/>
  <c r="I1110" i="5"/>
  <c r="I1111" i="5"/>
  <c r="I1112" i="5"/>
  <c r="I1113" i="5"/>
  <c r="I1114" i="5"/>
  <c r="I1115" i="5"/>
  <c r="I1116" i="5"/>
  <c r="I1117" i="5"/>
  <c r="I1118" i="5"/>
  <c r="I1119" i="5"/>
  <c r="I1120" i="5"/>
  <c r="I1121" i="5"/>
  <c r="I1122" i="5"/>
  <c r="I1123" i="5"/>
  <c r="I1124" i="5"/>
  <c r="I1125" i="5"/>
  <c r="I1126" i="5"/>
  <c r="I1127" i="5"/>
  <c r="I1128" i="5"/>
  <c r="I1129" i="5"/>
  <c r="I1130" i="5"/>
  <c r="I1131" i="5"/>
  <c r="I1132" i="5"/>
  <c r="I1133" i="5"/>
  <c r="I1134" i="5"/>
  <c r="I1135" i="5"/>
  <c r="I1136" i="5"/>
  <c r="I1137" i="5"/>
  <c r="I1138" i="5"/>
  <c r="I1139" i="5"/>
  <c r="I1140" i="5"/>
  <c r="I1141" i="5"/>
  <c r="I1142" i="5"/>
  <c r="I1143" i="5"/>
  <c r="I1144" i="5"/>
  <c r="I1145" i="5"/>
  <c r="I1146" i="5"/>
  <c r="I1147" i="5"/>
  <c r="I1148" i="5"/>
  <c r="I1149" i="5"/>
  <c r="I1150" i="5"/>
  <c r="I1151" i="5"/>
  <c r="I1152" i="5"/>
  <c r="I1153" i="5"/>
  <c r="I1154" i="5"/>
  <c r="I1155" i="5"/>
  <c r="I1156" i="5"/>
  <c r="I1157" i="5"/>
  <c r="I1158" i="5"/>
  <c r="I1159" i="5"/>
  <c r="I1160" i="5"/>
  <c r="I1161" i="5"/>
  <c r="I1162" i="5"/>
  <c r="I1163" i="5"/>
  <c r="I1164" i="5"/>
  <c r="I1165" i="5"/>
  <c r="I1166" i="5"/>
  <c r="I1167" i="5"/>
  <c r="I1168" i="5"/>
  <c r="I1169" i="5"/>
  <c r="I1170" i="5"/>
  <c r="I1171" i="5"/>
  <c r="I1172" i="5"/>
  <c r="I1173" i="5"/>
  <c r="I1174" i="5"/>
  <c r="I1175" i="5"/>
  <c r="I1176" i="5"/>
  <c r="I1177" i="5"/>
  <c r="I1178" i="5"/>
  <c r="I1179" i="5"/>
  <c r="I1180" i="5"/>
  <c r="I1181" i="5"/>
  <c r="I1182" i="5"/>
  <c r="I1183" i="5"/>
  <c r="I1184" i="5"/>
  <c r="I1185" i="5"/>
  <c r="I1186" i="5"/>
  <c r="I1187" i="5"/>
  <c r="I1188" i="5"/>
  <c r="I1189" i="5"/>
  <c r="I1190" i="5"/>
  <c r="I1191" i="5"/>
  <c r="I1192" i="5"/>
  <c r="I1193" i="5"/>
  <c r="I1194" i="5"/>
  <c r="I1195" i="5"/>
  <c r="I1196" i="5"/>
  <c r="I1197" i="5"/>
  <c r="I1198" i="5"/>
  <c r="I1199" i="5"/>
  <c r="I1200" i="5"/>
  <c r="I1201" i="5"/>
  <c r="I1202" i="5"/>
  <c r="I1203" i="5"/>
  <c r="I1204" i="5"/>
  <c r="I1205" i="5"/>
  <c r="I1206" i="5"/>
  <c r="I1207" i="5"/>
  <c r="I1208" i="5"/>
  <c r="I1209" i="5"/>
  <c r="I1210" i="5"/>
  <c r="I1211" i="5"/>
  <c r="I1212" i="5"/>
  <c r="I1213" i="5"/>
  <c r="I1214" i="5"/>
  <c r="I1215" i="5"/>
  <c r="I1216" i="5"/>
  <c r="I1217" i="5"/>
  <c r="I1218" i="5"/>
  <c r="I1219" i="5"/>
  <c r="I1220" i="5"/>
  <c r="I1221" i="5"/>
  <c r="I1222" i="5"/>
  <c r="I1223" i="5"/>
  <c r="I1224" i="5"/>
  <c r="I1225" i="5"/>
  <c r="I1226" i="5"/>
  <c r="I1227" i="5"/>
  <c r="I1228" i="5"/>
  <c r="I1229" i="5"/>
  <c r="I1230" i="5"/>
  <c r="I1231" i="5"/>
  <c r="I1232" i="5"/>
  <c r="I1233" i="5"/>
  <c r="I1234" i="5"/>
  <c r="I1235" i="5"/>
  <c r="I1236" i="5"/>
  <c r="I1237" i="5"/>
  <c r="I1238" i="5"/>
  <c r="I1239" i="5"/>
  <c r="I1240" i="5"/>
  <c r="I1241" i="5"/>
  <c r="I1242" i="5"/>
  <c r="I1243" i="5"/>
  <c r="I1244" i="5"/>
  <c r="I1245" i="5"/>
  <c r="I1246" i="5"/>
  <c r="I1247" i="5"/>
  <c r="I1248" i="5"/>
  <c r="I1249" i="5"/>
  <c r="I1250" i="5"/>
  <c r="I1251" i="5"/>
  <c r="I1252" i="5"/>
  <c r="I1253" i="5"/>
  <c r="I1254" i="5"/>
  <c r="I1255" i="5"/>
  <c r="I1256" i="5"/>
  <c r="I1257" i="5"/>
  <c r="I1258" i="5"/>
  <c r="I1259" i="5"/>
  <c r="I1260" i="5"/>
  <c r="I1261" i="5"/>
  <c r="I1262" i="5"/>
  <c r="I1263" i="5"/>
  <c r="I1264" i="5"/>
  <c r="I1265" i="5"/>
  <c r="I1266" i="5"/>
  <c r="I1267" i="5"/>
  <c r="I1268" i="5"/>
  <c r="I1269" i="5"/>
  <c r="I1270" i="5"/>
  <c r="I1271" i="5"/>
  <c r="I1272" i="5"/>
  <c r="I1273" i="5"/>
  <c r="I1274" i="5"/>
  <c r="I1275" i="5"/>
  <c r="I1276" i="5"/>
  <c r="I1277" i="5"/>
  <c r="I1278" i="5"/>
  <c r="I1279" i="5"/>
  <c r="I1280" i="5"/>
  <c r="I1281" i="5"/>
  <c r="I1282" i="5"/>
  <c r="I1283" i="5"/>
  <c r="I1284" i="5"/>
  <c r="I1285" i="5"/>
  <c r="I1286" i="5"/>
  <c r="I1287" i="5"/>
  <c r="I1288" i="5"/>
  <c r="I1289" i="5"/>
  <c r="I1290" i="5"/>
  <c r="I1291" i="5"/>
  <c r="I1292" i="5"/>
  <c r="I1293" i="5"/>
  <c r="I1294" i="5"/>
  <c r="I1295" i="5"/>
  <c r="I1296" i="5"/>
  <c r="I1297" i="5"/>
  <c r="I1298" i="5"/>
  <c r="I1299" i="5"/>
  <c r="I1300" i="5"/>
  <c r="I1301" i="5"/>
  <c r="I1302" i="5"/>
  <c r="I1303" i="5"/>
  <c r="I1304" i="5"/>
  <c r="I1305" i="5"/>
  <c r="I1306" i="5"/>
  <c r="I1307" i="5"/>
  <c r="I1308" i="5"/>
  <c r="I1309" i="5"/>
  <c r="I1310" i="5"/>
  <c r="I1311" i="5"/>
  <c r="I1312" i="5"/>
  <c r="I1313" i="5"/>
  <c r="I1314" i="5"/>
  <c r="I1315" i="5"/>
  <c r="I1316" i="5"/>
  <c r="I1317" i="5"/>
  <c r="I1318" i="5"/>
  <c r="I1319" i="5"/>
  <c r="I1320" i="5"/>
  <c r="I1321" i="5"/>
  <c r="I1322" i="5"/>
  <c r="I1323" i="5"/>
  <c r="I1324" i="5"/>
  <c r="I1325" i="5"/>
  <c r="I1326" i="5"/>
  <c r="I1327" i="5"/>
  <c r="I1328" i="5"/>
  <c r="I1329" i="5"/>
  <c r="I1330" i="5"/>
  <c r="I1331" i="5"/>
  <c r="I1332" i="5"/>
  <c r="I1333" i="5"/>
  <c r="I1334" i="5"/>
  <c r="I1335" i="5"/>
  <c r="I1336" i="5"/>
  <c r="I1337" i="5"/>
  <c r="I1338" i="5"/>
  <c r="I1339" i="5"/>
  <c r="I1340" i="5"/>
  <c r="I1341" i="5"/>
  <c r="I1342" i="5"/>
  <c r="I1343" i="5"/>
  <c r="I1344" i="5"/>
  <c r="I1345" i="5"/>
  <c r="I1346" i="5"/>
  <c r="I1347" i="5"/>
  <c r="I1348" i="5"/>
  <c r="I1349" i="5"/>
  <c r="I1350" i="5"/>
  <c r="I1351" i="5"/>
  <c r="I1352" i="5"/>
  <c r="I1353" i="5"/>
  <c r="I1354" i="5"/>
  <c r="I1355" i="5"/>
  <c r="I1356" i="5"/>
  <c r="I1357" i="5"/>
  <c r="I1358" i="5"/>
  <c r="I1359" i="5"/>
  <c r="I1360" i="5"/>
  <c r="I1361" i="5"/>
  <c r="I1362" i="5"/>
  <c r="I1363" i="5"/>
  <c r="I1364" i="5"/>
  <c r="I1365" i="5"/>
  <c r="I1366" i="5"/>
  <c r="I1367" i="5"/>
  <c r="I1368" i="5"/>
  <c r="I1369" i="5"/>
  <c r="I1370" i="5"/>
  <c r="I1371" i="5"/>
  <c r="I1372" i="5"/>
  <c r="I1373" i="5"/>
  <c r="I1374" i="5"/>
  <c r="I1375" i="5"/>
  <c r="I1376" i="5"/>
  <c r="I1377" i="5"/>
  <c r="I1378" i="5"/>
  <c r="I1379" i="5"/>
  <c r="I1380" i="5"/>
  <c r="I1381" i="5"/>
  <c r="I1382" i="5"/>
  <c r="I1383" i="5"/>
  <c r="I1384" i="5"/>
  <c r="I1385" i="5"/>
  <c r="I1386" i="5"/>
  <c r="I1387" i="5"/>
  <c r="I1388" i="5"/>
  <c r="I1389" i="5"/>
  <c r="I1390" i="5"/>
  <c r="I1391" i="5"/>
  <c r="I1392" i="5"/>
  <c r="I1393" i="5"/>
  <c r="I1394" i="5"/>
  <c r="I1395" i="5"/>
  <c r="I1396" i="5"/>
  <c r="I1397" i="5"/>
  <c r="I1398" i="5"/>
  <c r="I1399" i="5"/>
  <c r="I1400" i="5"/>
  <c r="I1401" i="5"/>
  <c r="I1402" i="5"/>
  <c r="I1403" i="5"/>
  <c r="I1404" i="5"/>
  <c r="I1405" i="5"/>
  <c r="I1406" i="5"/>
  <c r="I1407" i="5"/>
  <c r="I1408" i="5"/>
  <c r="I1409" i="5"/>
  <c r="I1410" i="5"/>
  <c r="I1411" i="5"/>
  <c r="I1412" i="5"/>
  <c r="I1413" i="5"/>
  <c r="I1414" i="5"/>
  <c r="I1415" i="5"/>
  <c r="I1416" i="5"/>
  <c r="I1417" i="5"/>
  <c r="I1418" i="5"/>
  <c r="I1419" i="5"/>
  <c r="I1420" i="5"/>
  <c r="I1421" i="5"/>
  <c r="I1422" i="5"/>
  <c r="I1423" i="5"/>
  <c r="I1424" i="5"/>
  <c r="I1425" i="5"/>
  <c r="I1426" i="5"/>
  <c r="I1427" i="5"/>
  <c r="I1428" i="5"/>
  <c r="I1429" i="5"/>
  <c r="I1430" i="5"/>
  <c r="I1431" i="5"/>
  <c r="I1432" i="5"/>
  <c r="I1433" i="5"/>
  <c r="I1434" i="5"/>
  <c r="I1435" i="5"/>
  <c r="I1436" i="5"/>
  <c r="I1437" i="5"/>
  <c r="I1438" i="5"/>
  <c r="I1439" i="5"/>
  <c r="I1440" i="5"/>
  <c r="I1441" i="5"/>
  <c r="I1442" i="5"/>
  <c r="I1443" i="5"/>
  <c r="I1444" i="5"/>
  <c r="I1445" i="5"/>
  <c r="I1446" i="5"/>
  <c r="I1447" i="5"/>
  <c r="I1448" i="5"/>
  <c r="I1449" i="5"/>
  <c r="I1450" i="5"/>
  <c r="I1451" i="5"/>
  <c r="I1452" i="5"/>
  <c r="I1453" i="5"/>
  <c r="I1454" i="5"/>
  <c r="I1455" i="5"/>
  <c r="I1456" i="5"/>
  <c r="I1457" i="5"/>
  <c r="I1458" i="5"/>
  <c r="I1459" i="5"/>
  <c r="I1460" i="5"/>
  <c r="I1461" i="5"/>
  <c r="I1462" i="5"/>
  <c r="I1463" i="5"/>
  <c r="I1464" i="5"/>
  <c r="I1465" i="5"/>
  <c r="I1466" i="5"/>
  <c r="I1467" i="5"/>
  <c r="I1468" i="5"/>
  <c r="I1469" i="5"/>
  <c r="I1470" i="5"/>
  <c r="I1471" i="5"/>
  <c r="I1472" i="5"/>
  <c r="I1473" i="5"/>
  <c r="I1474" i="5"/>
  <c r="I1475" i="5"/>
  <c r="I1476" i="5"/>
  <c r="I1477" i="5"/>
  <c r="I1478" i="5"/>
  <c r="I1479" i="5"/>
  <c r="I1480" i="5"/>
  <c r="I1481" i="5"/>
  <c r="I1482" i="5"/>
  <c r="I1483" i="5"/>
  <c r="I1484" i="5"/>
  <c r="I1485" i="5"/>
  <c r="I1486" i="5"/>
  <c r="I1487" i="5"/>
  <c r="I1488" i="5"/>
  <c r="I1489" i="5"/>
  <c r="I1490" i="5"/>
  <c r="I1491" i="5"/>
  <c r="I1492" i="5"/>
  <c r="I1493" i="5"/>
  <c r="I1494" i="5"/>
  <c r="I1495" i="5"/>
  <c r="I1496" i="5"/>
  <c r="I1497" i="5"/>
  <c r="I1498" i="5"/>
  <c r="I1499" i="5"/>
  <c r="I1500" i="5"/>
  <c r="I1501" i="5"/>
  <c r="I1502" i="5"/>
  <c r="I1503" i="5"/>
  <c r="I1504" i="5"/>
  <c r="I1505" i="5"/>
  <c r="I1506" i="5"/>
  <c r="I1507" i="5"/>
  <c r="I1508" i="5"/>
  <c r="I1509" i="5"/>
  <c r="I1510" i="5"/>
  <c r="I1511" i="5"/>
  <c r="I1512" i="5"/>
  <c r="I1513" i="5"/>
  <c r="I1514" i="5"/>
  <c r="I1515" i="5"/>
  <c r="I1516" i="5"/>
  <c r="I1517" i="5"/>
  <c r="I1518" i="5"/>
  <c r="I1519" i="5"/>
  <c r="I1520" i="5"/>
  <c r="I1521" i="5"/>
  <c r="I1522" i="5"/>
  <c r="I1523" i="5"/>
  <c r="I1524" i="5"/>
  <c r="I1525" i="5"/>
  <c r="I1526" i="5"/>
  <c r="I1527" i="5"/>
  <c r="I1528" i="5"/>
  <c r="I1529" i="5"/>
  <c r="I1530" i="5"/>
  <c r="I1531" i="5"/>
  <c r="I1532" i="5"/>
  <c r="I1533" i="5"/>
  <c r="I1534" i="5"/>
  <c r="I1535" i="5"/>
  <c r="I1536" i="5"/>
  <c r="I1537" i="5"/>
  <c r="I1538" i="5"/>
  <c r="I1539" i="5"/>
  <c r="I1540" i="5"/>
  <c r="I1541" i="5"/>
  <c r="I1542" i="5"/>
  <c r="I1543" i="5"/>
  <c r="I1544" i="5"/>
  <c r="I1545" i="5"/>
  <c r="I1546" i="5"/>
  <c r="I1547" i="5"/>
  <c r="I1548" i="5"/>
  <c r="I1549" i="5"/>
  <c r="I1550" i="5"/>
  <c r="I1551" i="5"/>
  <c r="I1552" i="5"/>
  <c r="I1553" i="5"/>
  <c r="I1554" i="5"/>
  <c r="I1555" i="5"/>
  <c r="I1556" i="5"/>
  <c r="I1557" i="5"/>
  <c r="I1558" i="5"/>
  <c r="I1559" i="5"/>
  <c r="I1560" i="5"/>
  <c r="I1561" i="5"/>
  <c r="I1562" i="5"/>
  <c r="I1563" i="5"/>
  <c r="I1564" i="5"/>
  <c r="I1565" i="5"/>
  <c r="I1566" i="5"/>
  <c r="I1567" i="5"/>
  <c r="I1568" i="5"/>
  <c r="I1569" i="5"/>
  <c r="I1570" i="5"/>
  <c r="I1571" i="5"/>
  <c r="I1572" i="5"/>
  <c r="I1573" i="5"/>
  <c r="I1574" i="5"/>
  <c r="I1575" i="5"/>
  <c r="I1576" i="5"/>
  <c r="I1577" i="5"/>
  <c r="I1578" i="5"/>
  <c r="I1579" i="5"/>
  <c r="I1580" i="5"/>
  <c r="I1581" i="5"/>
  <c r="I1582" i="5"/>
  <c r="I1583" i="5"/>
  <c r="I1584" i="5"/>
  <c r="I1585" i="5"/>
  <c r="I1586" i="5"/>
  <c r="I1587" i="5"/>
  <c r="I1588" i="5"/>
  <c r="I1589" i="5"/>
  <c r="I1590" i="5"/>
  <c r="I1591" i="5"/>
  <c r="I1592" i="5"/>
  <c r="I1593" i="5"/>
  <c r="I1594" i="5"/>
  <c r="I1595" i="5"/>
  <c r="I1596" i="5"/>
  <c r="I1597" i="5"/>
  <c r="I1598" i="5"/>
  <c r="I1599" i="5"/>
  <c r="I1600" i="5"/>
  <c r="I1601" i="5"/>
  <c r="I1602" i="5"/>
  <c r="I1603" i="5"/>
  <c r="I1604" i="5"/>
  <c r="I1605" i="5"/>
  <c r="I1606" i="5"/>
  <c r="I1607" i="5"/>
  <c r="I1608" i="5"/>
  <c r="I1609" i="5"/>
  <c r="I1610" i="5"/>
  <c r="I1611" i="5"/>
  <c r="I1612" i="5"/>
  <c r="I1613" i="5"/>
  <c r="I1614" i="5"/>
  <c r="I1615" i="5"/>
  <c r="I1616" i="5"/>
  <c r="I1617" i="5"/>
  <c r="I1618" i="5"/>
  <c r="I1619" i="5"/>
  <c r="I1620" i="5"/>
  <c r="I1621" i="5"/>
  <c r="I1622" i="5"/>
  <c r="I1623" i="5"/>
  <c r="I1624" i="5"/>
  <c r="I1625" i="5"/>
  <c r="I1626" i="5"/>
  <c r="I1627" i="5"/>
  <c r="I1628" i="5"/>
  <c r="I1629" i="5"/>
  <c r="I1630" i="5"/>
  <c r="I1631" i="5"/>
  <c r="I1632" i="5"/>
  <c r="I1633" i="5"/>
  <c r="I1634" i="5"/>
  <c r="I1635" i="5"/>
  <c r="I1636" i="5"/>
  <c r="I1637" i="5"/>
  <c r="I1638" i="5"/>
  <c r="I1639" i="5"/>
  <c r="I1640" i="5"/>
  <c r="I1641" i="5"/>
  <c r="I1642" i="5"/>
  <c r="I1643" i="5"/>
  <c r="I1644" i="5"/>
  <c r="I1645" i="5"/>
  <c r="I1646" i="5"/>
  <c r="I1647" i="5"/>
  <c r="I1648" i="5"/>
  <c r="I1649" i="5"/>
  <c r="I1650" i="5"/>
  <c r="I1651" i="5"/>
  <c r="I1652" i="5"/>
  <c r="I1653" i="5"/>
  <c r="I1654" i="5"/>
  <c r="I1655" i="5"/>
  <c r="I1656" i="5"/>
  <c r="I1657" i="5"/>
  <c r="I1658" i="5"/>
  <c r="I1659" i="5"/>
  <c r="I1660" i="5"/>
  <c r="I1661" i="5"/>
  <c r="I1662" i="5"/>
  <c r="I1663" i="5"/>
  <c r="I1664" i="5"/>
  <c r="I1665" i="5"/>
  <c r="I1666" i="5"/>
  <c r="I1667" i="5"/>
  <c r="I1668" i="5"/>
  <c r="I1669" i="5"/>
  <c r="I1670" i="5"/>
  <c r="I1671" i="5"/>
  <c r="I1672" i="5"/>
  <c r="I1673" i="5"/>
  <c r="I1674" i="5"/>
  <c r="I1675" i="5"/>
  <c r="I1676" i="5"/>
  <c r="I1677" i="5"/>
  <c r="I1678" i="5"/>
  <c r="I1679" i="5"/>
  <c r="I1680" i="5"/>
  <c r="I1681" i="5"/>
  <c r="I1682" i="5"/>
  <c r="I1683" i="5"/>
  <c r="I1684" i="5"/>
  <c r="I1685" i="5"/>
  <c r="I1686" i="5"/>
  <c r="I1687" i="5"/>
  <c r="I1688" i="5"/>
  <c r="I1689" i="5"/>
  <c r="I1690" i="5"/>
  <c r="I1691" i="5"/>
  <c r="I1692" i="5"/>
  <c r="I1693" i="5"/>
  <c r="I1694" i="5"/>
  <c r="I1695" i="5"/>
  <c r="I1696" i="5"/>
  <c r="I1697" i="5"/>
  <c r="I1698" i="5"/>
  <c r="I1699" i="5"/>
  <c r="I1700" i="5"/>
  <c r="I1701" i="5"/>
  <c r="I1702" i="5"/>
  <c r="I1703" i="5"/>
  <c r="I1704" i="5"/>
  <c r="I1705" i="5"/>
  <c r="I1706" i="5"/>
  <c r="I1707" i="5"/>
  <c r="I1708" i="5"/>
  <c r="I1709" i="5"/>
  <c r="I1710" i="5"/>
  <c r="I1711" i="5"/>
  <c r="I1712" i="5"/>
  <c r="I1713" i="5"/>
  <c r="I1714" i="5"/>
  <c r="I1715" i="5"/>
  <c r="I1716" i="5"/>
  <c r="I1717" i="5"/>
  <c r="I1718" i="5"/>
  <c r="I1719" i="5"/>
  <c r="I1720" i="5"/>
  <c r="I1721" i="5"/>
  <c r="I1722" i="5"/>
  <c r="I1723" i="5"/>
  <c r="I1724" i="5"/>
  <c r="I1725" i="5"/>
  <c r="I1726" i="5"/>
  <c r="I1727" i="5"/>
  <c r="I1728" i="5"/>
  <c r="I1729" i="5"/>
  <c r="I1730" i="5"/>
  <c r="I1731" i="5"/>
  <c r="I1732" i="5"/>
  <c r="I1733" i="5"/>
  <c r="I1734" i="5"/>
  <c r="I1735" i="5"/>
  <c r="I1736" i="5"/>
  <c r="I1737" i="5"/>
  <c r="I1738" i="5"/>
  <c r="I1739" i="5"/>
  <c r="I1740" i="5"/>
  <c r="I1741" i="5"/>
  <c r="I1742" i="5"/>
  <c r="I1743" i="5"/>
  <c r="I1744" i="5"/>
  <c r="I1745" i="5"/>
  <c r="I1746" i="5"/>
  <c r="I1747" i="5"/>
  <c r="I1748" i="5"/>
  <c r="I1749" i="5"/>
  <c r="I1750" i="5"/>
  <c r="I1751" i="5"/>
  <c r="I1752" i="5"/>
  <c r="I1753" i="5"/>
  <c r="I1754" i="5"/>
  <c r="I1755" i="5"/>
  <c r="I1756" i="5"/>
  <c r="I1757" i="5"/>
  <c r="I1758" i="5"/>
  <c r="I1759" i="5"/>
  <c r="I1760" i="5"/>
  <c r="I1761" i="5"/>
  <c r="I1762" i="5"/>
  <c r="I1763" i="5"/>
  <c r="I1764" i="5"/>
  <c r="I1765" i="5"/>
  <c r="I1766" i="5"/>
  <c r="I1767" i="5"/>
  <c r="I1768" i="5"/>
  <c r="I1769" i="5"/>
  <c r="I1770" i="5"/>
  <c r="I1771" i="5"/>
  <c r="I1772" i="5"/>
  <c r="I1773" i="5"/>
  <c r="I1774" i="5"/>
  <c r="I1775" i="5"/>
  <c r="I1776" i="5"/>
  <c r="I1777" i="5"/>
  <c r="I1778" i="5"/>
  <c r="I1779" i="5"/>
  <c r="I1780" i="5"/>
  <c r="I1781" i="5"/>
  <c r="I1782" i="5"/>
  <c r="I1783" i="5"/>
  <c r="I1784" i="5"/>
  <c r="I1785" i="5"/>
  <c r="I1786" i="5"/>
  <c r="I1787" i="5"/>
  <c r="I1788" i="5"/>
  <c r="I1789" i="5"/>
  <c r="I1790" i="5"/>
  <c r="I1791" i="5"/>
  <c r="I1792" i="5"/>
  <c r="I1793" i="5"/>
  <c r="I1794" i="5"/>
  <c r="I1795" i="5"/>
  <c r="I1796" i="5"/>
  <c r="I1797" i="5"/>
  <c r="I1798" i="5"/>
  <c r="I1799" i="5"/>
  <c r="I1800" i="5"/>
  <c r="I1801" i="5"/>
  <c r="I1802" i="5"/>
  <c r="I1803" i="5"/>
  <c r="I1804" i="5"/>
  <c r="I1805" i="5"/>
  <c r="I1806" i="5"/>
  <c r="I1807" i="5"/>
  <c r="I1808" i="5"/>
  <c r="I1809" i="5"/>
  <c r="I1810" i="5"/>
  <c r="I1811" i="5"/>
  <c r="I1812" i="5"/>
  <c r="I1813" i="5"/>
  <c r="I1814" i="5"/>
  <c r="I1815" i="5"/>
  <c r="I1816" i="5"/>
  <c r="I1817" i="5"/>
  <c r="I1818" i="5"/>
  <c r="I1819" i="5"/>
  <c r="I1820" i="5"/>
  <c r="I1821" i="5"/>
  <c r="I1822" i="5"/>
  <c r="I1823" i="5"/>
  <c r="I1824" i="5"/>
  <c r="I1825" i="5"/>
  <c r="I1826" i="5"/>
  <c r="I1827" i="5"/>
  <c r="I1828" i="5"/>
  <c r="I1829" i="5"/>
  <c r="I1830" i="5"/>
  <c r="I1831" i="5"/>
  <c r="I1832" i="5"/>
  <c r="I1833" i="5"/>
  <c r="I1834" i="5"/>
  <c r="I1835" i="5"/>
  <c r="I1836" i="5"/>
  <c r="I1837" i="5"/>
  <c r="I1838" i="5"/>
  <c r="I1839" i="5"/>
  <c r="I1840" i="5"/>
  <c r="I1841" i="5"/>
  <c r="I1842" i="5"/>
  <c r="I1843" i="5"/>
  <c r="I1844" i="5"/>
  <c r="I1845" i="5"/>
  <c r="I1846" i="5"/>
  <c r="I1847" i="5"/>
  <c r="I1848" i="5"/>
  <c r="I1849" i="5"/>
  <c r="I1850" i="5"/>
  <c r="I1851" i="5"/>
  <c r="I1852" i="5"/>
  <c r="I1853" i="5"/>
  <c r="I1854" i="5"/>
  <c r="I1855" i="5"/>
  <c r="I1856" i="5"/>
  <c r="I1857" i="5"/>
  <c r="I1858" i="5"/>
  <c r="I1859" i="5"/>
  <c r="I1860" i="5"/>
  <c r="I1861" i="5"/>
  <c r="I1862" i="5"/>
  <c r="I1863" i="5"/>
  <c r="I1864" i="5"/>
  <c r="I1865" i="5"/>
  <c r="I1866" i="5"/>
  <c r="I1867" i="5"/>
  <c r="I1868" i="5"/>
  <c r="I1869" i="5"/>
  <c r="I1870" i="5"/>
  <c r="I1871" i="5"/>
  <c r="I1872" i="5"/>
  <c r="I1873" i="5"/>
  <c r="I1874" i="5"/>
  <c r="I1875" i="5"/>
  <c r="I1876" i="5"/>
  <c r="I1877" i="5"/>
  <c r="I1878" i="5"/>
  <c r="I1879" i="5"/>
  <c r="I1880" i="5"/>
  <c r="I1881" i="5"/>
  <c r="I1882" i="5"/>
  <c r="I1883" i="5"/>
  <c r="I1884" i="5"/>
  <c r="I1885" i="5"/>
  <c r="I1886" i="5"/>
  <c r="I1887" i="5"/>
  <c r="I1888" i="5"/>
  <c r="I1889" i="5"/>
  <c r="I1890" i="5"/>
  <c r="I1891" i="5"/>
  <c r="I1892" i="5"/>
  <c r="I1893" i="5"/>
  <c r="I1894" i="5"/>
  <c r="I1895" i="5"/>
  <c r="I1896" i="5"/>
  <c r="I1897" i="5"/>
  <c r="I1898" i="5"/>
  <c r="I1899" i="5"/>
  <c r="I1900" i="5"/>
  <c r="I1901" i="5"/>
  <c r="I1902" i="5"/>
  <c r="I1903" i="5"/>
  <c r="I1904" i="5"/>
  <c r="I1905" i="5"/>
  <c r="I1906" i="5"/>
  <c r="I1907" i="5"/>
  <c r="I1908" i="5"/>
  <c r="I1909" i="5"/>
  <c r="I1910" i="5"/>
  <c r="I1911" i="5"/>
  <c r="I1912" i="5"/>
  <c r="I1913" i="5"/>
  <c r="I1914" i="5"/>
  <c r="I1915" i="5"/>
  <c r="I1916" i="5"/>
  <c r="I1917" i="5"/>
  <c r="I1918" i="5"/>
  <c r="I1919" i="5"/>
  <c r="I1920" i="5"/>
  <c r="I1921" i="5"/>
  <c r="I1922" i="5"/>
  <c r="I1923" i="5"/>
  <c r="I1924" i="5"/>
  <c r="I1925" i="5"/>
  <c r="I1926" i="5"/>
  <c r="I1927" i="5"/>
  <c r="I1928" i="5"/>
  <c r="I1929" i="5"/>
  <c r="I1930" i="5"/>
  <c r="I1931" i="5"/>
  <c r="I1932" i="5"/>
  <c r="I1933" i="5"/>
  <c r="I1934" i="5"/>
  <c r="I1935" i="5"/>
  <c r="I1936" i="5"/>
  <c r="I1937" i="5"/>
  <c r="I1938" i="5"/>
  <c r="I1939" i="5"/>
  <c r="I1940" i="5"/>
  <c r="I1941" i="5"/>
  <c r="I1942" i="5"/>
  <c r="I1943" i="5"/>
  <c r="I1944" i="5"/>
  <c r="I1945" i="5"/>
  <c r="I1946" i="5"/>
  <c r="I1947" i="5"/>
  <c r="I1948" i="5"/>
  <c r="I1949" i="5"/>
  <c r="I1950" i="5"/>
  <c r="I1951" i="5"/>
  <c r="I1952" i="5"/>
  <c r="I1953" i="5"/>
  <c r="I1954" i="5"/>
  <c r="I1955" i="5"/>
  <c r="I1956" i="5"/>
  <c r="I1957" i="5"/>
  <c r="I1958" i="5"/>
  <c r="I1959" i="5"/>
  <c r="I1960" i="5"/>
  <c r="I1961" i="5"/>
  <c r="I1962" i="5"/>
  <c r="I1963" i="5"/>
  <c r="I1964" i="5"/>
  <c r="I1965" i="5"/>
  <c r="I1966" i="5"/>
  <c r="I1967" i="5"/>
  <c r="I1968" i="5"/>
  <c r="I1969" i="5"/>
  <c r="I1970" i="5"/>
  <c r="I1971" i="5"/>
  <c r="I1972" i="5"/>
  <c r="I1973" i="5"/>
  <c r="I1974" i="5"/>
  <c r="I1975" i="5"/>
  <c r="I1976" i="5"/>
  <c r="I1977" i="5"/>
  <c r="I1978" i="5"/>
  <c r="I1979" i="5"/>
  <c r="I1980" i="5"/>
  <c r="I1981" i="5"/>
  <c r="I1982" i="5"/>
  <c r="I1983" i="5"/>
  <c r="I1984" i="5"/>
  <c r="I1985" i="5"/>
  <c r="I1986" i="5"/>
  <c r="I1987" i="5"/>
  <c r="I1988" i="5"/>
  <c r="I1989" i="5"/>
  <c r="I1990" i="5"/>
  <c r="I1991" i="5"/>
  <c r="I1992" i="5"/>
  <c r="I1993" i="5"/>
  <c r="I1994" i="5"/>
  <c r="I1995" i="5"/>
  <c r="I1996" i="5"/>
  <c r="I1997" i="5"/>
  <c r="I1998" i="5"/>
  <c r="I1999" i="5"/>
  <c r="I2000" i="5"/>
  <c r="I2001" i="5"/>
  <c r="I2002" i="5"/>
  <c r="I2003" i="5"/>
  <c r="I2004" i="5"/>
  <c r="I2005" i="5"/>
  <c r="I2006" i="5"/>
  <c r="I2007" i="5"/>
  <c r="I2008" i="5"/>
  <c r="I2009" i="5"/>
  <c r="I2010" i="5"/>
  <c r="I2011" i="5"/>
  <c r="I2012" i="5"/>
  <c r="I2013" i="5"/>
  <c r="I2014" i="5"/>
  <c r="I2015" i="5"/>
  <c r="I2016" i="5"/>
  <c r="I2017" i="5"/>
  <c r="I2018" i="5"/>
  <c r="I2019" i="5"/>
  <c r="I2020" i="5"/>
  <c r="I2021" i="5"/>
  <c r="I2022" i="5"/>
  <c r="I2023" i="5"/>
  <c r="I2024" i="5"/>
  <c r="I2025" i="5"/>
  <c r="I2026" i="5"/>
  <c r="I2027" i="5"/>
  <c r="I2028" i="5"/>
  <c r="I2029" i="5"/>
  <c r="I2030" i="5"/>
  <c r="I2031" i="5"/>
  <c r="I2032" i="5"/>
  <c r="I2033" i="5"/>
  <c r="I2034" i="5"/>
  <c r="I2035" i="5"/>
  <c r="I2036" i="5"/>
  <c r="I2037" i="5"/>
  <c r="I2038" i="5"/>
  <c r="I2039" i="5"/>
  <c r="I2040" i="5"/>
  <c r="I2041" i="5"/>
  <c r="I2042" i="5"/>
  <c r="I2043" i="5"/>
  <c r="I2044" i="5"/>
  <c r="I2045" i="5"/>
  <c r="I2046" i="5"/>
  <c r="I2047" i="5"/>
  <c r="I2048" i="5"/>
  <c r="I2049" i="5"/>
  <c r="I2050" i="5"/>
  <c r="I2051" i="5"/>
  <c r="I2052" i="5"/>
  <c r="I2053" i="5"/>
  <c r="I2054" i="5"/>
  <c r="I2055" i="5"/>
  <c r="I2056" i="5"/>
  <c r="I2057" i="5"/>
  <c r="I2058" i="5"/>
  <c r="I2059" i="5"/>
  <c r="I2060" i="5"/>
  <c r="I2061" i="5"/>
  <c r="I2062" i="5"/>
  <c r="I2063" i="5"/>
  <c r="I2064" i="5"/>
  <c r="I2065" i="5"/>
  <c r="I2066" i="5"/>
  <c r="I2067" i="5"/>
  <c r="I2068" i="5"/>
  <c r="I2069" i="5"/>
  <c r="I2070" i="5"/>
  <c r="I2071" i="5"/>
  <c r="I2072" i="5"/>
  <c r="I2073" i="5"/>
  <c r="I2074" i="5"/>
  <c r="I2075" i="5"/>
  <c r="I2076" i="5"/>
  <c r="I2077" i="5"/>
  <c r="I2078" i="5"/>
  <c r="I2079" i="5"/>
  <c r="I2080" i="5"/>
  <c r="I2081" i="5"/>
  <c r="I2082" i="5"/>
  <c r="I2083" i="5"/>
  <c r="I2084" i="5"/>
  <c r="I2085" i="5"/>
  <c r="I2086" i="5"/>
  <c r="I2087" i="5"/>
  <c r="I2088" i="5"/>
  <c r="I2089" i="5"/>
  <c r="I2090" i="5"/>
  <c r="I2091" i="5"/>
  <c r="I2092" i="5"/>
  <c r="I2093" i="5"/>
  <c r="I2094" i="5"/>
  <c r="I2095" i="5"/>
  <c r="I2096" i="5"/>
  <c r="I2097" i="5"/>
  <c r="I2098" i="5"/>
  <c r="I2099" i="5"/>
  <c r="I2100" i="5"/>
  <c r="I2101" i="5"/>
  <c r="I2102" i="5"/>
  <c r="I2103" i="5"/>
  <c r="I2104" i="5"/>
  <c r="I2105" i="5"/>
  <c r="I2106" i="5"/>
  <c r="I2107" i="5"/>
  <c r="I2108" i="5"/>
  <c r="I2109" i="5"/>
  <c r="I2110" i="5"/>
  <c r="I2111" i="5"/>
  <c r="I2112" i="5"/>
  <c r="I2113" i="5"/>
  <c r="I2114" i="5"/>
  <c r="I2115" i="5"/>
  <c r="I2116" i="5"/>
  <c r="I2117" i="5"/>
  <c r="I2118" i="5"/>
  <c r="I2119" i="5"/>
  <c r="I2120" i="5"/>
  <c r="I2121" i="5"/>
  <c r="I2122" i="5"/>
  <c r="I2123" i="5"/>
  <c r="I2124" i="5"/>
  <c r="I2125" i="5"/>
  <c r="I2126" i="5"/>
  <c r="I2127" i="5"/>
  <c r="I2128" i="5"/>
  <c r="I2129" i="5"/>
  <c r="I2130" i="5"/>
  <c r="I2131" i="5"/>
  <c r="I2132" i="5"/>
  <c r="I2133" i="5"/>
  <c r="I2134" i="5"/>
  <c r="I2135" i="5"/>
  <c r="I2136" i="5"/>
  <c r="I2137" i="5"/>
  <c r="I2138" i="5"/>
  <c r="I2139" i="5"/>
  <c r="I2140" i="5"/>
  <c r="I2141" i="5"/>
  <c r="I2142" i="5"/>
  <c r="I2143" i="5"/>
  <c r="I2144" i="5"/>
  <c r="I2145" i="5"/>
  <c r="I2146" i="5"/>
  <c r="I2147" i="5"/>
  <c r="I2148" i="5"/>
  <c r="I2149" i="5"/>
  <c r="I2150" i="5"/>
  <c r="I2151" i="5"/>
  <c r="I2152" i="5"/>
  <c r="I2153" i="5"/>
  <c r="I2154" i="5"/>
  <c r="I2155" i="5"/>
  <c r="I2156" i="5"/>
  <c r="J2" i="5"/>
  <c r="J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J243" i="5"/>
  <c r="J244" i="5"/>
  <c r="J245" i="5"/>
  <c r="J246" i="5"/>
  <c r="J247" i="5"/>
  <c r="J248" i="5"/>
  <c r="J249" i="5"/>
  <c r="J250" i="5"/>
  <c r="J251" i="5"/>
  <c r="J252" i="5"/>
  <c r="J253" i="5"/>
  <c r="J254" i="5"/>
  <c r="J255" i="5"/>
  <c r="J256" i="5"/>
  <c r="J257" i="5"/>
  <c r="J258" i="5"/>
  <c r="J259" i="5"/>
  <c r="J260" i="5"/>
  <c r="J261" i="5"/>
  <c r="J262" i="5"/>
  <c r="J263" i="5"/>
  <c r="J264" i="5"/>
  <c r="J265" i="5"/>
  <c r="J266" i="5"/>
  <c r="J267" i="5"/>
  <c r="J268" i="5"/>
  <c r="J269" i="5"/>
  <c r="J270" i="5"/>
  <c r="J271" i="5"/>
  <c r="J272" i="5"/>
  <c r="J273" i="5"/>
  <c r="J274" i="5"/>
  <c r="J275" i="5"/>
  <c r="J276" i="5"/>
  <c r="J277" i="5"/>
  <c r="J278" i="5"/>
  <c r="J279" i="5"/>
  <c r="J280" i="5"/>
  <c r="J281" i="5"/>
  <c r="J282" i="5"/>
  <c r="J283" i="5"/>
  <c r="J284" i="5"/>
  <c r="J285" i="5"/>
  <c r="J286" i="5"/>
  <c r="J287" i="5"/>
  <c r="J288" i="5"/>
  <c r="J289" i="5"/>
  <c r="J290" i="5"/>
  <c r="J291" i="5"/>
  <c r="J292" i="5"/>
  <c r="J293" i="5"/>
  <c r="J294" i="5"/>
  <c r="J295" i="5"/>
  <c r="J296" i="5"/>
  <c r="J297" i="5"/>
  <c r="J298" i="5"/>
  <c r="J299" i="5"/>
  <c r="J300" i="5"/>
  <c r="J301" i="5"/>
  <c r="J302" i="5"/>
  <c r="J303" i="5"/>
  <c r="J304" i="5"/>
  <c r="J305" i="5"/>
  <c r="J306" i="5"/>
  <c r="J307" i="5"/>
  <c r="J308" i="5"/>
  <c r="J309" i="5"/>
  <c r="J310" i="5"/>
  <c r="J311" i="5"/>
  <c r="J312" i="5"/>
  <c r="J313" i="5"/>
  <c r="J314" i="5"/>
  <c r="J315" i="5"/>
  <c r="J316" i="5"/>
  <c r="J317" i="5"/>
  <c r="J318" i="5"/>
  <c r="J319" i="5"/>
  <c r="J320" i="5"/>
  <c r="J321" i="5"/>
  <c r="J322" i="5"/>
  <c r="J323" i="5"/>
  <c r="J324" i="5"/>
  <c r="J325" i="5"/>
  <c r="J326" i="5"/>
  <c r="J327" i="5"/>
  <c r="J328" i="5"/>
  <c r="J329" i="5"/>
  <c r="J330" i="5"/>
  <c r="J331" i="5"/>
  <c r="J332" i="5"/>
  <c r="J333" i="5"/>
  <c r="J334" i="5"/>
  <c r="J335" i="5"/>
  <c r="J336" i="5"/>
  <c r="J337" i="5"/>
  <c r="J338" i="5"/>
  <c r="J339" i="5"/>
  <c r="J340" i="5"/>
  <c r="J341" i="5"/>
  <c r="J342" i="5"/>
  <c r="J343" i="5"/>
  <c r="J344" i="5"/>
  <c r="J345" i="5"/>
  <c r="J346" i="5"/>
  <c r="J347" i="5"/>
  <c r="J348" i="5"/>
  <c r="J349" i="5"/>
  <c r="J350" i="5"/>
  <c r="J351" i="5"/>
  <c r="J352" i="5"/>
  <c r="J353" i="5"/>
  <c r="J354" i="5"/>
  <c r="J355" i="5"/>
  <c r="J356" i="5"/>
  <c r="J357" i="5"/>
  <c r="J358" i="5"/>
  <c r="J359" i="5"/>
  <c r="J360" i="5"/>
  <c r="J361" i="5"/>
  <c r="J362" i="5"/>
  <c r="J363" i="5"/>
  <c r="J364" i="5"/>
  <c r="J365" i="5"/>
  <c r="J366" i="5"/>
  <c r="J367" i="5"/>
  <c r="J368" i="5"/>
  <c r="J369" i="5"/>
  <c r="J370" i="5"/>
  <c r="J371" i="5"/>
  <c r="J372" i="5"/>
  <c r="J373" i="5"/>
  <c r="J374" i="5"/>
  <c r="J375" i="5"/>
  <c r="J376" i="5"/>
  <c r="J377" i="5"/>
  <c r="J378" i="5"/>
  <c r="J379" i="5"/>
  <c r="J380" i="5"/>
  <c r="J381" i="5"/>
  <c r="J382" i="5"/>
  <c r="J383" i="5"/>
  <c r="J384" i="5"/>
  <c r="J385" i="5"/>
  <c r="J386" i="5"/>
  <c r="J387" i="5"/>
  <c r="J388" i="5"/>
  <c r="J389" i="5"/>
  <c r="J390" i="5"/>
  <c r="J391" i="5"/>
  <c r="J392" i="5"/>
  <c r="J393" i="5"/>
  <c r="J394" i="5"/>
  <c r="J395" i="5"/>
  <c r="J396" i="5"/>
  <c r="J397" i="5"/>
  <c r="J398" i="5"/>
  <c r="J399" i="5"/>
  <c r="J400" i="5"/>
  <c r="J401" i="5"/>
  <c r="J402" i="5"/>
  <c r="J403" i="5"/>
  <c r="J404" i="5"/>
  <c r="J405" i="5"/>
  <c r="J406" i="5"/>
  <c r="J407" i="5"/>
  <c r="J408" i="5"/>
  <c r="J409" i="5"/>
  <c r="J410" i="5"/>
  <c r="J411" i="5"/>
  <c r="J412" i="5"/>
  <c r="J413" i="5"/>
  <c r="J414" i="5"/>
  <c r="J415" i="5"/>
  <c r="J416" i="5"/>
  <c r="J417" i="5"/>
  <c r="J418" i="5"/>
  <c r="J419" i="5"/>
  <c r="J420" i="5"/>
  <c r="J421" i="5"/>
  <c r="J422" i="5"/>
  <c r="J423" i="5"/>
  <c r="J424" i="5"/>
  <c r="J425" i="5"/>
  <c r="J426" i="5"/>
  <c r="J427" i="5"/>
  <c r="J428" i="5"/>
  <c r="J429" i="5"/>
  <c r="J430" i="5"/>
  <c r="J431" i="5"/>
  <c r="J432" i="5"/>
  <c r="J433" i="5"/>
  <c r="J434" i="5"/>
  <c r="J435" i="5"/>
  <c r="J436" i="5"/>
  <c r="J437" i="5"/>
  <c r="J438" i="5"/>
  <c r="J439" i="5"/>
  <c r="J440" i="5"/>
  <c r="J441" i="5"/>
  <c r="J442" i="5"/>
  <c r="J443" i="5"/>
  <c r="J444" i="5"/>
  <c r="J445" i="5"/>
  <c r="J446" i="5"/>
  <c r="J447" i="5"/>
  <c r="J448" i="5"/>
  <c r="J449" i="5"/>
  <c r="J450" i="5"/>
  <c r="J451" i="5"/>
  <c r="J452" i="5"/>
  <c r="J453" i="5"/>
  <c r="J454" i="5"/>
  <c r="J455" i="5"/>
  <c r="J456" i="5"/>
  <c r="J457" i="5"/>
  <c r="J458" i="5"/>
  <c r="J459" i="5"/>
  <c r="J460" i="5"/>
  <c r="J461" i="5"/>
  <c r="J462" i="5"/>
  <c r="J463" i="5"/>
  <c r="J464" i="5"/>
  <c r="J465" i="5"/>
  <c r="J466" i="5"/>
  <c r="J467" i="5"/>
  <c r="J468" i="5"/>
  <c r="J469" i="5"/>
  <c r="J470" i="5"/>
  <c r="J471" i="5"/>
  <c r="J472" i="5"/>
  <c r="J473" i="5"/>
  <c r="J474" i="5"/>
  <c r="J475" i="5"/>
  <c r="J476" i="5"/>
  <c r="J477" i="5"/>
  <c r="J478" i="5"/>
  <c r="J479" i="5"/>
  <c r="J480" i="5"/>
  <c r="J481" i="5"/>
  <c r="J482" i="5"/>
  <c r="J483" i="5"/>
  <c r="J484" i="5"/>
  <c r="J485" i="5"/>
  <c r="J486" i="5"/>
  <c r="J487" i="5"/>
  <c r="J488" i="5"/>
  <c r="J489" i="5"/>
  <c r="J490" i="5"/>
  <c r="J491" i="5"/>
  <c r="J492" i="5"/>
  <c r="J493" i="5"/>
  <c r="J494" i="5"/>
  <c r="J495" i="5"/>
  <c r="J496" i="5"/>
  <c r="J497" i="5"/>
  <c r="J498" i="5"/>
  <c r="J499" i="5"/>
  <c r="J500" i="5"/>
  <c r="J501" i="5"/>
  <c r="J502" i="5"/>
  <c r="J503" i="5"/>
  <c r="J504" i="5"/>
  <c r="J505" i="5"/>
  <c r="J506" i="5"/>
  <c r="J507" i="5"/>
  <c r="J508" i="5"/>
  <c r="J509" i="5"/>
  <c r="J510" i="5"/>
  <c r="J511" i="5"/>
  <c r="J512" i="5"/>
  <c r="J513" i="5"/>
  <c r="J514" i="5"/>
  <c r="J515" i="5"/>
  <c r="J516" i="5"/>
  <c r="J517" i="5"/>
  <c r="J518" i="5"/>
  <c r="J519" i="5"/>
  <c r="J520" i="5"/>
  <c r="J521" i="5"/>
  <c r="J522" i="5"/>
  <c r="J523" i="5"/>
  <c r="J524" i="5"/>
  <c r="J525" i="5"/>
  <c r="J526" i="5"/>
  <c r="J527" i="5"/>
  <c r="J528" i="5"/>
  <c r="J529" i="5"/>
  <c r="J530" i="5"/>
  <c r="J531" i="5"/>
  <c r="J532" i="5"/>
  <c r="J533" i="5"/>
  <c r="J534" i="5"/>
  <c r="J535" i="5"/>
  <c r="J536" i="5"/>
  <c r="J537" i="5"/>
  <c r="J538" i="5"/>
  <c r="J539" i="5"/>
  <c r="J540" i="5"/>
  <c r="J541" i="5"/>
  <c r="J542" i="5"/>
  <c r="J543" i="5"/>
  <c r="J544" i="5"/>
  <c r="J545" i="5"/>
  <c r="J546" i="5"/>
  <c r="J547" i="5"/>
  <c r="J548" i="5"/>
  <c r="J549" i="5"/>
  <c r="J550" i="5"/>
  <c r="J551" i="5"/>
  <c r="J552" i="5"/>
  <c r="J553" i="5"/>
  <c r="J554" i="5"/>
  <c r="J555" i="5"/>
  <c r="J556" i="5"/>
  <c r="J557" i="5"/>
  <c r="J558" i="5"/>
  <c r="J559" i="5"/>
  <c r="J560" i="5"/>
  <c r="J561" i="5"/>
  <c r="J562" i="5"/>
  <c r="J563" i="5"/>
  <c r="J564" i="5"/>
  <c r="J565" i="5"/>
  <c r="J566" i="5"/>
  <c r="J567" i="5"/>
  <c r="J568" i="5"/>
  <c r="J569" i="5"/>
  <c r="J570" i="5"/>
  <c r="J571" i="5"/>
  <c r="J572" i="5"/>
  <c r="J573" i="5"/>
  <c r="J574" i="5"/>
  <c r="J575" i="5"/>
  <c r="J576" i="5"/>
  <c r="J577" i="5"/>
  <c r="J578" i="5"/>
  <c r="J579" i="5"/>
  <c r="J580" i="5"/>
  <c r="J581" i="5"/>
  <c r="J582" i="5"/>
  <c r="J583" i="5"/>
  <c r="J584" i="5"/>
  <c r="J585" i="5"/>
  <c r="J586" i="5"/>
  <c r="J587" i="5"/>
  <c r="J588" i="5"/>
  <c r="J589" i="5"/>
  <c r="J590" i="5"/>
  <c r="J591" i="5"/>
  <c r="J592" i="5"/>
  <c r="J593" i="5"/>
  <c r="J594" i="5"/>
  <c r="J595" i="5"/>
  <c r="J596" i="5"/>
  <c r="J597" i="5"/>
  <c r="J598" i="5"/>
  <c r="J599" i="5"/>
  <c r="J600" i="5"/>
  <c r="J601" i="5"/>
  <c r="J602" i="5"/>
  <c r="J603" i="5"/>
  <c r="J604" i="5"/>
  <c r="J605" i="5"/>
  <c r="J606" i="5"/>
  <c r="J607" i="5"/>
  <c r="J608" i="5"/>
  <c r="J609" i="5"/>
  <c r="J610" i="5"/>
  <c r="J611" i="5"/>
  <c r="J612" i="5"/>
  <c r="J613" i="5"/>
  <c r="J614" i="5"/>
  <c r="J615" i="5"/>
  <c r="J616" i="5"/>
  <c r="J617" i="5"/>
  <c r="J618" i="5"/>
  <c r="J619" i="5"/>
  <c r="J620" i="5"/>
  <c r="J621" i="5"/>
  <c r="J622" i="5"/>
  <c r="J623" i="5"/>
  <c r="J624" i="5"/>
  <c r="J625" i="5"/>
  <c r="J626" i="5"/>
  <c r="J627" i="5"/>
  <c r="J628" i="5"/>
  <c r="J629" i="5"/>
  <c r="J630" i="5"/>
  <c r="J631" i="5"/>
  <c r="J632" i="5"/>
  <c r="J633" i="5"/>
  <c r="J634" i="5"/>
  <c r="J635" i="5"/>
  <c r="J636" i="5"/>
  <c r="J637" i="5"/>
  <c r="J638" i="5"/>
  <c r="J639" i="5"/>
  <c r="J640" i="5"/>
  <c r="J641" i="5"/>
  <c r="J642" i="5"/>
  <c r="J643" i="5"/>
  <c r="J644" i="5"/>
  <c r="J645" i="5"/>
  <c r="J646" i="5"/>
  <c r="J647" i="5"/>
  <c r="J648" i="5"/>
  <c r="J649" i="5"/>
  <c r="J650" i="5"/>
  <c r="J651" i="5"/>
  <c r="J652" i="5"/>
  <c r="J653" i="5"/>
  <c r="J654" i="5"/>
  <c r="J655" i="5"/>
  <c r="J656" i="5"/>
  <c r="J657" i="5"/>
  <c r="J658" i="5"/>
  <c r="J659" i="5"/>
  <c r="J660" i="5"/>
  <c r="J661" i="5"/>
  <c r="J662" i="5"/>
  <c r="J663" i="5"/>
  <c r="J664" i="5"/>
  <c r="J665" i="5"/>
  <c r="J666" i="5"/>
  <c r="J667" i="5"/>
  <c r="J668" i="5"/>
  <c r="J669" i="5"/>
  <c r="J670" i="5"/>
  <c r="J671" i="5"/>
  <c r="J672" i="5"/>
  <c r="J673" i="5"/>
  <c r="J674" i="5"/>
  <c r="J675" i="5"/>
  <c r="J676" i="5"/>
  <c r="J677" i="5"/>
  <c r="J678" i="5"/>
  <c r="J679" i="5"/>
  <c r="J680" i="5"/>
  <c r="J681" i="5"/>
  <c r="J682" i="5"/>
  <c r="J683" i="5"/>
  <c r="J684" i="5"/>
  <c r="J685" i="5"/>
  <c r="J686" i="5"/>
  <c r="J687" i="5"/>
  <c r="J688" i="5"/>
  <c r="J689" i="5"/>
  <c r="J690" i="5"/>
  <c r="J691" i="5"/>
  <c r="J692" i="5"/>
  <c r="J693" i="5"/>
  <c r="J694" i="5"/>
  <c r="J695" i="5"/>
  <c r="J696" i="5"/>
  <c r="J697" i="5"/>
  <c r="J698" i="5"/>
  <c r="J699" i="5"/>
  <c r="J700" i="5"/>
  <c r="J701" i="5"/>
  <c r="J702" i="5"/>
  <c r="J703" i="5"/>
  <c r="J704" i="5"/>
  <c r="J705" i="5"/>
  <c r="J706" i="5"/>
  <c r="J707" i="5"/>
  <c r="J708" i="5"/>
  <c r="J709" i="5"/>
  <c r="J710" i="5"/>
  <c r="J711" i="5"/>
  <c r="J712" i="5"/>
  <c r="J713" i="5"/>
  <c r="J714" i="5"/>
  <c r="J715" i="5"/>
  <c r="J716" i="5"/>
  <c r="J717" i="5"/>
  <c r="J718" i="5"/>
  <c r="J719" i="5"/>
  <c r="J720" i="5"/>
  <c r="J721" i="5"/>
  <c r="J722" i="5"/>
  <c r="J723" i="5"/>
  <c r="J724" i="5"/>
  <c r="J725" i="5"/>
  <c r="J726" i="5"/>
  <c r="J727" i="5"/>
  <c r="J728" i="5"/>
  <c r="J729" i="5"/>
  <c r="J730" i="5"/>
  <c r="J731" i="5"/>
  <c r="J732" i="5"/>
  <c r="J733" i="5"/>
  <c r="J734" i="5"/>
  <c r="J735" i="5"/>
  <c r="J736" i="5"/>
  <c r="J737" i="5"/>
  <c r="J738" i="5"/>
  <c r="J739" i="5"/>
  <c r="J740" i="5"/>
  <c r="J741" i="5"/>
  <c r="J742" i="5"/>
  <c r="J743" i="5"/>
  <c r="J744" i="5"/>
  <c r="J745" i="5"/>
  <c r="J746" i="5"/>
  <c r="J747" i="5"/>
  <c r="J748" i="5"/>
  <c r="J749" i="5"/>
  <c r="J750" i="5"/>
  <c r="J751" i="5"/>
  <c r="J752" i="5"/>
  <c r="J753" i="5"/>
  <c r="J754" i="5"/>
  <c r="J755" i="5"/>
  <c r="J756" i="5"/>
  <c r="J757" i="5"/>
  <c r="J758" i="5"/>
  <c r="J759" i="5"/>
  <c r="J760" i="5"/>
  <c r="J761" i="5"/>
  <c r="J762" i="5"/>
  <c r="J763" i="5"/>
  <c r="J764" i="5"/>
  <c r="J765" i="5"/>
  <c r="J766" i="5"/>
  <c r="J767" i="5"/>
  <c r="J768" i="5"/>
  <c r="J769" i="5"/>
  <c r="J770" i="5"/>
  <c r="J771" i="5"/>
  <c r="J772" i="5"/>
  <c r="J773" i="5"/>
  <c r="J774" i="5"/>
  <c r="J775" i="5"/>
  <c r="J776" i="5"/>
  <c r="J777" i="5"/>
  <c r="J778" i="5"/>
  <c r="J779" i="5"/>
  <c r="J780" i="5"/>
  <c r="J781" i="5"/>
  <c r="J782" i="5"/>
  <c r="J783" i="5"/>
  <c r="J784" i="5"/>
  <c r="J785" i="5"/>
  <c r="J786" i="5"/>
  <c r="J787" i="5"/>
  <c r="J788" i="5"/>
  <c r="J789" i="5"/>
  <c r="J790" i="5"/>
  <c r="J791" i="5"/>
  <c r="J792" i="5"/>
  <c r="J793" i="5"/>
  <c r="J794" i="5"/>
  <c r="J795" i="5"/>
  <c r="J796" i="5"/>
  <c r="J797" i="5"/>
  <c r="J798" i="5"/>
  <c r="J799" i="5"/>
  <c r="J800" i="5"/>
  <c r="J801" i="5"/>
  <c r="J802" i="5"/>
  <c r="J803" i="5"/>
  <c r="J804" i="5"/>
  <c r="J805" i="5"/>
  <c r="J806" i="5"/>
  <c r="J807" i="5"/>
  <c r="J808" i="5"/>
  <c r="J809" i="5"/>
  <c r="J810" i="5"/>
  <c r="J811" i="5"/>
  <c r="J812" i="5"/>
  <c r="J813" i="5"/>
  <c r="J814" i="5"/>
  <c r="J815" i="5"/>
  <c r="J816" i="5"/>
  <c r="J817" i="5"/>
  <c r="J818" i="5"/>
  <c r="J819" i="5"/>
  <c r="J820" i="5"/>
  <c r="J821" i="5"/>
  <c r="J822" i="5"/>
  <c r="J823" i="5"/>
  <c r="J824" i="5"/>
  <c r="J825" i="5"/>
  <c r="J826" i="5"/>
  <c r="J827" i="5"/>
  <c r="J828" i="5"/>
  <c r="J829" i="5"/>
  <c r="J830" i="5"/>
  <c r="J831" i="5"/>
  <c r="J832" i="5"/>
  <c r="J833" i="5"/>
  <c r="J834" i="5"/>
  <c r="J835" i="5"/>
  <c r="J836" i="5"/>
  <c r="J837" i="5"/>
  <c r="J838" i="5"/>
  <c r="J839" i="5"/>
  <c r="J840" i="5"/>
  <c r="J841" i="5"/>
  <c r="J842" i="5"/>
  <c r="J843" i="5"/>
  <c r="J844" i="5"/>
  <c r="J845" i="5"/>
  <c r="J846" i="5"/>
  <c r="J847" i="5"/>
  <c r="J848" i="5"/>
  <c r="J849" i="5"/>
  <c r="J850" i="5"/>
  <c r="J851" i="5"/>
  <c r="J852" i="5"/>
  <c r="J853" i="5"/>
  <c r="J854" i="5"/>
  <c r="J855" i="5"/>
  <c r="J856" i="5"/>
  <c r="J857" i="5"/>
  <c r="J858" i="5"/>
  <c r="J859" i="5"/>
  <c r="J860" i="5"/>
  <c r="J861" i="5"/>
  <c r="J862" i="5"/>
  <c r="J863" i="5"/>
  <c r="J864" i="5"/>
  <c r="J865" i="5"/>
  <c r="J866" i="5"/>
  <c r="J867" i="5"/>
  <c r="J868" i="5"/>
  <c r="J869" i="5"/>
  <c r="J870" i="5"/>
  <c r="J871" i="5"/>
  <c r="J872" i="5"/>
  <c r="J873" i="5"/>
  <c r="J874" i="5"/>
  <c r="J875" i="5"/>
  <c r="J876" i="5"/>
  <c r="J877" i="5"/>
  <c r="J878" i="5"/>
  <c r="J879" i="5"/>
  <c r="J880" i="5"/>
  <c r="J881" i="5"/>
  <c r="J882" i="5"/>
  <c r="J883" i="5"/>
  <c r="J884" i="5"/>
  <c r="J885" i="5"/>
  <c r="J886" i="5"/>
  <c r="J887" i="5"/>
  <c r="J888" i="5"/>
  <c r="J889" i="5"/>
  <c r="J890" i="5"/>
  <c r="J891" i="5"/>
  <c r="J892" i="5"/>
  <c r="J893" i="5"/>
  <c r="J894" i="5"/>
  <c r="J895" i="5"/>
  <c r="J896" i="5"/>
  <c r="J897" i="5"/>
  <c r="J898" i="5"/>
  <c r="J899" i="5"/>
  <c r="J900" i="5"/>
  <c r="J901" i="5"/>
  <c r="J902" i="5"/>
  <c r="J903" i="5"/>
  <c r="J904" i="5"/>
  <c r="J905" i="5"/>
  <c r="J906" i="5"/>
  <c r="J907" i="5"/>
  <c r="J908" i="5"/>
  <c r="J909" i="5"/>
  <c r="J910" i="5"/>
  <c r="J911" i="5"/>
  <c r="J912" i="5"/>
  <c r="J913" i="5"/>
  <c r="J914" i="5"/>
  <c r="J915" i="5"/>
  <c r="J916" i="5"/>
  <c r="J917" i="5"/>
  <c r="J918" i="5"/>
  <c r="J919" i="5"/>
  <c r="J920" i="5"/>
  <c r="J921" i="5"/>
  <c r="J922" i="5"/>
  <c r="J923" i="5"/>
  <c r="J924" i="5"/>
  <c r="J925" i="5"/>
  <c r="J926" i="5"/>
  <c r="J927" i="5"/>
  <c r="J928" i="5"/>
  <c r="J929" i="5"/>
  <c r="J930" i="5"/>
  <c r="J931" i="5"/>
  <c r="J932" i="5"/>
  <c r="J933" i="5"/>
  <c r="J934" i="5"/>
  <c r="J935" i="5"/>
  <c r="J936" i="5"/>
  <c r="J937" i="5"/>
  <c r="J938" i="5"/>
  <c r="J939" i="5"/>
  <c r="J940" i="5"/>
  <c r="J941" i="5"/>
  <c r="J942" i="5"/>
  <c r="J943" i="5"/>
  <c r="J944" i="5"/>
  <c r="J945" i="5"/>
  <c r="J946" i="5"/>
  <c r="J947" i="5"/>
  <c r="J948" i="5"/>
  <c r="J949" i="5"/>
  <c r="J950" i="5"/>
  <c r="J951" i="5"/>
  <c r="J952" i="5"/>
  <c r="J953" i="5"/>
  <c r="J954" i="5"/>
  <c r="J955" i="5"/>
  <c r="J956" i="5"/>
  <c r="J957" i="5"/>
  <c r="J958" i="5"/>
  <c r="J959" i="5"/>
  <c r="J960" i="5"/>
  <c r="J961" i="5"/>
  <c r="J962" i="5"/>
  <c r="J963" i="5"/>
  <c r="J964" i="5"/>
  <c r="J965" i="5"/>
  <c r="J966" i="5"/>
  <c r="J967" i="5"/>
  <c r="J968" i="5"/>
  <c r="J969" i="5"/>
  <c r="J970" i="5"/>
  <c r="J971" i="5"/>
  <c r="J972" i="5"/>
  <c r="J973" i="5"/>
  <c r="J974" i="5"/>
  <c r="J975" i="5"/>
  <c r="J976" i="5"/>
  <c r="J977" i="5"/>
  <c r="J978" i="5"/>
  <c r="J979" i="5"/>
  <c r="J980" i="5"/>
  <c r="J981" i="5"/>
  <c r="J982" i="5"/>
  <c r="J983" i="5"/>
  <c r="J984" i="5"/>
  <c r="J985" i="5"/>
  <c r="J986" i="5"/>
  <c r="J987" i="5"/>
  <c r="J988" i="5"/>
  <c r="J989" i="5"/>
  <c r="J990" i="5"/>
  <c r="J991" i="5"/>
  <c r="J992" i="5"/>
  <c r="J993" i="5"/>
  <c r="J994" i="5"/>
  <c r="J995" i="5"/>
  <c r="J996" i="5"/>
  <c r="J997" i="5"/>
  <c r="J998" i="5"/>
  <c r="J999" i="5"/>
  <c r="J1000" i="5"/>
  <c r="J1001" i="5"/>
  <c r="J1002" i="5"/>
  <c r="J1003" i="5"/>
  <c r="J1004" i="5"/>
  <c r="J1005" i="5"/>
  <c r="J1006" i="5"/>
  <c r="J1007" i="5"/>
  <c r="J1008" i="5"/>
  <c r="J1009" i="5"/>
  <c r="J1010" i="5"/>
  <c r="J1011" i="5"/>
  <c r="J1012" i="5"/>
  <c r="J1013" i="5"/>
  <c r="J1014" i="5"/>
  <c r="J1015" i="5"/>
  <c r="J1016" i="5"/>
  <c r="J1017" i="5"/>
  <c r="J1018" i="5"/>
  <c r="J1019" i="5"/>
  <c r="J1020" i="5"/>
  <c r="J1021" i="5"/>
  <c r="J1022" i="5"/>
  <c r="J1023" i="5"/>
  <c r="J1024" i="5"/>
  <c r="J1025" i="5"/>
  <c r="J1026" i="5"/>
  <c r="J1027" i="5"/>
  <c r="J1028" i="5"/>
  <c r="J1029" i="5"/>
  <c r="J1030" i="5"/>
  <c r="J1031" i="5"/>
  <c r="J1032" i="5"/>
  <c r="J1033" i="5"/>
  <c r="J1034" i="5"/>
  <c r="J1035" i="5"/>
  <c r="J1036" i="5"/>
  <c r="J1037" i="5"/>
  <c r="J1038" i="5"/>
  <c r="J1039" i="5"/>
  <c r="J1040" i="5"/>
  <c r="J1041" i="5"/>
  <c r="J1042" i="5"/>
  <c r="J1043" i="5"/>
  <c r="J1044" i="5"/>
  <c r="J1045" i="5"/>
  <c r="J1046" i="5"/>
  <c r="J1047" i="5"/>
  <c r="J1048" i="5"/>
  <c r="J1049" i="5"/>
  <c r="J1050" i="5"/>
  <c r="J1051" i="5"/>
  <c r="J1052" i="5"/>
  <c r="J1053" i="5"/>
  <c r="J1054" i="5"/>
  <c r="J1055" i="5"/>
  <c r="J1056" i="5"/>
  <c r="J1057" i="5"/>
  <c r="J1058" i="5"/>
  <c r="J1059" i="5"/>
  <c r="J1060" i="5"/>
  <c r="J1061" i="5"/>
  <c r="J1062" i="5"/>
  <c r="J1063" i="5"/>
  <c r="J1064" i="5"/>
  <c r="J1065" i="5"/>
  <c r="J1066" i="5"/>
  <c r="J1067" i="5"/>
  <c r="J1068" i="5"/>
  <c r="J1069" i="5"/>
  <c r="J1070" i="5"/>
  <c r="J1071" i="5"/>
  <c r="J1072" i="5"/>
  <c r="J1073" i="5"/>
  <c r="J1074" i="5"/>
  <c r="J1075" i="5"/>
  <c r="J1076" i="5"/>
  <c r="J1077" i="5"/>
  <c r="J1078" i="5"/>
  <c r="J1079" i="5"/>
  <c r="J1080" i="5"/>
  <c r="J1081" i="5"/>
  <c r="J1082" i="5"/>
  <c r="J1083" i="5"/>
  <c r="J1084" i="5"/>
  <c r="J1085" i="5"/>
  <c r="J1086" i="5"/>
  <c r="J1087" i="5"/>
  <c r="J1088" i="5"/>
  <c r="J1089" i="5"/>
  <c r="J1090" i="5"/>
  <c r="J1091" i="5"/>
  <c r="J1092" i="5"/>
  <c r="J1093" i="5"/>
  <c r="J1094" i="5"/>
  <c r="J1095" i="5"/>
  <c r="J1096" i="5"/>
  <c r="J1097" i="5"/>
  <c r="J1098" i="5"/>
  <c r="J1099" i="5"/>
  <c r="J1100" i="5"/>
  <c r="J1101" i="5"/>
  <c r="J1102" i="5"/>
  <c r="J1103" i="5"/>
  <c r="J1104" i="5"/>
  <c r="J1105" i="5"/>
  <c r="J1106" i="5"/>
  <c r="J1107" i="5"/>
  <c r="J1108" i="5"/>
  <c r="J1109" i="5"/>
  <c r="J1110" i="5"/>
  <c r="J1111" i="5"/>
  <c r="J1112" i="5"/>
  <c r="J1113" i="5"/>
  <c r="J1114" i="5"/>
  <c r="J1115" i="5"/>
  <c r="J1116" i="5"/>
  <c r="J1117" i="5"/>
  <c r="J1118" i="5"/>
  <c r="J1119" i="5"/>
  <c r="J1120" i="5"/>
  <c r="J1121" i="5"/>
  <c r="J1122" i="5"/>
  <c r="J1123" i="5"/>
  <c r="J1124" i="5"/>
  <c r="J1125" i="5"/>
  <c r="J1126" i="5"/>
  <c r="J1127" i="5"/>
  <c r="J1128" i="5"/>
  <c r="J1129" i="5"/>
  <c r="J1130" i="5"/>
  <c r="J1131" i="5"/>
  <c r="J1132" i="5"/>
  <c r="J1133" i="5"/>
  <c r="J1134" i="5"/>
  <c r="J1135" i="5"/>
  <c r="J1136" i="5"/>
  <c r="J1137" i="5"/>
  <c r="J1138" i="5"/>
  <c r="J1139" i="5"/>
  <c r="J1140" i="5"/>
  <c r="J1141" i="5"/>
  <c r="J1142" i="5"/>
  <c r="J1143" i="5"/>
  <c r="J1144" i="5"/>
  <c r="J1145" i="5"/>
  <c r="J1146" i="5"/>
  <c r="J1147" i="5"/>
  <c r="J1148" i="5"/>
  <c r="J1149" i="5"/>
  <c r="J1150" i="5"/>
  <c r="J1151" i="5"/>
  <c r="J1152" i="5"/>
  <c r="J1153" i="5"/>
  <c r="J1154" i="5"/>
  <c r="J1155" i="5"/>
  <c r="J1156" i="5"/>
  <c r="J1157" i="5"/>
  <c r="J1158" i="5"/>
  <c r="J1159" i="5"/>
  <c r="J1160" i="5"/>
  <c r="J1161" i="5"/>
  <c r="J1162" i="5"/>
  <c r="J1163" i="5"/>
  <c r="J1164" i="5"/>
  <c r="J1165" i="5"/>
  <c r="J1166" i="5"/>
  <c r="J1167" i="5"/>
  <c r="J1168" i="5"/>
  <c r="J1169" i="5"/>
  <c r="J1170" i="5"/>
  <c r="J1171" i="5"/>
  <c r="J1172" i="5"/>
  <c r="J1173" i="5"/>
  <c r="J1174" i="5"/>
  <c r="J1175" i="5"/>
  <c r="J1176" i="5"/>
  <c r="J1177" i="5"/>
  <c r="J1178" i="5"/>
  <c r="J1179" i="5"/>
  <c r="J1180" i="5"/>
  <c r="J1181" i="5"/>
  <c r="J1182" i="5"/>
  <c r="J1183" i="5"/>
  <c r="J1184" i="5"/>
  <c r="J1185" i="5"/>
  <c r="J1186" i="5"/>
  <c r="J1187" i="5"/>
  <c r="J1188" i="5"/>
  <c r="J1189" i="5"/>
  <c r="J1190" i="5"/>
  <c r="J1191" i="5"/>
  <c r="J1192" i="5"/>
  <c r="J1193" i="5"/>
  <c r="J1194" i="5"/>
  <c r="J1195" i="5"/>
  <c r="J1196" i="5"/>
  <c r="J1197" i="5"/>
  <c r="J1198" i="5"/>
  <c r="J1199" i="5"/>
  <c r="J1200" i="5"/>
  <c r="J1201" i="5"/>
  <c r="J1202" i="5"/>
  <c r="J1203" i="5"/>
  <c r="J1204" i="5"/>
  <c r="J1205" i="5"/>
  <c r="J1206" i="5"/>
  <c r="J1207" i="5"/>
  <c r="J1208" i="5"/>
  <c r="J1209" i="5"/>
  <c r="J1210" i="5"/>
  <c r="J1211" i="5"/>
  <c r="J1212" i="5"/>
  <c r="J1213" i="5"/>
  <c r="J1214" i="5"/>
  <c r="J1215" i="5"/>
  <c r="J1216" i="5"/>
  <c r="J1217" i="5"/>
  <c r="J1218" i="5"/>
  <c r="J1219" i="5"/>
  <c r="J1220" i="5"/>
  <c r="J1221" i="5"/>
  <c r="J1222" i="5"/>
  <c r="J1223" i="5"/>
  <c r="J1224" i="5"/>
  <c r="J1225" i="5"/>
  <c r="J1226" i="5"/>
  <c r="J1227" i="5"/>
  <c r="J1228" i="5"/>
  <c r="J1229" i="5"/>
  <c r="J1230" i="5"/>
  <c r="J1231" i="5"/>
  <c r="J1232" i="5"/>
  <c r="J1233" i="5"/>
  <c r="J1234" i="5"/>
  <c r="J1235" i="5"/>
  <c r="J1236" i="5"/>
  <c r="J1237" i="5"/>
  <c r="J1238" i="5"/>
  <c r="J1239" i="5"/>
  <c r="J1240" i="5"/>
  <c r="J1241" i="5"/>
  <c r="J1242" i="5"/>
  <c r="J1243" i="5"/>
  <c r="J1244" i="5"/>
  <c r="J1245" i="5"/>
  <c r="J1246" i="5"/>
  <c r="J1247" i="5"/>
  <c r="J1248" i="5"/>
  <c r="J1249" i="5"/>
  <c r="J1250" i="5"/>
  <c r="J1251" i="5"/>
  <c r="J1252" i="5"/>
  <c r="J1253" i="5"/>
  <c r="J1254" i="5"/>
  <c r="J1255" i="5"/>
  <c r="J1256" i="5"/>
  <c r="J1257" i="5"/>
  <c r="J1258" i="5"/>
  <c r="J1259" i="5"/>
  <c r="J1260" i="5"/>
  <c r="J1261" i="5"/>
  <c r="J1262" i="5"/>
  <c r="J1263" i="5"/>
  <c r="J1264" i="5"/>
  <c r="J1265" i="5"/>
  <c r="J1266" i="5"/>
  <c r="J1267" i="5"/>
  <c r="J1268" i="5"/>
  <c r="J1269" i="5"/>
  <c r="J1270" i="5"/>
  <c r="J1271" i="5"/>
  <c r="J1272" i="5"/>
  <c r="J1273" i="5"/>
  <c r="J1274" i="5"/>
  <c r="J1275" i="5"/>
  <c r="J1276" i="5"/>
  <c r="J1277" i="5"/>
  <c r="J1278" i="5"/>
  <c r="J1279" i="5"/>
  <c r="J1280" i="5"/>
  <c r="J1281" i="5"/>
  <c r="J1282" i="5"/>
  <c r="J1283" i="5"/>
  <c r="J1284" i="5"/>
  <c r="J1285" i="5"/>
  <c r="J1286" i="5"/>
  <c r="J1287" i="5"/>
  <c r="J1288" i="5"/>
  <c r="J1289" i="5"/>
  <c r="J1290" i="5"/>
  <c r="J1291" i="5"/>
  <c r="J1292" i="5"/>
  <c r="J1293" i="5"/>
  <c r="J1294" i="5"/>
  <c r="J1295" i="5"/>
  <c r="J1296" i="5"/>
  <c r="J1297" i="5"/>
  <c r="J1298" i="5"/>
  <c r="J1299" i="5"/>
  <c r="J1300" i="5"/>
  <c r="J1301" i="5"/>
  <c r="J1302" i="5"/>
  <c r="J1303" i="5"/>
  <c r="J1304" i="5"/>
  <c r="J1305" i="5"/>
  <c r="J1306" i="5"/>
  <c r="J1307" i="5"/>
  <c r="J1308" i="5"/>
  <c r="J1309" i="5"/>
  <c r="J1310" i="5"/>
  <c r="J1311" i="5"/>
  <c r="J1312" i="5"/>
  <c r="J1313" i="5"/>
  <c r="J1314" i="5"/>
  <c r="J1315" i="5"/>
  <c r="J1316" i="5"/>
  <c r="J1317" i="5"/>
  <c r="J1318" i="5"/>
  <c r="J1319" i="5"/>
  <c r="J1320" i="5"/>
  <c r="J1321" i="5"/>
  <c r="J1322" i="5"/>
  <c r="J1323" i="5"/>
  <c r="J1324" i="5"/>
  <c r="J1325" i="5"/>
  <c r="J1326" i="5"/>
  <c r="J1327" i="5"/>
  <c r="J1328" i="5"/>
  <c r="J1329" i="5"/>
  <c r="J1330" i="5"/>
  <c r="J1331" i="5"/>
  <c r="J1332" i="5"/>
  <c r="J1333" i="5"/>
  <c r="J1334" i="5"/>
  <c r="J1335" i="5"/>
  <c r="J1336" i="5"/>
  <c r="J1337" i="5"/>
  <c r="J1338" i="5"/>
  <c r="J1339" i="5"/>
  <c r="J1340" i="5"/>
  <c r="J1341" i="5"/>
  <c r="J1342" i="5"/>
  <c r="J1343" i="5"/>
  <c r="J1344" i="5"/>
  <c r="J1345" i="5"/>
  <c r="J1346" i="5"/>
  <c r="J1347" i="5"/>
  <c r="J1348" i="5"/>
  <c r="J1349" i="5"/>
  <c r="J1350" i="5"/>
  <c r="J1351" i="5"/>
  <c r="J1352" i="5"/>
  <c r="J1353" i="5"/>
  <c r="J1354" i="5"/>
  <c r="J1355" i="5"/>
  <c r="J1356" i="5"/>
  <c r="J1357" i="5"/>
  <c r="J1358" i="5"/>
  <c r="J1359" i="5"/>
  <c r="J1360" i="5"/>
  <c r="J1361" i="5"/>
  <c r="J1362" i="5"/>
  <c r="J1363" i="5"/>
  <c r="J1364" i="5"/>
  <c r="J1365" i="5"/>
  <c r="J1366" i="5"/>
  <c r="J1367" i="5"/>
  <c r="J1368" i="5"/>
  <c r="J1369" i="5"/>
  <c r="J1370" i="5"/>
  <c r="J1371" i="5"/>
  <c r="J1372" i="5"/>
  <c r="J1373" i="5"/>
  <c r="J1374" i="5"/>
  <c r="J1375" i="5"/>
  <c r="J1376" i="5"/>
  <c r="J1377" i="5"/>
  <c r="J1378" i="5"/>
  <c r="J1379" i="5"/>
  <c r="J1380" i="5"/>
  <c r="J1381" i="5"/>
  <c r="J1382" i="5"/>
  <c r="J1383" i="5"/>
  <c r="J1384" i="5"/>
  <c r="J1385" i="5"/>
  <c r="J1386" i="5"/>
  <c r="J1387" i="5"/>
  <c r="J1388" i="5"/>
  <c r="J1389" i="5"/>
  <c r="J1390" i="5"/>
  <c r="J1391" i="5"/>
  <c r="J1392" i="5"/>
  <c r="J1393" i="5"/>
  <c r="J1394" i="5"/>
  <c r="J1395" i="5"/>
  <c r="J1396" i="5"/>
  <c r="J1397" i="5"/>
  <c r="J1398" i="5"/>
  <c r="J1399" i="5"/>
  <c r="J1400" i="5"/>
  <c r="J1401" i="5"/>
  <c r="J1402" i="5"/>
  <c r="J1403" i="5"/>
  <c r="J1404" i="5"/>
  <c r="J1405" i="5"/>
  <c r="J1406" i="5"/>
  <c r="J1407" i="5"/>
  <c r="J1408" i="5"/>
  <c r="J1409" i="5"/>
  <c r="J1410" i="5"/>
  <c r="J1411" i="5"/>
  <c r="J1412" i="5"/>
  <c r="J1413" i="5"/>
  <c r="J1414" i="5"/>
  <c r="J1415" i="5"/>
  <c r="J1416" i="5"/>
  <c r="J1417" i="5"/>
  <c r="J1418" i="5"/>
  <c r="J1419" i="5"/>
  <c r="J1420" i="5"/>
  <c r="J1421" i="5"/>
  <c r="J1422" i="5"/>
  <c r="J1423" i="5"/>
  <c r="J1424" i="5"/>
  <c r="J1425" i="5"/>
  <c r="J1426" i="5"/>
  <c r="J1427" i="5"/>
  <c r="J1428" i="5"/>
  <c r="J1429" i="5"/>
  <c r="J1430" i="5"/>
  <c r="J1431" i="5"/>
  <c r="J1432" i="5"/>
  <c r="J1433" i="5"/>
  <c r="J1434" i="5"/>
  <c r="J1435" i="5"/>
  <c r="J1436" i="5"/>
  <c r="J1437" i="5"/>
  <c r="J1438" i="5"/>
  <c r="J1439" i="5"/>
  <c r="J1440" i="5"/>
  <c r="J1441" i="5"/>
  <c r="J1442" i="5"/>
  <c r="J1443" i="5"/>
  <c r="J1444" i="5"/>
  <c r="J1445" i="5"/>
  <c r="J1446" i="5"/>
  <c r="J1447" i="5"/>
  <c r="J1448" i="5"/>
  <c r="J1449" i="5"/>
  <c r="J1450" i="5"/>
  <c r="J1451" i="5"/>
  <c r="J1452" i="5"/>
  <c r="J1453" i="5"/>
  <c r="J1454" i="5"/>
  <c r="J1455" i="5"/>
  <c r="J1456" i="5"/>
  <c r="J1457" i="5"/>
  <c r="J1458" i="5"/>
  <c r="J1459" i="5"/>
  <c r="J1460" i="5"/>
  <c r="J1461" i="5"/>
  <c r="J1462" i="5"/>
  <c r="J1463" i="5"/>
  <c r="J1464" i="5"/>
  <c r="J1465" i="5"/>
  <c r="J1466" i="5"/>
  <c r="J1467" i="5"/>
  <c r="J1468" i="5"/>
  <c r="J1469" i="5"/>
  <c r="J1470" i="5"/>
  <c r="J1471" i="5"/>
  <c r="J1472" i="5"/>
  <c r="J1473" i="5"/>
  <c r="J1474" i="5"/>
  <c r="J1475" i="5"/>
  <c r="J1476" i="5"/>
  <c r="J1477" i="5"/>
  <c r="J1478" i="5"/>
  <c r="J1479" i="5"/>
  <c r="J1480" i="5"/>
  <c r="J1481" i="5"/>
  <c r="J1482" i="5"/>
  <c r="J1483" i="5"/>
  <c r="J1484" i="5"/>
  <c r="J1485" i="5"/>
  <c r="J1486" i="5"/>
  <c r="J1487" i="5"/>
  <c r="J1488" i="5"/>
  <c r="J1489" i="5"/>
  <c r="J1490" i="5"/>
  <c r="J1491" i="5"/>
  <c r="J1492" i="5"/>
  <c r="J1493" i="5"/>
  <c r="J1494" i="5"/>
  <c r="J1495" i="5"/>
  <c r="J1496" i="5"/>
  <c r="J1497" i="5"/>
  <c r="J1498" i="5"/>
  <c r="J1499" i="5"/>
  <c r="J1500" i="5"/>
  <c r="J1501" i="5"/>
  <c r="J1502" i="5"/>
  <c r="J1503" i="5"/>
  <c r="J1504" i="5"/>
  <c r="J1505" i="5"/>
  <c r="J1506" i="5"/>
  <c r="J1507" i="5"/>
  <c r="J1508" i="5"/>
  <c r="J1509" i="5"/>
  <c r="J1510" i="5"/>
  <c r="J1511" i="5"/>
  <c r="J1512" i="5"/>
  <c r="J1513" i="5"/>
  <c r="J1514" i="5"/>
  <c r="J1515" i="5"/>
  <c r="J1516" i="5"/>
  <c r="J1517" i="5"/>
  <c r="J1518" i="5"/>
  <c r="J1519" i="5"/>
  <c r="J1520" i="5"/>
  <c r="J1521" i="5"/>
  <c r="J1522" i="5"/>
  <c r="J1523" i="5"/>
  <c r="J1524" i="5"/>
  <c r="J1525" i="5"/>
  <c r="J1526" i="5"/>
  <c r="J1527" i="5"/>
  <c r="J1528" i="5"/>
  <c r="J1529" i="5"/>
  <c r="J1530" i="5"/>
  <c r="J1531" i="5"/>
  <c r="J1532" i="5"/>
  <c r="J1533" i="5"/>
  <c r="J1534" i="5"/>
  <c r="J1535" i="5"/>
  <c r="J1536" i="5"/>
  <c r="J1537" i="5"/>
  <c r="J1538" i="5"/>
  <c r="J1539" i="5"/>
  <c r="J1540" i="5"/>
  <c r="J1541" i="5"/>
  <c r="J1542" i="5"/>
  <c r="J1543" i="5"/>
  <c r="J1544" i="5"/>
  <c r="J1545" i="5"/>
  <c r="J1546" i="5"/>
  <c r="J1547" i="5"/>
  <c r="J1548" i="5"/>
  <c r="J1549" i="5"/>
  <c r="J1550" i="5"/>
  <c r="J1551" i="5"/>
  <c r="J1552" i="5"/>
  <c r="J1553" i="5"/>
  <c r="J1554" i="5"/>
  <c r="J1555" i="5"/>
  <c r="J1556" i="5"/>
  <c r="J1557" i="5"/>
  <c r="J1558" i="5"/>
  <c r="J1559" i="5"/>
  <c r="J1560" i="5"/>
  <c r="J1561" i="5"/>
  <c r="J1562" i="5"/>
  <c r="J1563" i="5"/>
  <c r="J1564" i="5"/>
  <c r="J1565" i="5"/>
  <c r="J1566" i="5"/>
  <c r="J1567" i="5"/>
  <c r="J1568" i="5"/>
  <c r="J1569" i="5"/>
  <c r="J1570" i="5"/>
  <c r="J1571" i="5"/>
  <c r="J1572" i="5"/>
  <c r="J1573" i="5"/>
  <c r="J1574" i="5"/>
  <c r="J1575" i="5"/>
  <c r="J1576" i="5"/>
  <c r="J1577" i="5"/>
  <c r="J1578" i="5"/>
  <c r="J1579" i="5"/>
  <c r="J1580" i="5"/>
  <c r="J1581" i="5"/>
  <c r="J1582" i="5"/>
  <c r="J1583" i="5"/>
  <c r="J1584" i="5"/>
  <c r="J1585" i="5"/>
  <c r="J1586" i="5"/>
  <c r="J1587" i="5"/>
  <c r="J1588" i="5"/>
  <c r="J1589" i="5"/>
  <c r="J1590" i="5"/>
  <c r="J1591" i="5"/>
  <c r="J1592" i="5"/>
  <c r="J1593" i="5"/>
  <c r="J1594" i="5"/>
  <c r="J1595" i="5"/>
  <c r="J1596" i="5"/>
  <c r="J1597" i="5"/>
  <c r="J1598" i="5"/>
  <c r="J1599" i="5"/>
  <c r="J1600" i="5"/>
  <c r="J1601" i="5"/>
  <c r="J1602" i="5"/>
  <c r="J1603" i="5"/>
  <c r="J1604" i="5"/>
  <c r="J1605" i="5"/>
  <c r="J1606" i="5"/>
  <c r="J1607" i="5"/>
  <c r="J1608" i="5"/>
  <c r="J1609" i="5"/>
  <c r="J1610" i="5"/>
  <c r="J1611" i="5"/>
  <c r="J1612" i="5"/>
  <c r="J1613" i="5"/>
  <c r="J1614" i="5"/>
  <c r="J1615" i="5"/>
  <c r="J1616" i="5"/>
  <c r="J1617" i="5"/>
  <c r="J1618" i="5"/>
  <c r="J1619" i="5"/>
  <c r="J1620" i="5"/>
  <c r="J1621" i="5"/>
  <c r="J1622" i="5"/>
  <c r="J1623" i="5"/>
  <c r="J1624" i="5"/>
  <c r="J1625" i="5"/>
  <c r="J1626" i="5"/>
  <c r="J1627" i="5"/>
  <c r="J1628" i="5"/>
  <c r="J1629" i="5"/>
  <c r="J1630" i="5"/>
  <c r="J1631" i="5"/>
  <c r="J1632" i="5"/>
  <c r="J1633" i="5"/>
  <c r="J1634" i="5"/>
  <c r="J1635" i="5"/>
  <c r="J1636" i="5"/>
  <c r="J1637" i="5"/>
  <c r="J1638" i="5"/>
  <c r="J1639" i="5"/>
  <c r="J1640" i="5"/>
  <c r="J1641" i="5"/>
  <c r="J1642" i="5"/>
  <c r="J1643" i="5"/>
  <c r="J1644" i="5"/>
  <c r="J1645" i="5"/>
  <c r="J1646" i="5"/>
  <c r="J1647" i="5"/>
  <c r="J1648" i="5"/>
  <c r="J1649" i="5"/>
  <c r="J1650" i="5"/>
  <c r="J1651" i="5"/>
  <c r="J1652" i="5"/>
  <c r="J1653" i="5"/>
  <c r="J1654" i="5"/>
  <c r="J1655" i="5"/>
  <c r="J1656" i="5"/>
  <c r="J1657" i="5"/>
  <c r="J1658" i="5"/>
  <c r="J1659" i="5"/>
  <c r="J1660" i="5"/>
  <c r="J1661" i="5"/>
  <c r="J1662" i="5"/>
  <c r="J1663" i="5"/>
  <c r="J1664" i="5"/>
  <c r="J1665" i="5"/>
  <c r="J1666" i="5"/>
  <c r="J1667" i="5"/>
  <c r="J1668" i="5"/>
  <c r="J1669" i="5"/>
  <c r="J1670" i="5"/>
  <c r="J1671" i="5"/>
  <c r="J1672" i="5"/>
  <c r="J1673" i="5"/>
  <c r="J1674" i="5"/>
  <c r="J1675" i="5"/>
  <c r="J1676" i="5"/>
  <c r="J1677" i="5"/>
  <c r="J1678" i="5"/>
  <c r="J1679" i="5"/>
  <c r="J1680" i="5"/>
  <c r="J1681" i="5"/>
  <c r="J1682" i="5"/>
  <c r="J1683" i="5"/>
  <c r="J1684" i="5"/>
  <c r="J1685" i="5"/>
  <c r="J1686" i="5"/>
  <c r="J1687" i="5"/>
  <c r="J1688" i="5"/>
  <c r="J1689" i="5"/>
  <c r="J1690" i="5"/>
  <c r="J1691" i="5"/>
  <c r="J1692" i="5"/>
  <c r="J1693" i="5"/>
  <c r="J1694" i="5"/>
  <c r="J1695" i="5"/>
  <c r="J1696" i="5"/>
  <c r="J1697" i="5"/>
  <c r="J1698" i="5"/>
  <c r="J1699" i="5"/>
  <c r="J1700" i="5"/>
  <c r="J1701" i="5"/>
  <c r="J1702" i="5"/>
  <c r="J1703" i="5"/>
  <c r="J1704" i="5"/>
  <c r="J1705" i="5"/>
  <c r="J1706" i="5"/>
  <c r="J1707" i="5"/>
  <c r="J1708" i="5"/>
  <c r="J1709" i="5"/>
  <c r="J1710" i="5"/>
  <c r="J1711" i="5"/>
  <c r="J1712" i="5"/>
  <c r="J1713" i="5"/>
  <c r="J1714" i="5"/>
  <c r="J1715" i="5"/>
  <c r="J1716" i="5"/>
  <c r="J1717" i="5"/>
  <c r="J1718" i="5"/>
  <c r="J1719" i="5"/>
  <c r="J1720" i="5"/>
  <c r="J1721" i="5"/>
  <c r="J1722" i="5"/>
  <c r="J1723" i="5"/>
  <c r="J1724" i="5"/>
  <c r="J1725" i="5"/>
  <c r="J1726" i="5"/>
  <c r="J1727" i="5"/>
  <c r="J1728" i="5"/>
  <c r="J1729" i="5"/>
  <c r="J1730" i="5"/>
  <c r="J1731" i="5"/>
  <c r="J1732" i="5"/>
  <c r="J1733" i="5"/>
  <c r="J1734" i="5"/>
  <c r="J1735" i="5"/>
  <c r="J1736" i="5"/>
  <c r="J1737" i="5"/>
  <c r="J1738" i="5"/>
  <c r="J1739" i="5"/>
  <c r="J1740" i="5"/>
  <c r="J1741" i="5"/>
  <c r="J1742" i="5"/>
  <c r="J1743" i="5"/>
  <c r="J1744" i="5"/>
  <c r="J1745" i="5"/>
  <c r="J1746" i="5"/>
  <c r="J1747" i="5"/>
  <c r="J1748" i="5"/>
  <c r="J1749" i="5"/>
  <c r="J1750" i="5"/>
  <c r="J1751" i="5"/>
  <c r="J1752" i="5"/>
  <c r="J1753" i="5"/>
  <c r="J1754" i="5"/>
  <c r="J1755" i="5"/>
  <c r="J1756" i="5"/>
  <c r="J1757" i="5"/>
  <c r="J1758" i="5"/>
  <c r="J1759" i="5"/>
  <c r="J1760" i="5"/>
  <c r="J1761" i="5"/>
  <c r="J1762" i="5"/>
  <c r="J1763" i="5"/>
  <c r="J1764" i="5"/>
  <c r="J1765" i="5"/>
  <c r="J1766" i="5"/>
  <c r="J1767" i="5"/>
  <c r="J1768" i="5"/>
  <c r="J1769" i="5"/>
  <c r="J1770" i="5"/>
  <c r="J1771" i="5"/>
  <c r="J1772" i="5"/>
  <c r="J1773" i="5"/>
  <c r="J1774" i="5"/>
  <c r="J1775" i="5"/>
  <c r="J1776" i="5"/>
  <c r="J1777" i="5"/>
  <c r="J1778" i="5"/>
  <c r="J1779" i="5"/>
  <c r="J1780" i="5"/>
  <c r="J1781" i="5"/>
  <c r="J1782" i="5"/>
  <c r="J1783" i="5"/>
  <c r="J1784" i="5"/>
  <c r="J1785" i="5"/>
  <c r="J1786" i="5"/>
  <c r="J1787" i="5"/>
  <c r="J1788" i="5"/>
  <c r="J1789" i="5"/>
  <c r="J1790" i="5"/>
  <c r="J1791" i="5"/>
  <c r="J1792" i="5"/>
  <c r="J1793" i="5"/>
  <c r="J1794" i="5"/>
  <c r="J1795" i="5"/>
  <c r="J1796" i="5"/>
  <c r="J1797" i="5"/>
  <c r="J1798" i="5"/>
  <c r="J1799" i="5"/>
  <c r="J1800" i="5"/>
  <c r="J1801" i="5"/>
  <c r="J1802" i="5"/>
  <c r="J1803" i="5"/>
  <c r="J1804" i="5"/>
  <c r="J1805" i="5"/>
  <c r="J1806" i="5"/>
  <c r="J1807" i="5"/>
  <c r="J1808" i="5"/>
  <c r="J1809" i="5"/>
  <c r="J1810" i="5"/>
  <c r="J1811" i="5"/>
  <c r="J1812" i="5"/>
  <c r="J1813" i="5"/>
  <c r="J1814" i="5"/>
  <c r="J1815" i="5"/>
  <c r="J1816" i="5"/>
  <c r="J1817" i="5"/>
  <c r="J1818" i="5"/>
  <c r="J1819" i="5"/>
  <c r="J1820" i="5"/>
  <c r="J1821" i="5"/>
  <c r="J1822" i="5"/>
  <c r="J1823" i="5"/>
  <c r="J1824" i="5"/>
  <c r="J1825" i="5"/>
  <c r="J1826" i="5"/>
  <c r="J1827" i="5"/>
  <c r="J1828" i="5"/>
  <c r="J1829" i="5"/>
  <c r="J1830" i="5"/>
  <c r="J1831" i="5"/>
  <c r="J1832" i="5"/>
  <c r="J1833" i="5"/>
  <c r="J1834" i="5"/>
  <c r="J1835" i="5"/>
  <c r="J1836" i="5"/>
  <c r="J1837" i="5"/>
  <c r="J1838" i="5"/>
  <c r="J1839" i="5"/>
  <c r="J1840" i="5"/>
  <c r="J1841" i="5"/>
  <c r="J1842" i="5"/>
  <c r="J1843" i="5"/>
  <c r="J1844" i="5"/>
  <c r="J1845" i="5"/>
  <c r="J1846" i="5"/>
  <c r="J1847" i="5"/>
  <c r="J1848" i="5"/>
  <c r="J1849" i="5"/>
  <c r="J1850" i="5"/>
  <c r="J1851" i="5"/>
  <c r="J1852" i="5"/>
  <c r="J1853" i="5"/>
  <c r="J1854" i="5"/>
  <c r="J1855" i="5"/>
  <c r="J1856" i="5"/>
  <c r="J1857" i="5"/>
  <c r="J1858" i="5"/>
  <c r="J1859" i="5"/>
  <c r="J1860" i="5"/>
  <c r="J1861" i="5"/>
  <c r="J1862" i="5"/>
  <c r="J1863" i="5"/>
  <c r="J1864" i="5"/>
  <c r="J1865" i="5"/>
  <c r="J1866" i="5"/>
  <c r="J1867" i="5"/>
  <c r="J1868" i="5"/>
  <c r="J1869" i="5"/>
  <c r="J1870" i="5"/>
  <c r="J1871" i="5"/>
  <c r="J1872" i="5"/>
  <c r="J1873" i="5"/>
  <c r="J1874" i="5"/>
  <c r="J1875" i="5"/>
  <c r="J1876" i="5"/>
  <c r="J1877" i="5"/>
  <c r="J1878" i="5"/>
  <c r="J1879" i="5"/>
  <c r="J1880" i="5"/>
  <c r="J1881" i="5"/>
  <c r="J1882" i="5"/>
  <c r="J1883" i="5"/>
  <c r="J1884" i="5"/>
  <c r="J1885" i="5"/>
  <c r="J1886" i="5"/>
  <c r="J1887" i="5"/>
  <c r="J1888" i="5"/>
  <c r="J1889" i="5"/>
  <c r="J1890" i="5"/>
  <c r="J1891" i="5"/>
  <c r="J1892" i="5"/>
  <c r="J1893" i="5"/>
  <c r="J1894" i="5"/>
  <c r="J1895" i="5"/>
  <c r="J1896" i="5"/>
  <c r="J1897" i="5"/>
  <c r="J1898" i="5"/>
  <c r="J1899" i="5"/>
  <c r="J1900" i="5"/>
  <c r="J1901" i="5"/>
  <c r="J1902" i="5"/>
  <c r="J1903" i="5"/>
  <c r="J1904" i="5"/>
  <c r="J1905" i="5"/>
  <c r="J1906" i="5"/>
  <c r="J1907" i="5"/>
  <c r="J1908" i="5"/>
  <c r="J1909" i="5"/>
  <c r="J1910" i="5"/>
  <c r="J1911" i="5"/>
  <c r="J1912" i="5"/>
  <c r="J1913" i="5"/>
  <c r="J1914" i="5"/>
  <c r="J1915" i="5"/>
  <c r="J1916" i="5"/>
  <c r="J1917" i="5"/>
  <c r="J1918" i="5"/>
  <c r="J1919" i="5"/>
  <c r="J1920" i="5"/>
  <c r="J1921" i="5"/>
  <c r="J1922" i="5"/>
  <c r="J1923" i="5"/>
  <c r="J1924" i="5"/>
  <c r="J1925" i="5"/>
  <c r="J1926" i="5"/>
  <c r="J1927" i="5"/>
  <c r="J1928" i="5"/>
  <c r="J1929" i="5"/>
  <c r="J1930" i="5"/>
  <c r="J1931" i="5"/>
  <c r="J1932" i="5"/>
  <c r="J1933" i="5"/>
  <c r="J1934" i="5"/>
  <c r="J1935" i="5"/>
  <c r="J1936" i="5"/>
  <c r="J1937" i="5"/>
  <c r="J1938" i="5"/>
  <c r="J1939" i="5"/>
  <c r="J1940" i="5"/>
  <c r="J1941" i="5"/>
  <c r="J1942" i="5"/>
  <c r="J1943" i="5"/>
  <c r="J1944" i="5"/>
  <c r="J1945" i="5"/>
  <c r="J1946" i="5"/>
  <c r="J1947" i="5"/>
  <c r="J1948" i="5"/>
  <c r="J1949" i="5"/>
  <c r="J1950" i="5"/>
  <c r="J1951" i="5"/>
  <c r="J1952" i="5"/>
  <c r="J1953" i="5"/>
  <c r="J1954" i="5"/>
  <c r="J1955" i="5"/>
  <c r="J1956" i="5"/>
  <c r="J1957" i="5"/>
  <c r="J1958" i="5"/>
  <c r="J1959" i="5"/>
  <c r="J1960" i="5"/>
  <c r="J1961" i="5"/>
  <c r="J1962" i="5"/>
  <c r="J1963" i="5"/>
  <c r="J1964" i="5"/>
  <c r="J1965" i="5"/>
  <c r="J1966" i="5"/>
  <c r="J1967" i="5"/>
  <c r="J1968" i="5"/>
  <c r="J1969" i="5"/>
  <c r="J1970" i="5"/>
  <c r="J1971" i="5"/>
  <c r="J1972" i="5"/>
  <c r="J1973" i="5"/>
  <c r="J1974" i="5"/>
  <c r="J1975" i="5"/>
  <c r="J1976" i="5"/>
  <c r="J1977" i="5"/>
  <c r="J1978" i="5"/>
  <c r="J1979" i="5"/>
  <c r="J1980" i="5"/>
  <c r="J1981" i="5"/>
  <c r="J1982" i="5"/>
  <c r="J1983" i="5"/>
  <c r="J1984" i="5"/>
  <c r="J1985" i="5"/>
  <c r="J1986" i="5"/>
  <c r="J1987" i="5"/>
  <c r="J1988" i="5"/>
  <c r="J1989" i="5"/>
  <c r="J1990" i="5"/>
  <c r="J1991" i="5"/>
  <c r="J1992" i="5"/>
  <c r="J1993" i="5"/>
  <c r="J1994" i="5"/>
  <c r="J1995" i="5"/>
  <c r="J1996" i="5"/>
  <c r="J1997" i="5"/>
  <c r="J1998" i="5"/>
  <c r="J1999" i="5"/>
  <c r="J2000" i="5"/>
  <c r="J2001" i="5"/>
  <c r="J2002" i="5"/>
  <c r="J2003" i="5"/>
  <c r="J2004" i="5"/>
  <c r="J2005" i="5"/>
  <c r="J2006" i="5"/>
  <c r="J2007" i="5"/>
  <c r="J2008" i="5"/>
  <c r="J2009" i="5"/>
  <c r="J2010" i="5"/>
  <c r="J2011" i="5"/>
  <c r="J2012" i="5"/>
  <c r="J2013" i="5"/>
  <c r="J2014" i="5"/>
  <c r="J2015" i="5"/>
  <c r="J2016" i="5"/>
  <c r="J2017" i="5"/>
  <c r="J2018" i="5"/>
  <c r="J2019" i="5"/>
  <c r="J2020" i="5"/>
  <c r="J2021" i="5"/>
  <c r="J2022" i="5"/>
  <c r="J2023" i="5"/>
  <c r="J2024" i="5"/>
  <c r="J2025" i="5"/>
  <c r="J2026" i="5"/>
  <c r="J2027" i="5"/>
  <c r="J2028" i="5"/>
  <c r="J2029" i="5"/>
  <c r="J2030" i="5"/>
  <c r="J2031" i="5"/>
  <c r="J2032" i="5"/>
  <c r="J2033" i="5"/>
  <c r="J2034" i="5"/>
  <c r="J2035" i="5"/>
  <c r="J2036" i="5"/>
  <c r="J2037" i="5"/>
  <c r="J2038" i="5"/>
  <c r="J2039" i="5"/>
  <c r="J2040" i="5"/>
  <c r="J2041" i="5"/>
  <c r="J2042" i="5"/>
  <c r="J2043" i="5"/>
  <c r="J2044" i="5"/>
  <c r="J2045" i="5"/>
  <c r="J2046" i="5"/>
  <c r="J2047" i="5"/>
  <c r="J2048" i="5"/>
  <c r="J2049" i="5"/>
  <c r="J2050" i="5"/>
  <c r="J2051" i="5"/>
  <c r="J2052" i="5"/>
  <c r="J2053" i="5"/>
  <c r="J2054" i="5"/>
  <c r="J2055" i="5"/>
  <c r="J2056" i="5"/>
  <c r="J2057" i="5"/>
  <c r="J2058" i="5"/>
  <c r="J2059" i="5"/>
  <c r="J2060" i="5"/>
  <c r="J2061" i="5"/>
  <c r="J2062" i="5"/>
  <c r="J2063" i="5"/>
  <c r="J2064" i="5"/>
  <c r="J2065" i="5"/>
  <c r="J2066" i="5"/>
  <c r="J2067" i="5"/>
  <c r="J2068" i="5"/>
  <c r="J2069" i="5"/>
  <c r="J2070" i="5"/>
  <c r="J2071" i="5"/>
  <c r="J2072" i="5"/>
  <c r="J2073" i="5"/>
  <c r="J2074" i="5"/>
  <c r="J2075" i="5"/>
  <c r="J2076" i="5"/>
  <c r="J2077" i="5"/>
  <c r="J2078" i="5"/>
  <c r="J2079" i="5"/>
  <c r="J2080" i="5"/>
  <c r="J2081" i="5"/>
  <c r="J2082" i="5"/>
  <c r="J2083" i="5"/>
  <c r="J2084" i="5"/>
  <c r="J2085" i="5"/>
  <c r="J2086" i="5"/>
  <c r="J2087" i="5"/>
  <c r="J2088" i="5"/>
  <c r="J2089" i="5"/>
  <c r="J2090" i="5"/>
  <c r="J2091" i="5"/>
  <c r="J2092" i="5"/>
  <c r="J2093" i="5"/>
  <c r="J2094" i="5"/>
  <c r="J2095" i="5"/>
  <c r="J2096" i="5"/>
  <c r="J2097" i="5"/>
  <c r="J2098" i="5"/>
  <c r="J2099" i="5"/>
  <c r="J2100" i="5"/>
  <c r="J2101" i="5"/>
  <c r="J2102" i="5"/>
  <c r="J2103" i="5"/>
  <c r="J2104" i="5"/>
  <c r="J2105" i="5"/>
  <c r="J2106" i="5"/>
  <c r="J2107" i="5"/>
  <c r="J2108" i="5"/>
  <c r="J2109" i="5"/>
  <c r="J2110" i="5"/>
  <c r="J2111" i="5"/>
  <c r="J2112" i="5"/>
  <c r="J2113" i="5"/>
  <c r="J2114" i="5"/>
  <c r="J2115" i="5"/>
  <c r="J2116" i="5"/>
  <c r="J2117" i="5"/>
  <c r="J2118" i="5"/>
  <c r="J2119" i="5"/>
  <c r="J2120" i="5"/>
  <c r="J2121" i="5"/>
  <c r="J2122" i="5"/>
  <c r="J2123" i="5"/>
  <c r="J2124" i="5"/>
  <c r="J2125" i="5"/>
  <c r="J2126" i="5"/>
  <c r="J2127" i="5"/>
  <c r="J2128" i="5"/>
  <c r="J2129" i="5"/>
  <c r="J2130" i="5"/>
  <c r="J2131" i="5"/>
  <c r="J2132" i="5"/>
  <c r="J2133" i="5"/>
  <c r="J2134" i="5"/>
  <c r="J2135" i="5"/>
  <c r="J2136" i="5"/>
  <c r="J2137" i="5"/>
  <c r="J2138" i="5"/>
  <c r="J2139" i="5"/>
  <c r="J2140" i="5"/>
  <c r="J2141" i="5"/>
  <c r="J2142" i="5"/>
  <c r="J2143" i="5"/>
  <c r="J2144" i="5"/>
  <c r="J2145" i="5"/>
  <c r="J2146" i="5"/>
  <c r="J2147" i="5"/>
  <c r="J2148" i="5"/>
  <c r="J2149" i="5"/>
  <c r="J2150" i="5"/>
  <c r="J2151" i="5"/>
  <c r="J2152" i="5"/>
  <c r="J2153" i="5"/>
  <c r="J2154" i="5"/>
  <c r="J2155" i="5"/>
  <c r="J2156" i="5"/>
  <c r="D2" i="18"/>
  <c r="D4" i="18"/>
  <c r="D5" i="18"/>
  <c r="D6" i="18"/>
  <c r="D7" i="18"/>
  <c r="D8" i="18"/>
  <c r="D9" i="18"/>
  <c r="D10" i="18"/>
  <c r="D11" i="18"/>
  <c r="D12" i="18"/>
  <c r="D13" i="18"/>
  <c r="D14" i="18"/>
  <c r="D15" i="18"/>
  <c r="D16" i="18"/>
  <c r="D17" i="18"/>
  <c r="D18" i="18"/>
  <c r="D19" i="18"/>
  <c r="D20" i="18"/>
  <c r="D21" i="18"/>
  <c r="D22" i="18"/>
  <c r="D23" i="18"/>
  <c r="D24" i="18"/>
  <c r="D25" i="18"/>
  <c r="D26" i="18"/>
  <c r="D27" i="18"/>
  <c r="D28" i="18"/>
  <c r="D29" i="18"/>
  <c r="D30" i="18"/>
  <c r="D31" i="18"/>
  <c r="D32" i="18"/>
  <c r="D33" i="18"/>
  <c r="D34" i="18"/>
  <c r="D35" i="18"/>
  <c r="D36" i="18"/>
  <c r="D37" i="18"/>
  <c r="D38" i="18"/>
  <c r="D39" i="18"/>
  <c r="D40" i="18"/>
  <c r="D41" i="18"/>
  <c r="D42" i="18"/>
  <c r="D43" i="18"/>
  <c r="D44" i="18"/>
  <c r="D45" i="18"/>
  <c r="D46" i="18"/>
  <c r="D47" i="18"/>
  <c r="D48" i="18"/>
  <c r="D49" i="18"/>
  <c r="D50" i="18"/>
  <c r="D51" i="18"/>
  <c r="D52" i="18"/>
  <c r="D53" i="18"/>
  <c r="D54" i="18"/>
  <c r="D55" i="18"/>
  <c r="D56" i="18"/>
  <c r="D57" i="18"/>
  <c r="D58" i="18"/>
  <c r="D59" i="18"/>
  <c r="D60" i="18"/>
  <c r="D61" i="18"/>
  <c r="D62" i="18"/>
  <c r="D63" i="18"/>
  <c r="D64" i="18"/>
  <c r="D65" i="18"/>
  <c r="D66" i="18"/>
  <c r="D67" i="18"/>
  <c r="D68" i="18"/>
  <c r="D69" i="18"/>
  <c r="D70" i="18"/>
  <c r="D71" i="18"/>
  <c r="D72" i="18"/>
  <c r="D73" i="18"/>
  <c r="D74" i="18"/>
  <c r="D75" i="18"/>
  <c r="D76" i="18"/>
  <c r="D77" i="18"/>
  <c r="D78" i="18"/>
  <c r="D79" i="18"/>
  <c r="D80" i="18"/>
  <c r="D81" i="18"/>
  <c r="D82" i="18"/>
  <c r="D83" i="18"/>
  <c r="D84" i="18"/>
  <c r="D85" i="18"/>
  <c r="D86" i="18"/>
  <c r="D87" i="18"/>
  <c r="D88" i="18"/>
  <c r="D89" i="18"/>
  <c r="D90" i="18"/>
  <c r="D3" i="18"/>
  <c r="A2" i="18" a="1"/>
  <c r="A2" i="18" s="1"/>
  <c r="C2" i="18" s="1" a="1"/>
  <c r="C2" i="18" s="1"/>
  <c r="E2" i="14"/>
  <c r="G18" i="27" l="1"/>
  <c r="I18" i="27"/>
  <c r="H18" i="27"/>
  <c r="M15" i="25"/>
  <c r="L15" i="25"/>
  <c r="K15" i="25"/>
  <c r="C61" i="18" a="1"/>
  <c r="C61" i="18" s="1"/>
  <c r="C21" i="18" a="1"/>
  <c r="C21" i="18" s="1"/>
  <c r="C74" i="18" a="1"/>
  <c r="C74" i="18" s="1"/>
  <c r="C50" i="18" a="1"/>
  <c r="C50" i="18" s="1"/>
  <c r="C88" i="18" a="1"/>
  <c r="C88" i="18" s="1"/>
  <c r="C72" i="18" a="1"/>
  <c r="C72" i="18" s="1"/>
  <c r="C64" i="18" a="1"/>
  <c r="C64" i="18" s="1"/>
  <c r="C56" i="18" a="1"/>
  <c r="C56" i="18" s="1"/>
  <c r="C48" i="18" a="1"/>
  <c r="C48" i="18" s="1"/>
  <c r="C40" i="18" a="1"/>
  <c r="C40" i="18" s="1"/>
  <c r="C32" i="18" a="1"/>
  <c r="C32" i="18" s="1"/>
  <c r="C24" i="18" a="1"/>
  <c r="C24" i="18" s="1"/>
  <c r="C16" i="18" a="1"/>
  <c r="C16" i="18" s="1"/>
  <c r="C8" i="18" a="1"/>
  <c r="C8" i="18" s="1"/>
  <c r="C53" i="18" a="1"/>
  <c r="C53" i="18" s="1"/>
  <c r="C90" i="18" a="1"/>
  <c r="C90" i="18" s="1"/>
  <c r="C66" i="18" a="1"/>
  <c r="C66" i="18" s="1"/>
  <c r="C42" i="18" a="1"/>
  <c r="C42" i="18" s="1"/>
  <c r="C80" i="18" a="1"/>
  <c r="C80" i="18" s="1"/>
  <c r="C79" i="18" a="1"/>
  <c r="C79" i="18" s="1"/>
  <c r="C71" i="18" a="1"/>
  <c r="C71" i="18" s="1"/>
  <c r="C63" i="18" a="1"/>
  <c r="C63" i="18" s="1"/>
  <c r="C55" i="18" a="1"/>
  <c r="C55" i="18" s="1"/>
  <c r="C47" i="18" a="1"/>
  <c r="C47" i="18" s="1"/>
  <c r="C39" i="18" a="1"/>
  <c r="C39" i="18" s="1"/>
  <c r="C31" i="18" a="1"/>
  <c r="C31" i="18" s="1"/>
  <c r="C23" i="18" a="1"/>
  <c r="C23" i="18" s="1"/>
  <c r="C15" i="18" a="1"/>
  <c r="C15" i="18" s="1"/>
  <c r="C7" i="18" a="1"/>
  <c r="C7" i="18" s="1"/>
  <c r="C87" i="18" a="1"/>
  <c r="C87" i="18" s="1"/>
  <c r="C86" i="18" a="1"/>
  <c r="C86" i="18" s="1"/>
  <c r="C78" i="18" a="1"/>
  <c r="C78" i="18" s="1"/>
  <c r="C70" i="18" a="1"/>
  <c r="C70" i="18" s="1"/>
  <c r="C62" i="18" a="1"/>
  <c r="C62" i="18" s="1"/>
  <c r="C54" i="18" a="1"/>
  <c r="C54" i="18" s="1"/>
  <c r="C46" i="18" a="1"/>
  <c r="C46" i="18" s="1"/>
  <c r="C38" i="18" a="1"/>
  <c r="C38" i="18" s="1"/>
  <c r="C30" i="18" a="1"/>
  <c r="C30" i="18" s="1"/>
  <c r="C22" i="18" a="1"/>
  <c r="C22" i="18" s="1"/>
  <c r="C14" i="18" a="1"/>
  <c r="C14" i="18" s="1"/>
  <c r="C6" i="18" a="1"/>
  <c r="C6" i="18" s="1"/>
  <c r="C5" i="18" a="1"/>
  <c r="C5" i="18" s="1"/>
  <c r="C69" i="18" a="1"/>
  <c r="C69" i="18" s="1"/>
  <c r="C29" i="18" a="1"/>
  <c r="C29" i="18" s="1"/>
  <c r="C13" i="18" a="1"/>
  <c r="C13" i="18" s="1"/>
  <c r="B2" i="18" a="1"/>
  <c r="C84" i="18" a="1"/>
  <c r="C84" i="18" s="1"/>
  <c r="C76" i="18" a="1"/>
  <c r="C76" i="18" s="1"/>
  <c r="C68" i="18" a="1"/>
  <c r="C68" i="18" s="1"/>
  <c r="C60" i="18" a="1"/>
  <c r="C60" i="18" s="1"/>
  <c r="C52" i="18" a="1"/>
  <c r="C52" i="18" s="1"/>
  <c r="C44" i="18" a="1"/>
  <c r="C44" i="18" s="1"/>
  <c r="C36" i="18" a="1"/>
  <c r="C36" i="18" s="1"/>
  <c r="C28" i="18" a="1"/>
  <c r="C28" i="18" s="1"/>
  <c r="C20" i="18" a="1"/>
  <c r="C20" i="18" s="1"/>
  <c r="C12" i="18" a="1"/>
  <c r="C12" i="18" s="1"/>
  <c r="C4" i="18" a="1"/>
  <c r="C4" i="18" s="1"/>
  <c r="C77" i="18" a="1"/>
  <c r="C77" i="18" s="1"/>
  <c r="C37" i="18" a="1"/>
  <c r="C37" i="18" s="1"/>
  <c r="C83" i="18" a="1"/>
  <c r="C83" i="18" s="1"/>
  <c r="C75" i="18" a="1"/>
  <c r="C75" i="18" s="1"/>
  <c r="C67" i="18" a="1"/>
  <c r="C67" i="18" s="1"/>
  <c r="C59" i="18" a="1"/>
  <c r="C59" i="18" s="1"/>
  <c r="C51" i="18" a="1"/>
  <c r="C51" i="18" s="1"/>
  <c r="C43" i="18" a="1"/>
  <c r="C43" i="18" s="1"/>
  <c r="C35" i="18" a="1"/>
  <c r="C35" i="18" s="1"/>
  <c r="C27" i="18" a="1"/>
  <c r="C27" i="18" s="1"/>
  <c r="C19" i="18" a="1"/>
  <c r="C19" i="18" s="1"/>
  <c r="C11" i="18" a="1"/>
  <c r="C11" i="18" s="1"/>
  <c r="C3" i="18" a="1"/>
  <c r="C3" i="18" s="1"/>
  <c r="C18" i="18" a="1"/>
  <c r="C18" i="18" s="1"/>
  <c r="C10" i="18" a="1"/>
  <c r="C10" i="18" s="1"/>
  <c r="C85" i="18" a="1"/>
  <c r="C85" i="18" s="1"/>
  <c r="C45" i="18" a="1"/>
  <c r="C45" i="18" s="1"/>
  <c r="C82" i="18" a="1"/>
  <c r="C82" i="18" s="1"/>
  <c r="C58" i="18" a="1"/>
  <c r="C58" i="18" s="1"/>
  <c r="C34" i="18" a="1"/>
  <c r="C34" i="18" s="1"/>
  <c r="C26" i="18" a="1"/>
  <c r="C26" i="18" s="1"/>
  <c r="C89" i="18" a="1"/>
  <c r="C89" i="18" s="1"/>
  <c r="C81" i="18" a="1"/>
  <c r="C81" i="18" s="1"/>
  <c r="C73" i="18" a="1"/>
  <c r="C73" i="18" s="1"/>
  <c r="C65" i="18" a="1"/>
  <c r="C65" i="18" s="1"/>
  <c r="C57" i="18" a="1"/>
  <c r="C57" i="18" s="1"/>
  <c r="C49" i="18" a="1"/>
  <c r="C49" i="18" s="1"/>
  <c r="C41" i="18" a="1"/>
  <c r="C41" i="18" s="1"/>
  <c r="C33" i="18" a="1"/>
  <c r="C33" i="18" s="1"/>
  <c r="C25" i="18" a="1"/>
  <c r="C25" i="18" s="1"/>
  <c r="C17" i="18" a="1"/>
  <c r="C17" i="18" s="1"/>
  <c r="C9" i="18" a="1"/>
  <c r="C9" i="18" s="1"/>
  <c r="B2" i="18" l="1"/>
  <c r="G2" i="18"/>
  <c r="F2" i="18" l="1"/>
  <c r="E2" i="18" s="1"/>
  <c r="E59" i="18" l="1"/>
  <c r="E44" i="18"/>
  <c r="E13" i="18"/>
  <c r="E77" i="18"/>
  <c r="E54" i="18"/>
  <c r="E31" i="18"/>
  <c r="E8" i="18"/>
  <c r="E72" i="18"/>
  <c r="E18" i="18"/>
  <c r="E82" i="18"/>
  <c r="E57" i="18"/>
  <c r="E73" i="18"/>
  <c r="E20" i="18"/>
  <c r="E30" i="18"/>
  <c r="E81" i="18"/>
  <c r="E28" i="18"/>
  <c r="E38" i="18"/>
  <c r="E56" i="18"/>
  <c r="E41" i="18"/>
  <c r="E46" i="18"/>
  <c r="E23" i="18"/>
  <c r="E10" i="18"/>
  <c r="E3" i="18"/>
  <c r="E67" i="18"/>
  <c r="E52" i="18"/>
  <c r="E21" i="18"/>
  <c r="E85" i="18"/>
  <c r="E62" i="18"/>
  <c r="E39" i="18"/>
  <c r="E16" i="18"/>
  <c r="E80" i="18"/>
  <c r="E26" i="18"/>
  <c r="E90" i="18"/>
  <c r="E48" i="18"/>
  <c r="E15" i="18"/>
  <c r="E36" i="18"/>
  <c r="E74" i="18"/>
  <c r="E11" i="18"/>
  <c r="E75" i="18"/>
  <c r="E60" i="18"/>
  <c r="E29" i="18"/>
  <c r="E6" i="18"/>
  <c r="E70" i="18"/>
  <c r="E47" i="18"/>
  <c r="E24" i="18"/>
  <c r="E88" i="18"/>
  <c r="E34" i="18"/>
  <c r="E9" i="18"/>
  <c r="E25" i="18"/>
  <c r="E35" i="18"/>
  <c r="E71" i="18"/>
  <c r="E33" i="18"/>
  <c r="E4" i="18"/>
  <c r="E79" i="18"/>
  <c r="E66" i="18"/>
  <c r="E69" i="18"/>
  <c r="E87" i="18"/>
  <c r="E19" i="18"/>
  <c r="E83" i="18"/>
  <c r="E68" i="18"/>
  <c r="E37" i="18"/>
  <c r="E14" i="18"/>
  <c r="E78" i="18"/>
  <c r="E55" i="18"/>
  <c r="E32" i="18"/>
  <c r="E65" i="18"/>
  <c r="E42" i="18"/>
  <c r="E17" i="18"/>
  <c r="E27" i="18"/>
  <c r="E12" i="18"/>
  <c r="E76" i="18"/>
  <c r="E45" i="18"/>
  <c r="E22" i="18"/>
  <c r="E86" i="18"/>
  <c r="E63" i="18"/>
  <c r="E40" i="18"/>
  <c r="E50" i="18"/>
  <c r="E84" i="18"/>
  <c r="E53" i="18"/>
  <c r="E7" i="18"/>
  <c r="E58" i="18"/>
  <c r="E61" i="18"/>
  <c r="E89" i="18"/>
  <c r="E5" i="18"/>
  <c r="E64" i="18"/>
  <c r="E43" i="18"/>
  <c r="E51" i="18"/>
  <c r="E49" i="1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ED8B87-4074-4A33-B7EE-F0D96CF22D3E}" keepAlive="1" name="Query - categories" description="Connection to the 'categories' query in the workbook." type="5" refreshedVersion="7" background="1" saveData="1">
    <dbPr connection="Provider=Microsoft.Mashup.OleDb.1;Data Source=$Workbook$;Location=categories;Extended Properties=&quot;&quot;" command="SELECT * FROM [categories]"/>
  </connection>
  <connection id="2" xr16:uid="{4865D9EA-7B1F-4224-BB48-AB28C209D8BC}" keepAlive="1" name="Query - customers" description="Connection to the 'customers' query in the workbook." type="5" refreshedVersion="7" background="1" saveData="1">
    <dbPr connection="Provider=Microsoft.Mashup.OleDb.1;Data Source=$Workbook$;Location=customers;Extended Properties=&quot;&quot;" command="SELECT * FROM [customers]"/>
  </connection>
  <connection id="3" xr16:uid="{0FA3C3D9-692A-4C60-9FE9-B860FEA2E00D}" keepAlive="1" name="Query - employees" description="Connection to the 'employees' query in the workbook." type="5" refreshedVersion="7" background="1" saveData="1">
    <dbPr connection="Provider=Microsoft.Mashup.OleDb.1;Data Source=$Workbook$;Location=employees;Extended Properties=&quot;&quot;" command="SELECT * FROM [employees]"/>
  </connection>
  <connection id="4" xr16:uid="{1EE7AFF9-72D6-4AF3-9275-B3DCFE1861CE}" keepAlive="1" name="Query - order details" description="Connection to the 'order details' query in the workbook." type="5" refreshedVersion="7" background="1" saveData="1">
    <dbPr connection="Provider=Microsoft.Mashup.OleDb.1;Data Source=$Workbook$;Location=&quot;order details&quot;;Extended Properties=&quot;&quot;" command="SELECT * FROM [order details]"/>
  </connection>
  <connection id="5" xr16:uid="{844C8E0A-EC89-4ECB-BA4C-391E97974720}" keepAlive="1" name="Query - orders" description="Connection to the 'orders' query in the workbook." type="5" refreshedVersion="7" background="1" saveData="1">
    <dbPr connection="Provider=Microsoft.Mashup.OleDb.1;Data Source=$Workbook$;Location=orders;Extended Properties=&quot;&quot;" command="SELECT * FROM [orders]"/>
  </connection>
  <connection id="6" xr16:uid="{00910404-D1FA-4121-99BD-4EDB04F82F84}" keepAlive="1" name="Query - products" description="Connection to the 'products' query in the workbook." type="5" refreshedVersion="7" background="1" saveData="1">
    <dbPr connection="Provider=Microsoft.Mashup.OleDb.1;Data Source=$Workbook$;Location=products;Extended Properties=&quot;&quot;" command="SELECT * FROM [products]"/>
  </connection>
  <connection id="7" xr16:uid="{42072ACC-05B8-49C0-9F98-0B67464EAD70}" keepAlive="1" name="Query - products (2)" description="Connection to the 'products (2)' query in the workbook." type="5" refreshedVersion="7" background="1" saveData="1">
    <dbPr connection="Provider=Microsoft.Mashup.OleDb.1;Data Source=$Workbook$;Location=&quot;products (2)&quot;;Extended Properties=&quot;&quot;" command="SELECT * FROM [products (2)]"/>
  </connection>
  <connection id="8" xr16:uid="{AE69A2FA-6813-46BF-88B5-6C4D3EFA1E80}" keepAlive="1" name="Query - products (3)" description="Connection to the 'products (3)' query in the workbook." type="5" refreshedVersion="7" background="1" saveData="1">
    <dbPr connection="Provider=Microsoft.Mashup.OleDb.1;Data Source=$Workbook$;Location=&quot;products (3)&quot;;Extended Properties=&quot;&quot;" command="SELECT * FROM [products (3)]"/>
  </connection>
  <connection id="9" xr16:uid="{069F7150-2A23-4C5D-893F-BC9B2A0D83EF}" keepAlive="1" name="Query - shippers" description="Connection to the 'shippers' query in the workbook." type="5" refreshedVersion="7" background="1" saveData="1">
    <dbPr connection="Provider=Microsoft.Mashup.OleDb.1;Data Source=$Workbook$;Location=shippers;Extended Properties=&quot;&quot;" command="SELECT * FROM [shippers]"/>
  </connection>
  <connection id="10" xr16:uid="{D883F5F8-49E9-415D-B3D9-C2C157F72E40}" keepAlive="1" name="Query - suppliers" description="Connection to the 'suppliers' query in the workbook." type="5" refreshedVersion="7" background="1" saveData="1">
    <dbPr connection="Provider=Microsoft.Mashup.OleDb.1;Data Source=$Workbook$;Location=suppliers;Extended Properties=&quot;&quot;" command="SELECT * FROM [suppliers]"/>
  </connection>
  <connection id="11" xr16:uid="{52B48F4D-E08B-47BD-ADAB-3987F0D32B99}"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2" xr16:uid="{8235387D-9F4A-4C9F-91E5-826B0279B6C8}" name="WorksheetConnection_Capestone - Sales Analysis.xlsx!order_details" type="102" refreshedVersion="7" minRefreshableVersion="5">
    <extLst>
      <ext xmlns:x15="http://schemas.microsoft.com/office/spreadsheetml/2010/11/main" uri="{DE250136-89BD-433C-8126-D09CA5730AF9}">
        <x15:connection id="order_details">
          <x15:rangePr sourceName="_xlcn.WorksheetConnection_CapestoneSalesAnalysis.xlsxorder_details1"/>
        </x15:connection>
      </ext>
    </extLst>
  </connection>
  <connection id="13" xr16:uid="{F8D0E54D-4E73-4FA6-9BB3-CBA4F43B2289}" name="WorksheetConnection_Capestone - Sales Analysis.xlsx!orders" type="102" refreshedVersion="7" minRefreshableVersion="5">
    <extLst>
      <ext xmlns:x15="http://schemas.microsoft.com/office/spreadsheetml/2010/11/main" uri="{DE250136-89BD-433C-8126-D09CA5730AF9}">
        <x15:connection id="orders" autoDelete="1">
          <x15:rangePr sourceName="_xlcn.WorksheetConnection_CapestoneSalesAnalysis.xlsxorders1"/>
        </x15:connection>
      </ext>
    </extLst>
  </connection>
  <connection id="14" xr16:uid="{93772B12-6969-4645-A1A3-38B5AE401EE2}" name="WorksheetConnection_Capestone - Sales Analysis.xlsx!shippers" type="102" refreshedVersion="7" minRefreshableVersion="5">
    <extLst>
      <ext xmlns:x15="http://schemas.microsoft.com/office/spreadsheetml/2010/11/main" uri="{DE250136-89BD-433C-8126-D09CA5730AF9}">
        <x15:connection id="shippers">
          <x15:rangePr sourceName="_xlcn.WorksheetConnection_CapestoneSalesAnalysis.xlsxshippers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<sst xmlns="http://schemas.openxmlformats.org/spreadsheetml/2006/main" count="7910" uniqueCount="1385">
  <si>
    <t>CategoryID</t>
  </si>
  <si>
    <t>CategoryName</t>
  </si>
  <si>
    <t>Description</t>
  </si>
  <si>
    <t>Beverages</t>
  </si>
  <si>
    <t>Soft drinks, coffees, teas, beers, and ales</t>
  </si>
  <si>
    <t>Condiments</t>
  </si>
  <si>
    <t>Sweet and savory sauces, relishes, spreads, and seasonings</t>
  </si>
  <si>
    <t>Confections</t>
  </si>
  <si>
    <t>Desserts, candies, and sweet breads</t>
  </si>
  <si>
    <t>Dairy Products</t>
  </si>
  <si>
    <t>Cheeses</t>
  </si>
  <si>
    <t>Grains/Cereals</t>
  </si>
  <si>
    <t>Breads, crackers, pasta, and cereal</t>
  </si>
  <si>
    <t>Meat/Poultry</t>
  </si>
  <si>
    <t>Prepared meats</t>
  </si>
  <si>
    <t>Produce</t>
  </si>
  <si>
    <t>Dried fruit and bean curd</t>
  </si>
  <si>
    <t>Seafood</t>
  </si>
  <si>
    <t>Seaweed and fish</t>
  </si>
  <si>
    <t>CustomerID</t>
  </si>
  <si>
    <t>CompanyName</t>
  </si>
  <si>
    <t>ContactName</t>
  </si>
  <si>
    <t>ContactTitle</t>
  </si>
  <si>
    <t>Address</t>
  </si>
  <si>
    <t>City</t>
  </si>
  <si>
    <t>Region</t>
  </si>
  <si>
    <t>PostalCode</t>
  </si>
  <si>
    <t>Country</t>
  </si>
  <si>
    <t>Phone</t>
  </si>
  <si>
    <t>Fax</t>
  </si>
  <si>
    <t>ALFKI</t>
  </si>
  <si>
    <t>Alfreds Futterkiste</t>
  </si>
  <si>
    <t>Maria Anders</t>
  </si>
  <si>
    <t>Sales Representative</t>
  </si>
  <si>
    <t>Obere Str. 57</t>
  </si>
  <si>
    <t>Berlin</t>
  </si>
  <si>
    <t/>
  </si>
  <si>
    <t>12209</t>
  </si>
  <si>
    <t>Germany</t>
  </si>
  <si>
    <t>030-0074321</t>
  </si>
  <si>
    <t>030-0076545</t>
  </si>
  <si>
    <t>ANATR</t>
  </si>
  <si>
    <t>Ana Trujillo Emparedados y helados</t>
  </si>
  <si>
    <t>Ana Trujillo</t>
  </si>
  <si>
    <t>Owner</t>
  </si>
  <si>
    <t>Avda. de la ConstituciÃ³n 2222</t>
  </si>
  <si>
    <t>MÃ©xico D.F.</t>
  </si>
  <si>
    <t>05021</t>
  </si>
  <si>
    <t>Mexico</t>
  </si>
  <si>
    <t>(5) 555-4729</t>
  </si>
  <si>
    <t>(5) 555-3745</t>
  </si>
  <si>
    <t>ANTON</t>
  </si>
  <si>
    <t>Antonio Moreno TaquerÃ­a</t>
  </si>
  <si>
    <t>Antonio Moreno</t>
  </si>
  <si>
    <t>Mataderos  2312</t>
  </si>
  <si>
    <t>05023</t>
  </si>
  <si>
    <t>(5) 555-3932</t>
  </si>
  <si>
    <t>AROUT</t>
  </si>
  <si>
    <t>Around the Horn</t>
  </si>
  <si>
    <t>Thomas Hardy</t>
  </si>
  <si>
    <t>120 Hanover Sq.</t>
  </si>
  <si>
    <t>London</t>
  </si>
  <si>
    <t>WA1 1DP</t>
  </si>
  <si>
    <t>UK</t>
  </si>
  <si>
    <t>(171) 555-7788</t>
  </si>
  <si>
    <t>(171) 555-6750</t>
  </si>
  <si>
    <t>BERGS</t>
  </si>
  <si>
    <t>Berglunds snabbkÃ¶p</t>
  </si>
  <si>
    <t>Christina Berglund</t>
  </si>
  <si>
    <t>Order Administrator</t>
  </si>
  <si>
    <t>BerguvsvÃ¤gen  8</t>
  </si>
  <si>
    <t>LuleÃ¥</t>
  </si>
  <si>
    <t>S-958 22</t>
  </si>
  <si>
    <t>Sweden</t>
  </si>
  <si>
    <t>0921-12 34 65</t>
  </si>
  <si>
    <t>0921-12 34 67</t>
  </si>
  <si>
    <t>BLAUS</t>
  </si>
  <si>
    <t>Blauer See Delikatessen</t>
  </si>
  <si>
    <t>Hanna Moos</t>
  </si>
  <si>
    <t>Forsterstr. 57</t>
  </si>
  <si>
    <t>Mannheim</t>
  </si>
  <si>
    <t>68306</t>
  </si>
  <si>
    <t>0621-08460</t>
  </si>
  <si>
    <t>0621-08924</t>
  </si>
  <si>
    <t>BLONP</t>
  </si>
  <si>
    <t>Blondel pÃ¨re et fils</t>
  </si>
  <si>
    <t>FrÃ©dÃ©rique Citeaux</t>
  </si>
  <si>
    <t>Marketing Manager</t>
  </si>
  <si>
    <t>24, place KlÃ©ber</t>
  </si>
  <si>
    <t>Strasbourg</t>
  </si>
  <si>
    <t>67000</t>
  </si>
  <si>
    <t>France</t>
  </si>
  <si>
    <t>88.60.15.31</t>
  </si>
  <si>
    <t>88.60.15.32</t>
  </si>
  <si>
    <t>BOLID</t>
  </si>
  <si>
    <t>BÃ³lido Comidas preparadas</t>
  </si>
  <si>
    <t>MartÃ­n Sommer</t>
  </si>
  <si>
    <t>C/ Araquil, 67</t>
  </si>
  <si>
    <t>Madrid</t>
  </si>
  <si>
    <t>28023</t>
  </si>
  <si>
    <t>Spain</t>
  </si>
  <si>
    <t>(91) 555 22 82</t>
  </si>
  <si>
    <t>(91) 555 91 99</t>
  </si>
  <si>
    <t>BONAP</t>
  </si>
  <si>
    <t>Bon app'</t>
  </si>
  <si>
    <t>Laurence Lebihan</t>
  </si>
  <si>
    <t>12, rue des Bouchers</t>
  </si>
  <si>
    <t>Marseille</t>
  </si>
  <si>
    <t>13008</t>
  </si>
  <si>
    <t>91.24.45.40</t>
  </si>
  <si>
    <t>91.24.45.41</t>
  </si>
  <si>
    <t>BOTTM</t>
  </si>
  <si>
    <t>Bottom-Dollar Markets</t>
  </si>
  <si>
    <t>Elizabeth Lincoln</t>
  </si>
  <si>
    <t>Accounting Manager</t>
  </si>
  <si>
    <t>23 Tsawassen Blvd.</t>
  </si>
  <si>
    <t>Tsawassen</t>
  </si>
  <si>
    <t>BC</t>
  </si>
  <si>
    <t>T2F 8M4</t>
  </si>
  <si>
    <t>Canada</t>
  </si>
  <si>
    <t>(604) 555-4729</t>
  </si>
  <si>
    <t>(604) 555-3745</t>
  </si>
  <si>
    <t>BSBEV</t>
  </si>
  <si>
    <t>B's Beverages</t>
  </si>
  <si>
    <t>Victoria Ashworth</t>
  </si>
  <si>
    <t>Fauntleroy Circus</t>
  </si>
  <si>
    <t>EC2 5NT</t>
  </si>
  <si>
    <t>(171) 555-1212</t>
  </si>
  <si>
    <t>CACTU</t>
  </si>
  <si>
    <t>Cactus Comidas para llevar</t>
  </si>
  <si>
    <t>Patricio Simpson</t>
  </si>
  <si>
    <t>Sales Agent</t>
  </si>
  <si>
    <t>Cerrito 333</t>
  </si>
  <si>
    <t>Buenos Aires</t>
  </si>
  <si>
    <t>1010</t>
  </si>
  <si>
    <t>Argentina</t>
  </si>
  <si>
    <t>(1) 135-5555</t>
  </si>
  <si>
    <t>(1) 135-4892</t>
  </si>
  <si>
    <t>CENTC</t>
  </si>
  <si>
    <t>Centro comercial Moctezuma</t>
  </si>
  <si>
    <t>Francisco Chang</t>
  </si>
  <si>
    <t>Sierras de Granada 9993</t>
  </si>
  <si>
    <t>05022</t>
  </si>
  <si>
    <t>(5) 555-3392</t>
  </si>
  <si>
    <t>(5) 555-7293</t>
  </si>
  <si>
    <t>CHOPS</t>
  </si>
  <si>
    <t>Chop-suey Chinese</t>
  </si>
  <si>
    <t>Yang Wang</t>
  </si>
  <si>
    <t>Hauptstr. 29</t>
  </si>
  <si>
    <t>Bern</t>
  </si>
  <si>
    <t>3012</t>
  </si>
  <si>
    <t>Switzerland</t>
  </si>
  <si>
    <t>0452-076545</t>
  </si>
  <si>
    <t>COMMI</t>
  </si>
  <si>
    <t>ComÃ©rcio Mineiro</t>
  </si>
  <si>
    <t>Pedro Afonso</t>
  </si>
  <si>
    <t>Sales Associate</t>
  </si>
  <si>
    <t>Av. dos LusÃ­adas, 23</t>
  </si>
  <si>
    <t>SÃ£o Paulo</t>
  </si>
  <si>
    <t>SP</t>
  </si>
  <si>
    <t>05432-043</t>
  </si>
  <si>
    <t>Brazil</t>
  </si>
  <si>
    <t>(11) 555-7647</t>
  </si>
  <si>
    <t>CONSH</t>
  </si>
  <si>
    <t>Consolidated Holdings</t>
  </si>
  <si>
    <t>Elizabeth Brown</t>
  </si>
  <si>
    <t>WX1 6LT</t>
  </si>
  <si>
    <t>(171) 555-2282</t>
  </si>
  <si>
    <t>(171) 555-9199</t>
  </si>
  <si>
    <t>DRACD</t>
  </si>
  <si>
    <t>Drachenblut Delikatessen</t>
  </si>
  <si>
    <t>Sven Ottlieb</t>
  </si>
  <si>
    <t>Walserweg 21</t>
  </si>
  <si>
    <t>Aachen</t>
  </si>
  <si>
    <t>52066</t>
  </si>
  <si>
    <t>0241-039123</t>
  </si>
  <si>
    <t>0241-059428</t>
  </si>
  <si>
    <t>DUMON</t>
  </si>
  <si>
    <t>Du monde entier</t>
  </si>
  <si>
    <t>Janine Labrune</t>
  </si>
  <si>
    <t>67, rue des Cinquante Otages</t>
  </si>
  <si>
    <t>Nantes</t>
  </si>
  <si>
    <t>44000</t>
  </si>
  <si>
    <t>40.67.88.88</t>
  </si>
  <si>
    <t>40.67.89.89</t>
  </si>
  <si>
    <t>EASTC</t>
  </si>
  <si>
    <t>Eastern Connection</t>
  </si>
  <si>
    <t>Ann Devon</t>
  </si>
  <si>
    <t>35 King George</t>
  </si>
  <si>
    <t>WX3 6FW</t>
  </si>
  <si>
    <t>(171) 555-0297</t>
  </si>
  <si>
    <t>(171) 555-3373</t>
  </si>
  <si>
    <t>ERNSH</t>
  </si>
  <si>
    <t>Ernst Handel</t>
  </si>
  <si>
    <t>Roland Mendel</t>
  </si>
  <si>
    <t>Sales Manager</t>
  </si>
  <si>
    <t>Kirchgasse 6</t>
  </si>
  <si>
    <t>Graz</t>
  </si>
  <si>
    <t>8010</t>
  </si>
  <si>
    <t>Austria</t>
  </si>
  <si>
    <t>7675-3425</t>
  </si>
  <si>
    <t>7675-3426</t>
  </si>
  <si>
    <t>FAMIA</t>
  </si>
  <si>
    <t>Familia Arquibaldo</t>
  </si>
  <si>
    <t>Aria Cruz</t>
  </si>
  <si>
    <t>Marketing Assistant</t>
  </si>
  <si>
    <t>Rua OrÃ³s, 92</t>
  </si>
  <si>
    <t>05442-030</t>
  </si>
  <si>
    <t>(11) 555-9857</t>
  </si>
  <si>
    <t>FISSA</t>
  </si>
  <si>
    <t>FISSA Fabrica Inter. Salchichas S.A.</t>
  </si>
  <si>
    <t>Diego Roel</t>
  </si>
  <si>
    <t>C/ Moralzarzal, 86</t>
  </si>
  <si>
    <t>28034</t>
  </si>
  <si>
    <t>(91) 555 94 44</t>
  </si>
  <si>
    <t>(91) 555 55 93</t>
  </si>
  <si>
    <t>FOLIG</t>
  </si>
  <si>
    <t>Folies gourmandes</t>
  </si>
  <si>
    <t>Martine RancÃ©</t>
  </si>
  <si>
    <t>Assistant Sales Agent</t>
  </si>
  <si>
    <t>184, chaussÃ©e de Tournai</t>
  </si>
  <si>
    <t>Lille</t>
  </si>
  <si>
    <t>59000</t>
  </si>
  <si>
    <t>20.16.10.16</t>
  </si>
  <si>
    <t>20.16.10.17</t>
  </si>
  <si>
    <t>FOLKO</t>
  </si>
  <si>
    <t>Folk och fÃ¤ HB</t>
  </si>
  <si>
    <t>Maria Larsson</t>
  </si>
  <si>
    <t>Ã…kergatan 24</t>
  </si>
  <si>
    <t>BrÃ¤cke</t>
  </si>
  <si>
    <t>S-844 67</t>
  </si>
  <si>
    <t>0695-34 67 21</t>
  </si>
  <si>
    <t>FRANK</t>
  </si>
  <si>
    <t>Frankenversand</t>
  </si>
  <si>
    <t>Peter Franken</t>
  </si>
  <si>
    <t>Berliner Platz 43</t>
  </si>
  <si>
    <t>MÃ¼nchen</t>
  </si>
  <si>
    <t>80805</t>
  </si>
  <si>
    <t>089-0877310</t>
  </si>
  <si>
    <t>089-0877451</t>
  </si>
  <si>
    <t>FRANR</t>
  </si>
  <si>
    <t>France restauration</t>
  </si>
  <si>
    <t>Carine Schmitt</t>
  </si>
  <si>
    <t>54, rue Royale</t>
  </si>
  <si>
    <t>40.32.21.21</t>
  </si>
  <si>
    <t>40.32.21.20</t>
  </si>
  <si>
    <t>FRANS</t>
  </si>
  <si>
    <t>Franchi S.p.A.</t>
  </si>
  <si>
    <t>Paolo Accorti</t>
  </si>
  <si>
    <t>Via Monte Bianco 34</t>
  </si>
  <si>
    <t>Torino</t>
  </si>
  <si>
    <t>10100</t>
  </si>
  <si>
    <t>Italy</t>
  </si>
  <si>
    <t>011-4988260</t>
  </si>
  <si>
    <t>011-4988261</t>
  </si>
  <si>
    <t>FURIB</t>
  </si>
  <si>
    <t>Furia Bacalhau e Frutos do Mar</t>
  </si>
  <si>
    <t>Jardim das rosas n. 32</t>
  </si>
  <si>
    <t>Lisboa</t>
  </si>
  <si>
    <t>1675</t>
  </si>
  <si>
    <t>Portugal</t>
  </si>
  <si>
    <t>(1) 354-2534</t>
  </si>
  <si>
    <t>(1) 354-2535</t>
  </si>
  <si>
    <t>GALED</t>
  </si>
  <si>
    <t>GalerÃ­a del gastrÃ³nomo</t>
  </si>
  <si>
    <t>Eduardo Saavedra</t>
  </si>
  <si>
    <t>Rambla de CataluÃ±a, 23</t>
  </si>
  <si>
    <t>Barcelona</t>
  </si>
  <si>
    <t>08022</t>
  </si>
  <si>
    <t>(93) 203 4560</t>
  </si>
  <si>
    <t>(93) 203 4561</t>
  </si>
  <si>
    <t>GODOS</t>
  </si>
  <si>
    <t>Godos Cocina TÃ­pica</t>
  </si>
  <si>
    <t>JosÃ© Pedro Freyre</t>
  </si>
  <si>
    <t>C/ Romero, 33</t>
  </si>
  <si>
    <t>Sevilla</t>
  </si>
  <si>
    <t>41101</t>
  </si>
  <si>
    <t>(95) 555 82 82</t>
  </si>
  <si>
    <t>GOURL</t>
  </si>
  <si>
    <t>Gourmet Lanchonetes</t>
  </si>
  <si>
    <t>AndrÃ© Fonseca</t>
  </si>
  <si>
    <t>Av. Brasil, 442</t>
  </si>
  <si>
    <t>Campinas</t>
  </si>
  <si>
    <t>04876-786</t>
  </si>
  <si>
    <t>(11) 555-9482</t>
  </si>
  <si>
    <t>GREAL</t>
  </si>
  <si>
    <t>Great Lakes Food Market</t>
  </si>
  <si>
    <t>Howard Snyder</t>
  </si>
  <si>
    <t>2732 Baker Blvd.</t>
  </si>
  <si>
    <t>Eugene</t>
  </si>
  <si>
    <t>OR</t>
  </si>
  <si>
    <t>97403</t>
  </si>
  <si>
    <t>USA</t>
  </si>
  <si>
    <t>(503) 555-7555</t>
  </si>
  <si>
    <t>GROSR</t>
  </si>
  <si>
    <t>GROSELLA-Restaurante</t>
  </si>
  <si>
    <t>Manuel Pereira</t>
  </si>
  <si>
    <t>5Âª Ave. Los Palos Grandes</t>
  </si>
  <si>
    <t>Caracas</t>
  </si>
  <si>
    <t>DF</t>
  </si>
  <si>
    <t>1081</t>
  </si>
  <si>
    <t>Venezuela</t>
  </si>
  <si>
    <t>(2) 283-2951</t>
  </si>
  <si>
    <t>(2) 283-3397</t>
  </si>
  <si>
    <t>HANAR</t>
  </si>
  <si>
    <t>Hanari Carnes</t>
  </si>
  <si>
    <t>Mario Pontes</t>
  </si>
  <si>
    <t>Rua do PaÃ§o, 67</t>
  </si>
  <si>
    <t>Rio de Janeiro</t>
  </si>
  <si>
    <t>RJ</t>
  </si>
  <si>
    <t>05454-876</t>
  </si>
  <si>
    <t>(21) 555-0091</t>
  </si>
  <si>
    <t>(21) 555-8765</t>
  </si>
  <si>
    <t>HILAA</t>
  </si>
  <si>
    <t>HILARIÃ“N-Abastos</t>
  </si>
  <si>
    <t>Carlos HernÃ¡ndez</t>
  </si>
  <si>
    <t>Carrera 22 con Ave. Carlos Soublette #8-35</t>
  </si>
  <si>
    <t>San CristÃ³bal</t>
  </si>
  <si>
    <t>TÃ¡chira</t>
  </si>
  <si>
    <t>5022</t>
  </si>
  <si>
    <t>(5) 555-1340</t>
  </si>
  <si>
    <t>(5) 555-1948</t>
  </si>
  <si>
    <t>HUNGC</t>
  </si>
  <si>
    <t>Hungry Coyote Import Store</t>
  </si>
  <si>
    <t>Yoshi Latimer</t>
  </si>
  <si>
    <t>Elgin</t>
  </si>
  <si>
    <t>97827</t>
  </si>
  <si>
    <t>(503) 555-6874</t>
  </si>
  <si>
    <t>(503) 555-2376</t>
  </si>
  <si>
    <t>HUNGO</t>
  </si>
  <si>
    <t>Hungry Owl All-Night Grocers</t>
  </si>
  <si>
    <t>Patricia McKenna</t>
  </si>
  <si>
    <t>8 Johnstown Road</t>
  </si>
  <si>
    <t>Cork</t>
  </si>
  <si>
    <t>Co. Cork</t>
  </si>
  <si>
    <t>Ireland</t>
  </si>
  <si>
    <t>2967 542</t>
  </si>
  <si>
    <t>2967 3333</t>
  </si>
  <si>
    <t>ISLAT</t>
  </si>
  <si>
    <t>Island Trading</t>
  </si>
  <si>
    <t>Helen Bennett</t>
  </si>
  <si>
    <t>Cowes</t>
  </si>
  <si>
    <t>Isle of Wight</t>
  </si>
  <si>
    <t>PO31 7PJ</t>
  </si>
  <si>
    <t>(198) 555-8888</t>
  </si>
  <si>
    <t>KOENE</t>
  </si>
  <si>
    <t>KÃ¶niglich Essen</t>
  </si>
  <si>
    <t>Philip Cramer</t>
  </si>
  <si>
    <t>Maubelstr. 90</t>
  </si>
  <si>
    <t>Brandenburg</t>
  </si>
  <si>
    <t>14776</t>
  </si>
  <si>
    <t>0555-09876</t>
  </si>
  <si>
    <t>LACOR</t>
  </si>
  <si>
    <t>La corne d'abondance</t>
  </si>
  <si>
    <t>Daniel Tonini</t>
  </si>
  <si>
    <t>67, avenue de l'Europe</t>
  </si>
  <si>
    <t>Versailles</t>
  </si>
  <si>
    <t>78000</t>
  </si>
  <si>
    <t>30.59.84.10</t>
  </si>
  <si>
    <t>30.59.85.11</t>
  </si>
  <si>
    <t>LAMAI</t>
  </si>
  <si>
    <t>La maison d'Asie</t>
  </si>
  <si>
    <t>Annette Roulet</t>
  </si>
  <si>
    <t>1 rue Alsace-Lorraine</t>
  </si>
  <si>
    <t>Toulouse</t>
  </si>
  <si>
    <t>31000</t>
  </si>
  <si>
    <t>61.77.61.10</t>
  </si>
  <si>
    <t>61.77.61.11</t>
  </si>
  <si>
    <t>LAUGB</t>
  </si>
  <si>
    <t>Laughing Bacchus Wine Cellars</t>
  </si>
  <si>
    <t>Yoshi Tannamuri</t>
  </si>
  <si>
    <t>1900 Oak St.</t>
  </si>
  <si>
    <t>Vancouver</t>
  </si>
  <si>
    <t>V3F 2K1</t>
  </si>
  <si>
    <t>(604) 555-3392</t>
  </si>
  <si>
    <t>(604) 555-7293</t>
  </si>
  <si>
    <t>LAZYK</t>
  </si>
  <si>
    <t>Lazy K Kountry Store</t>
  </si>
  <si>
    <t>John Steel</t>
  </si>
  <si>
    <t>12 Orchestra Terrace</t>
  </si>
  <si>
    <t>Walla Walla</t>
  </si>
  <si>
    <t>WA</t>
  </si>
  <si>
    <t>99362</t>
  </si>
  <si>
    <t>(509) 555-7969</t>
  </si>
  <si>
    <t>(509) 555-6221</t>
  </si>
  <si>
    <t>LEHMS</t>
  </si>
  <si>
    <t>Lehmanns Marktstand</t>
  </si>
  <si>
    <t>Renate Messner</t>
  </si>
  <si>
    <t>Magazinweg 7</t>
  </si>
  <si>
    <t>60528</t>
  </si>
  <si>
    <t>069-0245984</t>
  </si>
  <si>
    <t>069-0245874</t>
  </si>
  <si>
    <t>LETSS</t>
  </si>
  <si>
    <t>Let's Stop N Shop</t>
  </si>
  <si>
    <t>Jaime Yorres</t>
  </si>
  <si>
    <t>San Francisco</t>
  </si>
  <si>
    <t>CA</t>
  </si>
  <si>
    <t>94117</t>
  </si>
  <si>
    <t>(415) 555-5938</t>
  </si>
  <si>
    <t>LILAS</t>
  </si>
  <si>
    <t>LILA-Supermercado</t>
  </si>
  <si>
    <t>Carlos GonzÃ¡lez</t>
  </si>
  <si>
    <t>Carrera 52 con Ave. BolÃ­var #65-98 Llano Largo</t>
  </si>
  <si>
    <t>Barquisimeto</t>
  </si>
  <si>
    <t>Lara</t>
  </si>
  <si>
    <t>3508</t>
  </si>
  <si>
    <t>(9) 331-6954</t>
  </si>
  <si>
    <t>(9) 331-7256</t>
  </si>
  <si>
    <t>LINOD</t>
  </si>
  <si>
    <t>LINO-Delicateses</t>
  </si>
  <si>
    <t>Felipe Izquierdo</t>
  </si>
  <si>
    <t>Ave. 5 de Mayo Porlamar</t>
  </si>
  <si>
    <t>I. de Margarita</t>
  </si>
  <si>
    <t>Nueva Esparta</t>
  </si>
  <si>
    <t>4980</t>
  </si>
  <si>
    <t>(8) 34-56-12</t>
  </si>
  <si>
    <t>(8) 34-93-93</t>
  </si>
  <si>
    <t>LONEP</t>
  </si>
  <si>
    <t>Lonesome Pine Restaurant</t>
  </si>
  <si>
    <t>Fran Wilson</t>
  </si>
  <si>
    <t>89 Chiaroscuro Rd.</t>
  </si>
  <si>
    <t>Portland</t>
  </si>
  <si>
    <t>97219</t>
  </si>
  <si>
    <t>(503) 555-9573</t>
  </si>
  <si>
    <t>(503) 555-9646</t>
  </si>
  <si>
    <t>MAGAA</t>
  </si>
  <si>
    <t>Magazzini Alimentari Riuniti</t>
  </si>
  <si>
    <t>Giovanni Rovelli</t>
  </si>
  <si>
    <t>Via Ludovico il Moro 22</t>
  </si>
  <si>
    <t>Bergamo</t>
  </si>
  <si>
    <t>24100</t>
  </si>
  <si>
    <t>035-640230</t>
  </si>
  <si>
    <t>035-640231</t>
  </si>
  <si>
    <t>MAISD</t>
  </si>
  <si>
    <t>Maison Dewey</t>
  </si>
  <si>
    <t>Catherine Dewey</t>
  </si>
  <si>
    <t>Rue Joseph-Bens 532</t>
  </si>
  <si>
    <t>Bruxelles</t>
  </si>
  <si>
    <t>B-1180</t>
  </si>
  <si>
    <t>Belgium</t>
  </si>
  <si>
    <t>(02) 201 24 67</t>
  </si>
  <si>
    <t>(02) 201 24 68</t>
  </si>
  <si>
    <t>MEREP</t>
  </si>
  <si>
    <t>MÃ¨re Paillarde</t>
  </si>
  <si>
    <t>Jean FresniÃ¨re</t>
  </si>
  <si>
    <t>43 rue St. Laurent</t>
  </si>
  <si>
    <t>MontrÃ©al</t>
  </si>
  <si>
    <t>QuÃ©bec</t>
  </si>
  <si>
    <t>H1J 1C3</t>
  </si>
  <si>
    <t>(514) 555-8054</t>
  </si>
  <si>
    <t>(514) 555-8055</t>
  </si>
  <si>
    <t>MORGK</t>
  </si>
  <si>
    <t>Morgenstern Gesundkost</t>
  </si>
  <si>
    <t>Alexander Feuer</t>
  </si>
  <si>
    <t>Heerstr. 22</t>
  </si>
  <si>
    <t>Leipzig</t>
  </si>
  <si>
    <t>04179</t>
  </si>
  <si>
    <t>0342-023176</t>
  </si>
  <si>
    <t>NORTS</t>
  </si>
  <si>
    <t>North/South</t>
  </si>
  <si>
    <t>Simon Crowther</t>
  </si>
  <si>
    <t>SW7 1RZ</t>
  </si>
  <si>
    <t>(171) 555-7733</t>
  </si>
  <si>
    <t>(171) 555-2530</t>
  </si>
  <si>
    <t>OCEAN</t>
  </si>
  <si>
    <t>OcÃ©ano AtlÃ¡ntico Ltda.</t>
  </si>
  <si>
    <t>Yvonne Moncada</t>
  </si>
  <si>
    <t>(1) 135-5333</t>
  </si>
  <si>
    <t>(1) 135-5535</t>
  </si>
  <si>
    <t>OLDWO</t>
  </si>
  <si>
    <t>Old World Delicatessen</t>
  </si>
  <si>
    <t>Rene Phillips</t>
  </si>
  <si>
    <t>2743 Bering St.</t>
  </si>
  <si>
    <t>Anchorage</t>
  </si>
  <si>
    <t>AK</t>
  </si>
  <si>
    <t>99508</t>
  </si>
  <si>
    <t>(907) 555-7584</t>
  </si>
  <si>
    <t>(907) 555-2880</t>
  </si>
  <si>
    <t>OTTIK</t>
  </si>
  <si>
    <t>Ottilies KÃ¤seladen</t>
  </si>
  <si>
    <t>Henriette Pfalzheim</t>
  </si>
  <si>
    <t>Mehrheimerstr. 369</t>
  </si>
  <si>
    <t>KÃ¶ln</t>
  </si>
  <si>
    <t>50739</t>
  </si>
  <si>
    <t>0221-0644327</t>
  </si>
  <si>
    <t>0221-0765721</t>
  </si>
  <si>
    <t>PARIS</t>
  </si>
  <si>
    <t>Paris spÃ©cialitÃ©s</t>
  </si>
  <si>
    <t>Marie Bertrand</t>
  </si>
  <si>
    <t>265, boulevard Charonne</t>
  </si>
  <si>
    <t>Paris</t>
  </si>
  <si>
    <t>75012</t>
  </si>
  <si>
    <t>(1) 42.34.22.66</t>
  </si>
  <si>
    <t>(1) 42.34.22.77</t>
  </si>
  <si>
    <t>PERIC</t>
  </si>
  <si>
    <t>Pericles Comidas clÃ¡sicas</t>
  </si>
  <si>
    <t>Guillermo FernÃ¡ndez</t>
  </si>
  <si>
    <t>Calle Dr. Jorge Cash 321</t>
  </si>
  <si>
    <t>05033</t>
  </si>
  <si>
    <t>(5) 552-3745</t>
  </si>
  <si>
    <t>(5) 545-3745</t>
  </si>
  <si>
    <t>PICCO</t>
  </si>
  <si>
    <t>Piccolo und mehr</t>
  </si>
  <si>
    <t>Georg Pipps</t>
  </si>
  <si>
    <t>Geislweg 14</t>
  </si>
  <si>
    <t>Salzburg</t>
  </si>
  <si>
    <t>5020</t>
  </si>
  <si>
    <t>6562-9722</t>
  </si>
  <si>
    <t>6562-9723</t>
  </si>
  <si>
    <t>PRINI</t>
  </si>
  <si>
    <t>Princesa Isabel Vinhos</t>
  </si>
  <si>
    <t>Isabel de Castro</t>
  </si>
  <si>
    <t>Estrada da saÃºde n. 58</t>
  </si>
  <si>
    <t>1756</t>
  </si>
  <si>
    <t>(1) 356-5634</t>
  </si>
  <si>
    <t>QUEDE</t>
  </si>
  <si>
    <t>Que DelÃ­cia</t>
  </si>
  <si>
    <t>Bernardo Batista</t>
  </si>
  <si>
    <t>Rua da Panificadora, 12</t>
  </si>
  <si>
    <t>02389-673</t>
  </si>
  <si>
    <t>(21) 555-4252</t>
  </si>
  <si>
    <t>(21) 555-4545</t>
  </si>
  <si>
    <t>QUEEN</t>
  </si>
  <si>
    <t>Queen Cozinha</t>
  </si>
  <si>
    <t>LÃºcia Carvalho</t>
  </si>
  <si>
    <t>Alameda dos CanÃ rios, 891</t>
  </si>
  <si>
    <t>05487-020</t>
  </si>
  <si>
    <t>(11) 555-1189</t>
  </si>
  <si>
    <t>QUICK</t>
  </si>
  <si>
    <t>QUICK-Stop</t>
  </si>
  <si>
    <t>Horst Kloss</t>
  </si>
  <si>
    <t>TaucherstraÃŸe 10</t>
  </si>
  <si>
    <t>Cunewalde</t>
  </si>
  <si>
    <t>01307</t>
  </si>
  <si>
    <t>0372-035188</t>
  </si>
  <si>
    <t>RANCH</t>
  </si>
  <si>
    <t>Rancho grande</t>
  </si>
  <si>
    <t>Sergio GutiÃ©rrez</t>
  </si>
  <si>
    <t>Av. del Libertador 900</t>
  </si>
  <si>
    <t>(1) 123-5555</t>
  </si>
  <si>
    <t>(1) 123-5556</t>
  </si>
  <si>
    <t>RATTC</t>
  </si>
  <si>
    <t>Rattlesnake Canyon Grocery</t>
  </si>
  <si>
    <t>Paula Wilson</t>
  </si>
  <si>
    <t>Assistant Sales Representative</t>
  </si>
  <si>
    <t>2817 Milton Dr.</t>
  </si>
  <si>
    <t>Albuquerque</t>
  </si>
  <si>
    <t>NM</t>
  </si>
  <si>
    <t>87110</t>
  </si>
  <si>
    <t>(505) 555-5939</t>
  </si>
  <si>
    <t>(505) 555-3620</t>
  </si>
  <si>
    <t>REGGC</t>
  </si>
  <si>
    <t>Reggiani Caseifici</t>
  </si>
  <si>
    <t>Maurizio Moroni</t>
  </si>
  <si>
    <t>Strada Provinciale 124</t>
  </si>
  <si>
    <t>Reggio Emilia</t>
  </si>
  <si>
    <t>42100</t>
  </si>
  <si>
    <t>0522-556721</t>
  </si>
  <si>
    <t>0522-556722</t>
  </si>
  <si>
    <t>RICAR</t>
  </si>
  <si>
    <t>Ricardo Adocicados</t>
  </si>
  <si>
    <t>Janete Limeira</t>
  </si>
  <si>
    <t>Av. Copacabana, 267</t>
  </si>
  <si>
    <t>02389-890</t>
  </si>
  <si>
    <t>(21) 555-3412</t>
  </si>
  <si>
    <t>RICSU</t>
  </si>
  <si>
    <t>Richter Supermarkt</t>
  </si>
  <si>
    <t>Michael Holz</t>
  </si>
  <si>
    <t>Grenzacherweg 237</t>
  </si>
  <si>
    <t>GenÃ¨ve</t>
  </si>
  <si>
    <t>1203</t>
  </si>
  <si>
    <t>0897-034214</t>
  </si>
  <si>
    <t>ROMEY</t>
  </si>
  <si>
    <t>Romero y tomillo</t>
  </si>
  <si>
    <t>Alejandra Camino</t>
  </si>
  <si>
    <t>Gran VÃ­a, 1</t>
  </si>
  <si>
    <t>28001</t>
  </si>
  <si>
    <t>(91) 745 6200</t>
  </si>
  <si>
    <t>(91) 745 6210</t>
  </si>
  <si>
    <t>SANTG</t>
  </si>
  <si>
    <t>SantÃ© Gourmet</t>
  </si>
  <si>
    <t>Jonas Bergulfsen</t>
  </si>
  <si>
    <t>Erling Skakkes gate 78</t>
  </si>
  <si>
    <t>Stavern</t>
  </si>
  <si>
    <t>4110</t>
  </si>
  <si>
    <t>Norway</t>
  </si>
  <si>
    <t>07-98 92 35</t>
  </si>
  <si>
    <t>07-98 92 47</t>
  </si>
  <si>
    <t>SAVEA</t>
  </si>
  <si>
    <t>Save-a-lot Markets</t>
  </si>
  <si>
    <t>Jose Pavarotti</t>
  </si>
  <si>
    <t>187 Suffolk Ln.</t>
  </si>
  <si>
    <t>Boise</t>
  </si>
  <si>
    <t>ID</t>
  </si>
  <si>
    <t>83720</t>
  </si>
  <si>
    <t>(208) 555-8097</t>
  </si>
  <si>
    <t>SEVES</t>
  </si>
  <si>
    <t>Seven Seas Imports</t>
  </si>
  <si>
    <t>Hari Kumar</t>
  </si>
  <si>
    <t>90 Wadhurst Rd.</t>
  </si>
  <si>
    <t>OX15 4NB</t>
  </si>
  <si>
    <t>(171) 555-1717</t>
  </si>
  <si>
    <t>(171) 555-5646</t>
  </si>
  <si>
    <t>SIMOB</t>
  </si>
  <si>
    <t>Simons bistro</t>
  </si>
  <si>
    <t>Jytte Petersen</t>
  </si>
  <si>
    <t>VinbÃ¦ltet 34</t>
  </si>
  <si>
    <t>KÃ¸benhavn</t>
  </si>
  <si>
    <t>1734</t>
  </si>
  <si>
    <t>Denmark</t>
  </si>
  <si>
    <t>31 12 34 56</t>
  </si>
  <si>
    <t>31 13 35 57</t>
  </si>
  <si>
    <t>SPECD</t>
  </si>
  <si>
    <t>SpÃ©cialitÃ©s du monde</t>
  </si>
  <si>
    <t>Dominique Perrier</t>
  </si>
  <si>
    <t>25, rue Lauriston</t>
  </si>
  <si>
    <t>75016</t>
  </si>
  <si>
    <t>(1) 47.55.60.10</t>
  </si>
  <si>
    <t>(1) 47.55.60.20</t>
  </si>
  <si>
    <t>SPLIR</t>
  </si>
  <si>
    <t>Split Rail Beer &amp; Ale</t>
  </si>
  <si>
    <t>Art Braunschweiger</t>
  </si>
  <si>
    <t>P.O. Box 555</t>
  </si>
  <si>
    <t>Lander</t>
  </si>
  <si>
    <t>WY</t>
  </si>
  <si>
    <t>82520</t>
  </si>
  <si>
    <t>(307) 555-4680</t>
  </si>
  <si>
    <t>(307) 555-6525</t>
  </si>
  <si>
    <t>SUPRD</t>
  </si>
  <si>
    <t>SuprÃªmes dÃ©lices</t>
  </si>
  <si>
    <t>Pascale Cartrain</t>
  </si>
  <si>
    <t>Boulevard Tirou, 255</t>
  </si>
  <si>
    <t>Charleroi</t>
  </si>
  <si>
    <t>B-6000</t>
  </si>
  <si>
    <t>(071) 23 67 22 20</t>
  </si>
  <si>
    <t>(071) 23 67 22 21</t>
  </si>
  <si>
    <t>THEBI</t>
  </si>
  <si>
    <t>The Big Cheese</t>
  </si>
  <si>
    <t>Liz Nixon</t>
  </si>
  <si>
    <t>97201</t>
  </si>
  <si>
    <t>(503) 555-3612</t>
  </si>
  <si>
    <t>THECR</t>
  </si>
  <si>
    <t>The Cracker Box</t>
  </si>
  <si>
    <t>Liu Wong</t>
  </si>
  <si>
    <t>55 Grizzly Peak Rd.</t>
  </si>
  <si>
    <t>Butte</t>
  </si>
  <si>
    <t>MT</t>
  </si>
  <si>
    <t>59801</t>
  </si>
  <si>
    <t>(406) 555-5834</t>
  </si>
  <si>
    <t>(406) 555-8083</t>
  </si>
  <si>
    <t>TOMSP</t>
  </si>
  <si>
    <t>Toms SpezialitÃ¤ten</t>
  </si>
  <si>
    <t>Karin Josephs</t>
  </si>
  <si>
    <t>Luisenstr. 48</t>
  </si>
  <si>
    <t>MÃ¼nster</t>
  </si>
  <si>
    <t>44087</t>
  </si>
  <si>
    <t>0251-031259</t>
  </si>
  <si>
    <t>0251-035695</t>
  </si>
  <si>
    <t>TORTU</t>
  </si>
  <si>
    <t>Tortuga Restaurante</t>
  </si>
  <si>
    <t>Miguel Angel Paolino</t>
  </si>
  <si>
    <t>Avda. Azteca 123</t>
  </si>
  <si>
    <t>(5) 555-2933</t>
  </si>
  <si>
    <t>TRADH</t>
  </si>
  <si>
    <t>TradiÃ§Ã£o Hipermercados</t>
  </si>
  <si>
    <t>Anabela Domingues</t>
  </si>
  <si>
    <t>Av. InÃªs de Castro, 414</t>
  </si>
  <si>
    <t>05634-030</t>
  </si>
  <si>
    <t>(11) 555-2167</t>
  </si>
  <si>
    <t>(11) 555-2168</t>
  </si>
  <si>
    <t>TRAIH</t>
  </si>
  <si>
    <t>Trail's Head Gourmet Provisioners</t>
  </si>
  <si>
    <t>Helvetius Nagy</t>
  </si>
  <si>
    <t>722 DaVinci Blvd.</t>
  </si>
  <si>
    <t>Kirkland</t>
  </si>
  <si>
    <t>98034</t>
  </si>
  <si>
    <t>(206) 555-8257</t>
  </si>
  <si>
    <t>(206) 555-2174</t>
  </si>
  <si>
    <t>VAFFE</t>
  </si>
  <si>
    <t>Vaffeljernet</t>
  </si>
  <si>
    <t>Palle Ibsen</t>
  </si>
  <si>
    <t>SmagslÃ¸get 45</t>
  </si>
  <si>
    <t>Ã…rhus</t>
  </si>
  <si>
    <t>8200</t>
  </si>
  <si>
    <t>86 21 32 43</t>
  </si>
  <si>
    <t>86 22 33 44</t>
  </si>
  <si>
    <t>VICTE</t>
  </si>
  <si>
    <t>Victuailles en stock</t>
  </si>
  <si>
    <t>Mary Saveley</t>
  </si>
  <si>
    <t>2, rue du Commerce</t>
  </si>
  <si>
    <t>Lyon</t>
  </si>
  <si>
    <t>69004</t>
  </si>
  <si>
    <t>78.32.54.86</t>
  </si>
  <si>
    <t>78.32.54.87</t>
  </si>
  <si>
    <t>VINET</t>
  </si>
  <si>
    <t>Vins et alcools Chevalier</t>
  </si>
  <si>
    <t>Paul Henriot</t>
  </si>
  <si>
    <t>59 rue de l'Abbaye</t>
  </si>
  <si>
    <t>Reims</t>
  </si>
  <si>
    <t>51100</t>
  </si>
  <si>
    <t>26.47.15.10</t>
  </si>
  <si>
    <t>26.47.15.11</t>
  </si>
  <si>
    <t>WANDK</t>
  </si>
  <si>
    <t>Die Wandernde Kuh</t>
  </si>
  <si>
    <t>Rita MÃ¼ller</t>
  </si>
  <si>
    <t>Adenauerallee 900</t>
  </si>
  <si>
    <t>Stuttgart</t>
  </si>
  <si>
    <t>70563</t>
  </si>
  <si>
    <t>0711-020361</t>
  </si>
  <si>
    <t>0711-035428</t>
  </si>
  <si>
    <t>WARTH</t>
  </si>
  <si>
    <t>Wartian Herkku</t>
  </si>
  <si>
    <t>Pirkko Koskitalo</t>
  </si>
  <si>
    <t>Torikatu 38</t>
  </si>
  <si>
    <t>Oulu</t>
  </si>
  <si>
    <t>90110</t>
  </si>
  <si>
    <t>Finland</t>
  </si>
  <si>
    <t>981-443655</t>
  </si>
  <si>
    <t>WELLI</t>
  </si>
  <si>
    <t>Wellington Importadora</t>
  </si>
  <si>
    <t>Paula Parente</t>
  </si>
  <si>
    <t>Rua do Mercado, 12</t>
  </si>
  <si>
    <t>Resende</t>
  </si>
  <si>
    <t>08737-363</t>
  </si>
  <si>
    <t>(14) 555-8122</t>
  </si>
  <si>
    <t>WHITC</t>
  </si>
  <si>
    <t>White Clover Markets</t>
  </si>
  <si>
    <t>Karl Jablonski</t>
  </si>
  <si>
    <t>Seattle</t>
  </si>
  <si>
    <t>98128</t>
  </si>
  <si>
    <t>(206) 555-4112</t>
  </si>
  <si>
    <t>(206) 555-4115</t>
  </si>
  <si>
    <t>WILMK</t>
  </si>
  <si>
    <t>Wilman Kala</t>
  </si>
  <si>
    <t>Matti Karttunen</t>
  </si>
  <si>
    <t>Owner/Marketing Assistant</t>
  </si>
  <si>
    <t>Keskuskatu 45</t>
  </si>
  <si>
    <t>Helsinki</t>
  </si>
  <si>
    <t>21240</t>
  </si>
  <si>
    <t>90-224 8858</t>
  </si>
  <si>
    <t>WOLZA</t>
  </si>
  <si>
    <t>Wolski  Zajazd</t>
  </si>
  <si>
    <t>Zbyszek Piestrzeniewicz</t>
  </si>
  <si>
    <t>ul. Filtrowa 68</t>
  </si>
  <si>
    <t>Warszawa</t>
  </si>
  <si>
    <t>01-012</t>
  </si>
  <si>
    <t>Poland</t>
  </si>
  <si>
    <t>(26) 642-7012</t>
  </si>
  <si>
    <t>EmployeeID</t>
  </si>
  <si>
    <t>LastName</t>
  </si>
  <si>
    <t>FirstName</t>
  </si>
  <si>
    <t>Title</t>
  </si>
  <si>
    <t>TitleOfCourtesy</t>
  </si>
  <si>
    <t>BirthDate</t>
  </si>
  <si>
    <t>HireDate</t>
  </si>
  <si>
    <t>HomePhone</t>
  </si>
  <si>
    <t>Extension</t>
  </si>
  <si>
    <t>Notes</t>
  </si>
  <si>
    <t>ReportsTo</t>
  </si>
  <si>
    <t>Davolio</t>
  </si>
  <si>
    <t>Nancy</t>
  </si>
  <si>
    <t>Ms.</t>
  </si>
  <si>
    <t>98122</t>
  </si>
  <si>
    <t>(206) 555-9857</t>
  </si>
  <si>
    <t>Education includes a BA in psychology from Colorado State University in 1970.  She also completed "The Art of the Cold Call."  Nancy is a member of Toastmasters International.</t>
  </si>
  <si>
    <t>Fuller</t>
  </si>
  <si>
    <t>Andrew</t>
  </si>
  <si>
    <t>Vice President, Sales</t>
  </si>
  <si>
    <t>Dr.</t>
  </si>
  <si>
    <t>908 W. Capital Way</t>
  </si>
  <si>
    <t>Tacoma</t>
  </si>
  <si>
    <t>98401</t>
  </si>
  <si>
    <t>(206) 555-9482</t>
  </si>
  <si>
    <t>Andrew received his BTS commercial in 1974 and a Ph.D. in international marketing from the University of Dallas in 1981.  He is fluent in French and Italian and reads German.  He joined the company as a sales representative, was promoted to sales manager in January 1992 and to vice president of sales in March 1993.  Andrew is a member of the Sales Management Roundtable, the Seattle Chamber of Commerce, and the Pacific Rim Importers Association.</t>
  </si>
  <si>
    <t>Leverling</t>
  </si>
  <si>
    <t>Janet</t>
  </si>
  <si>
    <t>722 Moss Bay Blvd.</t>
  </si>
  <si>
    <t>98033</t>
  </si>
  <si>
    <t>(206) 555-3412</t>
  </si>
  <si>
    <t>Janet has a BS degree in chemistry from Boston College (1984).  She has also completed a certificate program in food retailing management.  Janet was hired as a sales associate in 1991 and promoted to sales representative in February 1992.</t>
  </si>
  <si>
    <t>Peacock</t>
  </si>
  <si>
    <t>Margaret</t>
  </si>
  <si>
    <t>Mrs.</t>
  </si>
  <si>
    <t>4110 Old Redmond Rd.</t>
  </si>
  <si>
    <t>Redmond</t>
  </si>
  <si>
    <t>98052</t>
  </si>
  <si>
    <t>(206) 555-8122</t>
  </si>
  <si>
    <t>Margaret holds a BA in English literature from Concordia College (1958) and an MA from the American Institute of Culinary Arts (1966).  She was assigned to the London office temporarily from July through November 1992.</t>
  </si>
  <si>
    <t>Buchanan</t>
  </si>
  <si>
    <t>Steven</t>
  </si>
  <si>
    <t>Mr.</t>
  </si>
  <si>
    <t>14 Garrett Hill</t>
  </si>
  <si>
    <t>SW1 8JR</t>
  </si>
  <si>
    <t>(71) 555-4848</t>
  </si>
  <si>
    <t>Steven Buchanan graduated from St. Andrews University, Scotland, with a BSC degree in 1976.  Upon joining the company as a sales representative in 1992, he spent 6 months in an orientation program at the Seattle office and then returned to his permanent post in London.  He was promoted to sales manager in March 1993.  Mr. Buchanan has completed the courses "Successful Telemarketing" and "International Sales Management."  He is fluent in French.</t>
  </si>
  <si>
    <t>Suyama</t>
  </si>
  <si>
    <t>Michael</t>
  </si>
  <si>
    <t>EC2 7JR</t>
  </si>
  <si>
    <t>(71) 555-7773</t>
  </si>
  <si>
    <t>Michael is a graduate of Sussex University (MA, economics, 1983) and the University of California at Los Angeles (MBA, marketing, 1986).  He has also taken the courses "Multi-Cultural Selling" and "Time Management for the Sales Professional."  He is fluent in Japanese and can read and write French, Portuguese, and Spanish.</t>
  </si>
  <si>
    <t>King</t>
  </si>
  <si>
    <t>Robert</t>
  </si>
  <si>
    <t>RG1 9SP</t>
  </si>
  <si>
    <t>(71) 555-5598</t>
  </si>
  <si>
    <t>Robert King served in the Peace Corps and traveled extensively before completing his degree in English at the University of Michigan in 1992, the year he joined the company.  After completing a course entitled "Selling in Europe," he was transferred to the London office in March 1993.</t>
  </si>
  <si>
    <t>Callahan</t>
  </si>
  <si>
    <t>Laura</t>
  </si>
  <si>
    <t>Inside Sales Coordinator</t>
  </si>
  <si>
    <t>4726 - 11th Ave. N.E.</t>
  </si>
  <si>
    <t>98105</t>
  </si>
  <si>
    <t>(206) 555-1189</t>
  </si>
  <si>
    <t>Laura received a BA in psychology from the University of Washington.  She has also completed a course in business French.  She reads and writes French.</t>
  </si>
  <si>
    <t>Dodsworth</t>
  </si>
  <si>
    <t>Anne</t>
  </si>
  <si>
    <t>7 Houndstooth Rd.</t>
  </si>
  <si>
    <t>WG2 7LT</t>
  </si>
  <si>
    <t>(71) 555-4444</t>
  </si>
  <si>
    <t>Anne has a BA degree in English from St. Lawrence College.  She is fluent in French and German.</t>
  </si>
  <si>
    <t>OrderID</t>
  </si>
  <si>
    <t>ProductID</t>
  </si>
  <si>
    <t>UnitPrice</t>
  </si>
  <si>
    <t>Quantity</t>
  </si>
  <si>
    <t>Discount</t>
  </si>
  <si>
    <t>OrderDate</t>
  </si>
  <si>
    <t>RequiredDate</t>
  </si>
  <si>
    <t>ShippedDate</t>
  </si>
  <si>
    <t>ShipVia</t>
  </si>
  <si>
    <t>Freight</t>
  </si>
  <si>
    <t>ShipName</t>
  </si>
  <si>
    <t>ShipAddress</t>
  </si>
  <si>
    <t>ShipCity</t>
  </si>
  <si>
    <t>ShipRegion</t>
  </si>
  <si>
    <t>ShipPostalCode</t>
  </si>
  <si>
    <t>ShipCountry</t>
  </si>
  <si>
    <t>Hauptstr. 31</t>
  </si>
  <si>
    <t>Starenweg 5</t>
  </si>
  <si>
    <t>1204</t>
  </si>
  <si>
    <t>1029 - 12th Ave. S.</t>
  </si>
  <si>
    <t>98124</t>
  </si>
  <si>
    <t>Colchester</t>
  </si>
  <si>
    <t>Essex</t>
  </si>
  <si>
    <t>CO7 6JX</t>
  </si>
  <si>
    <t>GalerÃ­a del gastronÃ³mo</t>
  </si>
  <si>
    <t>8022</t>
  </si>
  <si>
    <t>Wolski Zajazd</t>
  </si>
  <si>
    <t>2319 Elm St.</t>
  </si>
  <si>
    <t>Alfred's Futterkiste</t>
  </si>
  <si>
    <t>ProductName</t>
  </si>
  <si>
    <t>SupplierID</t>
  </si>
  <si>
    <t>QuantityPerUnit</t>
  </si>
  <si>
    <t>UnitsInStock</t>
  </si>
  <si>
    <t>UnitsOnOrder</t>
  </si>
  <si>
    <t>ReorderLevel</t>
  </si>
  <si>
    <t>Discontinued</t>
  </si>
  <si>
    <t>Chai</t>
  </si>
  <si>
    <t>10 boxes x 20 bags</t>
  </si>
  <si>
    <t>Chang</t>
  </si>
  <si>
    <t>24 - 12 oz bottles</t>
  </si>
  <si>
    <t>Aniseed Syrup</t>
  </si>
  <si>
    <t>12 - 550 ml bottles</t>
  </si>
  <si>
    <t>Chef Anton's Cajun Seasoning</t>
  </si>
  <si>
    <t>48 - 6 oz jars</t>
  </si>
  <si>
    <t>Chef Anton's Gumbo Mix</t>
  </si>
  <si>
    <t>36 boxes</t>
  </si>
  <si>
    <t>Grandma's Boysenberry Spread</t>
  </si>
  <si>
    <t>12 - 8 oz jars</t>
  </si>
  <si>
    <t>Uncle Bob's Organic Dried Pears</t>
  </si>
  <si>
    <t>12 - 1 lb pkgs.</t>
  </si>
  <si>
    <t>Northwoods Cranberry Sauce</t>
  </si>
  <si>
    <t>12 - 12 oz jars</t>
  </si>
  <si>
    <t>Mishi Kobe Niku</t>
  </si>
  <si>
    <t>18 - 500 g pkgs.</t>
  </si>
  <si>
    <t>Ikura</t>
  </si>
  <si>
    <t>12 - 200 ml jars</t>
  </si>
  <si>
    <t>Queso Cabrales</t>
  </si>
  <si>
    <t>1 kg pkg.</t>
  </si>
  <si>
    <t>Queso Manchego La Pastora</t>
  </si>
  <si>
    <t>10 - 500 g pkgs.</t>
  </si>
  <si>
    <t>Konbu</t>
  </si>
  <si>
    <t>2 kg box</t>
  </si>
  <si>
    <t>Tofu</t>
  </si>
  <si>
    <t>40 - 100 g pkgs.</t>
  </si>
  <si>
    <t>Genen Shouyu</t>
  </si>
  <si>
    <t>24 - 250 ml bottles</t>
  </si>
  <si>
    <t>Pavlova</t>
  </si>
  <si>
    <t>32 - 500 g boxes</t>
  </si>
  <si>
    <t>Alice Mutton</t>
  </si>
  <si>
    <t>20 - 1 kg tins</t>
  </si>
  <si>
    <t>Carnarvon Tigers</t>
  </si>
  <si>
    <t>16 kg pkg.</t>
  </si>
  <si>
    <t>Teatime Chocolate Biscuits</t>
  </si>
  <si>
    <t>10 boxes x 12 pieces</t>
  </si>
  <si>
    <t>Sir Rodney's Marmalade</t>
  </si>
  <si>
    <t>30 gift boxes</t>
  </si>
  <si>
    <t>Sir Rodney's Scones</t>
  </si>
  <si>
    <t>24 pkgs. x 4 pieces</t>
  </si>
  <si>
    <t>Gustaf's KnÃ¤ckebrÃ¶d</t>
  </si>
  <si>
    <t>24 - 500 g pkgs.</t>
  </si>
  <si>
    <t>TunnbrÃ¶d</t>
  </si>
  <si>
    <t>12 - 250 g pkgs.</t>
  </si>
  <si>
    <t>GuaranÃ¡ FantÃ¡stica</t>
  </si>
  <si>
    <t>12 - 355 ml cans</t>
  </si>
  <si>
    <t>NuNuCa NuÃŸ-Nougat-Creme</t>
  </si>
  <si>
    <t>20 - 450 g glasses</t>
  </si>
  <si>
    <t>GumbÃ¤r GummibÃ¤rchen</t>
  </si>
  <si>
    <t>100 - 250 g bags</t>
  </si>
  <si>
    <t>Schoggi Schokolade</t>
  </si>
  <si>
    <t>100 - 100 g pieces</t>
  </si>
  <si>
    <t>RÃ¶ssle Sauerkraut</t>
  </si>
  <si>
    <t>25 - 825 g cans</t>
  </si>
  <si>
    <t>ThÃ¼ringer Rostbratwurst</t>
  </si>
  <si>
    <t>50 bags x 30 sausgs.</t>
  </si>
  <si>
    <t>Nord-Ost Matjeshering</t>
  </si>
  <si>
    <t>10 - 200 g glasses</t>
  </si>
  <si>
    <t>Gorgonzola Telino</t>
  </si>
  <si>
    <t>12 - 100 g pkgs</t>
  </si>
  <si>
    <t>Mascarpone Fabioli</t>
  </si>
  <si>
    <t>24 - 200 g pkgs.</t>
  </si>
  <si>
    <t>Geitost</t>
  </si>
  <si>
    <t>500 g</t>
  </si>
  <si>
    <t>Sasquatch Ale</t>
  </si>
  <si>
    <t>Steeleye Stout</t>
  </si>
  <si>
    <t>Inlagd Sill</t>
  </si>
  <si>
    <t>24 - 250 g  jars</t>
  </si>
  <si>
    <t>Gravad lax</t>
  </si>
  <si>
    <t>12 - 500 g pkgs.</t>
  </si>
  <si>
    <t>CÃ´te de Blaye</t>
  </si>
  <si>
    <t>12 - 75 cl bottles</t>
  </si>
  <si>
    <t>Chartreuse verte</t>
  </si>
  <si>
    <t>750 cc per bottle</t>
  </si>
  <si>
    <t>Boston Crab Meat</t>
  </si>
  <si>
    <t>24 - 4 oz tins</t>
  </si>
  <si>
    <t>Jack's New England Clam Chowder</t>
  </si>
  <si>
    <t>12 - 12 oz cans</t>
  </si>
  <si>
    <t>Singaporean Hokkien Fried Mee</t>
  </si>
  <si>
    <t>32 - 1 kg pkgs.</t>
  </si>
  <si>
    <t>Ipoh Coffee</t>
  </si>
  <si>
    <t>16 - 500 g tins</t>
  </si>
  <si>
    <t>Gula Malacca</t>
  </si>
  <si>
    <t>20 - 2 kg bags</t>
  </si>
  <si>
    <t>RÃ¸gede sild</t>
  </si>
  <si>
    <t>1k pkg.</t>
  </si>
  <si>
    <t>Spegesild</t>
  </si>
  <si>
    <t>4 - 450 g glasses</t>
  </si>
  <si>
    <t>Zaanse koeken</t>
  </si>
  <si>
    <t>10 - 4 oz boxes</t>
  </si>
  <si>
    <t>Chocolade</t>
  </si>
  <si>
    <t>10 pkgs.</t>
  </si>
  <si>
    <t>Maxilaku</t>
  </si>
  <si>
    <t>24 - 50 g pkgs.</t>
  </si>
  <si>
    <t>Valkoinen suklaa</t>
  </si>
  <si>
    <t>12 - 100 g bars</t>
  </si>
  <si>
    <t>Manjimup Dried Apples</t>
  </si>
  <si>
    <t>50 - 300 g pkgs.</t>
  </si>
  <si>
    <t>Filo Mix</t>
  </si>
  <si>
    <t>16 - 2 kg boxes</t>
  </si>
  <si>
    <t>Perth Pasties</t>
  </si>
  <si>
    <t>48 pieces</t>
  </si>
  <si>
    <t>TourtiÃ¨re</t>
  </si>
  <si>
    <t>16 pies</t>
  </si>
  <si>
    <t>PÃ¢tÃ© chinois</t>
  </si>
  <si>
    <t>24 boxes x 2 pies</t>
  </si>
  <si>
    <t>Gnocchi di nonna Alice</t>
  </si>
  <si>
    <t>24 - 250 g pkgs.</t>
  </si>
  <si>
    <t>Ravioli Angelo</t>
  </si>
  <si>
    <t>Escargots de Bourgogne</t>
  </si>
  <si>
    <t>24 pieces</t>
  </si>
  <si>
    <t>Raclette Courdavault</t>
  </si>
  <si>
    <t>5 kg pkg.</t>
  </si>
  <si>
    <t>Camembert Pierrot</t>
  </si>
  <si>
    <t>15 - 300 g rounds</t>
  </si>
  <si>
    <t>Sirop d'Ã©rable</t>
  </si>
  <si>
    <t>24 - 500 ml bottles</t>
  </si>
  <si>
    <t>Tarte au sucre</t>
  </si>
  <si>
    <t>48 pies</t>
  </si>
  <si>
    <t>Vegie-spread</t>
  </si>
  <si>
    <t>15 - 625 g jars</t>
  </si>
  <si>
    <t>Wimmers gute SemmelknÃ¶del</t>
  </si>
  <si>
    <t>20 bags x 4 pieces</t>
  </si>
  <si>
    <t>Louisiana Fiery Hot Pepper Sauce</t>
  </si>
  <si>
    <t>32 - 8 oz bottles</t>
  </si>
  <si>
    <t>Louisiana Hot Spiced Okra</t>
  </si>
  <si>
    <t>24 - 8 oz jars</t>
  </si>
  <si>
    <t>Laughing Lumberjack Lager</t>
  </si>
  <si>
    <t>Scottish Longbreads</t>
  </si>
  <si>
    <t>10 boxes x 8 pieces</t>
  </si>
  <si>
    <t>Gudbrandsdalsost</t>
  </si>
  <si>
    <t>10 kg pkg.</t>
  </si>
  <si>
    <t>Outback Lager</t>
  </si>
  <si>
    <t>24 - 355 ml bottles</t>
  </si>
  <si>
    <t>FlÃ¸temysost</t>
  </si>
  <si>
    <t>Mozzarella di Giovanni</t>
  </si>
  <si>
    <t>RÃ¶d Kaviar</t>
  </si>
  <si>
    <t>24 - 150 g jars</t>
  </si>
  <si>
    <t>Longlife Tofu</t>
  </si>
  <si>
    <t>RhÃ¶nbrÃ¤u Klosterbier</t>
  </si>
  <si>
    <t>24 - 0.5 l bottles</t>
  </si>
  <si>
    <t>LakkalikÃ¶Ã¶ri</t>
  </si>
  <si>
    <t>500 ml</t>
  </si>
  <si>
    <t>Original Frankfurter grÃ¼ne SoÃŸe</t>
  </si>
  <si>
    <t>12 boxes</t>
  </si>
  <si>
    <t>ShipperID</t>
  </si>
  <si>
    <t>Speedy Express</t>
  </si>
  <si>
    <t>(503) 555-9831</t>
  </si>
  <si>
    <t>United Package</t>
  </si>
  <si>
    <t>(503) 555-3199</t>
  </si>
  <si>
    <t>Federal Shipping</t>
  </si>
  <si>
    <t>(503) 555-9931</t>
  </si>
  <si>
    <t>Exotic Liquids</t>
  </si>
  <si>
    <t>Charlotte Cooper</t>
  </si>
  <si>
    <t>Purchasing Manager</t>
  </si>
  <si>
    <t>49 Gilbert St.</t>
  </si>
  <si>
    <t>EC1 4SD</t>
  </si>
  <si>
    <t>(171) 555-2222</t>
  </si>
  <si>
    <t>New Orleans Cajun Delights</t>
  </si>
  <si>
    <t>Shelley Burke</t>
  </si>
  <si>
    <t>P.O. Box 78934</t>
  </si>
  <si>
    <t>New Orleans</t>
  </si>
  <si>
    <t>LA</t>
  </si>
  <si>
    <t>70117</t>
  </si>
  <si>
    <t>(100) 555-4822</t>
  </si>
  <si>
    <t>Grandma Kelly's Homestead</t>
  </si>
  <si>
    <t>Regina Murphy</t>
  </si>
  <si>
    <t>707 Oxford Rd.</t>
  </si>
  <si>
    <t>Ann Arbor</t>
  </si>
  <si>
    <t>MI</t>
  </si>
  <si>
    <t>48104</t>
  </si>
  <si>
    <t>(313) 555-5735</t>
  </si>
  <si>
    <t>(313) 555-3349</t>
  </si>
  <si>
    <t>Tokyo Traders</t>
  </si>
  <si>
    <t>Yoshi Nagase</t>
  </si>
  <si>
    <t>Tokyo</t>
  </si>
  <si>
    <t>100</t>
  </si>
  <si>
    <t>Japan</t>
  </si>
  <si>
    <t>(03) 3555-5011</t>
  </si>
  <si>
    <t>Cooperativa de Quesos 'Las Cabras'</t>
  </si>
  <si>
    <t>Export Administrator</t>
  </si>
  <si>
    <t>Calle del Rosal 4</t>
  </si>
  <si>
    <t>Oviedo</t>
  </si>
  <si>
    <t>Asturias</t>
  </si>
  <si>
    <t>33007</t>
  </si>
  <si>
    <t>(98) 598 76 54</t>
  </si>
  <si>
    <t>Mayumi's</t>
  </si>
  <si>
    <t>Mayumi Ohno</t>
  </si>
  <si>
    <t>Marketing Representative</t>
  </si>
  <si>
    <t>Osaka</t>
  </si>
  <si>
    <t>545</t>
  </si>
  <si>
    <t>(06) 431-7877</t>
  </si>
  <si>
    <t>Pavlova, Ltd.</t>
  </si>
  <si>
    <t>Ian Devling</t>
  </si>
  <si>
    <t>Melbourne</t>
  </si>
  <si>
    <t>Victoria</t>
  </si>
  <si>
    <t>3058</t>
  </si>
  <si>
    <t>Australia</t>
  </si>
  <si>
    <t>(03) 444-2343</t>
  </si>
  <si>
    <t>(03) 444-6588</t>
  </si>
  <si>
    <t>Specialty Biscuits, Ltd.</t>
  </si>
  <si>
    <t>Peter Wilson</t>
  </si>
  <si>
    <t>29 King's Way</t>
  </si>
  <si>
    <t>Manchester</t>
  </si>
  <si>
    <t>M14 GSD</t>
  </si>
  <si>
    <t>(161) 555-4448</t>
  </si>
  <si>
    <t>PB KnÃ¤ckebrÃ¶d AB</t>
  </si>
  <si>
    <t>Lars Peterson</t>
  </si>
  <si>
    <t>Kaloadagatan 13</t>
  </si>
  <si>
    <t>GÃ¶teborg</t>
  </si>
  <si>
    <t>S-345 67</t>
  </si>
  <si>
    <t>031-987 65 43</t>
  </si>
  <si>
    <t>031-987 65 91</t>
  </si>
  <si>
    <t>Refrescos Americanas LTDA</t>
  </si>
  <si>
    <t>Carlos Diaz</t>
  </si>
  <si>
    <t>Av. das Americanas 12.890</t>
  </si>
  <si>
    <t>5442</t>
  </si>
  <si>
    <t>(11) 555 4640</t>
  </si>
  <si>
    <t>Heli SÃ¼ÃŸwaren GmbH &amp; Co. KG</t>
  </si>
  <si>
    <t>Petra Winkler</t>
  </si>
  <si>
    <t>TiergartenstraÃŸe 5</t>
  </si>
  <si>
    <t>10785</t>
  </si>
  <si>
    <t>(010) 9984510</t>
  </si>
  <si>
    <t>Plutzer LebensmittelgroÃŸmÃ¤rkte AG</t>
  </si>
  <si>
    <t>Martin Bein</t>
  </si>
  <si>
    <t>International Marketing Mgr.</t>
  </si>
  <si>
    <t>Bogenallee 51</t>
  </si>
  <si>
    <t>Frankfurt</t>
  </si>
  <si>
    <t>60439</t>
  </si>
  <si>
    <t>(069) 992755</t>
  </si>
  <si>
    <t>Nord-Ost-Fisch Handelsgesellschaft mbH</t>
  </si>
  <si>
    <t>Sven Petersen</t>
  </si>
  <si>
    <t>Coordinator Foreign Markets</t>
  </si>
  <si>
    <t>Frahmredder 112a</t>
  </si>
  <si>
    <t>Cuxhaven</t>
  </si>
  <si>
    <t>27478</t>
  </si>
  <si>
    <t>(04721) 8713</t>
  </si>
  <si>
    <t>(04721) 8714</t>
  </si>
  <si>
    <t>Formaggi Fortini s.r.l.</t>
  </si>
  <si>
    <t>Elio Rossi</t>
  </si>
  <si>
    <t>Viale Dante, 75</t>
  </si>
  <si>
    <t>Ravenna</t>
  </si>
  <si>
    <t>48100</t>
  </si>
  <si>
    <t>(0544) 60323</t>
  </si>
  <si>
    <t>(0544) 60603</t>
  </si>
  <si>
    <t>Norske Meierier</t>
  </si>
  <si>
    <t>Beate Vileid</t>
  </si>
  <si>
    <t>Hatlevegen 5</t>
  </si>
  <si>
    <t>Sandvika</t>
  </si>
  <si>
    <t>1320</t>
  </si>
  <si>
    <t>(0)2-953010</t>
  </si>
  <si>
    <t>Bigfoot Breweries</t>
  </si>
  <si>
    <t>Cheryl Saylor</t>
  </si>
  <si>
    <t>Regional Account Rep.</t>
  </si>
  <si>
    <t>Bend</t>
  </si>
  <si>
    <t>97101</t>
  </si>
  <si>
    <t>Svensk SjÃ¶fÃ¶da AB</t>
  </si>
  <si>
    <t>Michael BjÃ¶rn</t>
  </si>
  <si>
    <t>BrovallavÃ¤gen 231</t>
  </si>
  <si>
    <t>Stockholm</t>
  </si>
  <si>
    <t>S-123 45</t>
  </si>
  <si>
    <t>08-123 45 67</t>
  </si>
  <si>
    <t>Aux joyeux ecclÃ©siastiques</t>
  </si>
  <si>
    <t>GuylÃ¨ne Nodier</t>
  </si>
  <si>
    <t>203, Rue des Francs-Bourgeois</t>
  </si>
  <si>
    <t>75004</t>
  </si>
  <si>
    <t>(1) 03.83.00.68</t>
  </si>
  <si>
    <t>(1) 03.83.00.62</t>
  </si>
  <si>
    <t>New England Seafood Cannery</t>
  </si>
  <si>
    <t>Robb Merchant</t>
  </si>
  <si>
    <t>Wholesale Account Agent</t>
  </si>
  <si>
    <t>Boston</t>
  </si>
  <si>
    <t>MA</t>
  </si>
  <si>
    <t>02134</t>
  </si>
  <si>
    <t>(617) 555-3267</t>
  </si>
  <si>
    <t>(617) 555-3389</t>
  </si>
  <si>
    <t>Leka Trading</t>
  </si>
  <si>
    <t>Chandra Leka</t>
  </si>
  <si>
    <t>471 Serangoon Loop, Suite #402</t>
  </si>
  <si>
    <t>Singapore</t>
  </si>
  <si>
    <t>0512</t>
  </si>
  <si>
    <t>555-8787</t>
  </si>
  <si>
    <t>Lyngbysild</t>
  </si>
  <si>
    <t>Niels Petersen</t>
  </si>
  <si>
    <t>Lyngby</t>
  </si>
  <si>
    <t>2800</t>
  </si>
  <si>
    <t>43844108</t>
  </si>
  <si>
    <t>43844115</t>
  </si>
  <si>
    <t>Zaanse Snoepfabriek</t>
  </si>
  <si>
    <t>Dirk Luchte</t>
  </si>
  <si>
    <t>Zaandam</t>
  </si>
  <si>
    <t>9999 ZZ</t>
  </si>
  <si>
    <t>Netherlands</t>
  </si>
  <si>
    <t>(12345) 1212</t>
  </si>
  <si>
    <t>(12345) 1210</t>
  </si>
  <si>
    <t>Karkki Oy</t>
  </si>
  <si>
    <t>Anne Heikkonen</t>
  </si>
  <si>
    <t>Product Manager</t>
  </si>
  <si>
    <t>Valtakatu 12</t>
  </si>
  <si>
    <t>Lappeenranta</t>
  </si>
  <si>
    <t>53120</t>
  </si>
  <si>
    <t>(953) 10956</t>
  </si>
  <si>
    <t>G'day, Mate</t>
  </si>
  <si>
    <t>Wendy Mackenzie</t>
  </si>
  <si>
    <t>Sydney</t>
  </si>
  <si>
    <t>NSW</t>
  </si>
  <si>
    <t>2042</t>
  </si>
  <si>
    <t>(02) 555-5914</t>
  </si>
  <si>
    <t>(02) 555-4873</t>
  </si>
  <si>
    <t>Ma Maison</t>
  </si>
  <si>
    <t>Jean-Guy Lauzon</t>
  </si>
  <si>
    <t>2960 Rue St. Laurent</t>
  </si>
  <si>
    <t>(514) 555-9022</t>
  </si>
  <si>
    <t>Pasta Buttini s.r.l.</t>
  </si>
  <si>
    <t>Giovanni Giudici</t>
  </si>
  <si>
    <t>Via dei Gelsomini, 153</t>
  </si>
  <si>
    <t>Salerno</t>
  </si>
  <si>
    <t>84100</t>
  </si>
  <si>
    <t>(089) 6547665</t>
  </si>
  <si>
    <t>(089) 6547667</t>
  </si>
  <si>
    <t>Escargots Nouveaux</t>
  </si>
  <si>
    <t>Marie Delamare</t>
  </si>
  <si>
    <t>22, rue H. Voiron</t>
  </si>
  <si>
    <t>Montceau</t>
  </si>
  <si>
    <t>71300</t>
  </si>
  <si>
    <t>85.57.00.07</t>
  </si>
  <si>
    <t>Gai pÃ¢turage</t>
  </si>
  <si>
    <t>Eliane Noz</t>
  </si>
  <si>
    <t>Annecy</t>
  </si>
  <si>
    <t>74000</t>
  </si>
  <si>
    <t>38.76.98.06</t>
  </si>
  <si>
    <t>38.76.98.58</t>
  </si>
  <si>
    <t>ForÃªts d'Ã©rables</t>
  </si>
  <si>
    <t>Chantal Goulet</t>
  </si>
  <si>
    <t>148 rue Chasseur</t>
  </si>
  <si>
    <t>Ste-Hyacinthe</t>
  </si>
  <si>
    <t>J2S 7S8</t>
  </si>
  <si>
    <t>(514) 555-2955</t>
  </si>
  <si>
    <t>(514) 555-2921</t>
  </si>
  <si>
    <t>unknown</t>
  </si>
  <si>
    <t>Unknown</t>
  </si>
  <si>
    <t>Berkeley Gardens12  Brewery</t>
  </si>
  <si>
    <t>Lino Rodriguez</t>
  </si>
  <si>
    <t>City Center Plaza516 Main St.</t>
  </si>
  <si>
    <t>Garden HouseCrowther Way</t>
  </si>
  <si>
    <t>Frankfurt a.M.</t>
  </si>
  <si>
    <t>87 Polk St.Suite 5</t>
  </si>
  <si>
    <t>South House300 Queensbridge</t>
  </si>
  <si>
    <t>Ing. Gustavo Moncada 8585Piso 20-A</t>
  </si>
  <si>
    <t>89 Jefferson WaySuite 2</t>
  </si>
  <si>
    <t>305 - 14th Ave. S.Suite 3B</t>
  </si>
  <si>
    <t>507 - 20th Ave. E.Apt. 2A</t>
  </si>
  <si>
    <t>Coventry HouseMiner Rd.</t>
  </si>
  <si>
    <t>Edgeham HollowWinchester Way</t>
  </si>
  <si>
    <t>Brook FarmStratford St. Mary</t>
  </si>
  <si>
    <t>9-8 SekimaiMusashino-shi</t>
  </si>
  <si>
    <t>Antonio del Valle Saavedra</t>
  </si>
  <si>
    <t>92 SetsukoChuo-ku</t>
  </si>
  <si>
    <t>74 Rose St.Moonie Ponds</t>
  </si>
  <si>
    <t>3400 - 8th AvenueSuite 210</t>
  </si>
  <si>
    <t>Order Processing Dept.2100 Paul Revere Blvd.</t>
  </si>
  <si>
    <t>LyngbysildFiskebakken 10</t>
  </si>
  <si>
    <t>VerkoopRijnweg 22</t>
  </si>
  <si>
    <t>170 Prince Edward ParadeHunter's Hill</t>
  </si>
  <si>
    <t>Bat. B3, rue des Alpes</t>
  </si>
  <si>
    <t>Tenure YEAR</t>
  </si>
  <si>
    <t>Order Value</t>
  </si>
  <si>
    <t>Row Labels</t>
  </si>
  <si>
    <t>Grand Total</t>
  </si>
  <si>
    <t>Count of OrderID</t>
  </si>
  <si>
    <t>Column Labels</t>
  </si>
  <si>
    <t>Sum of Order Value</t>
  </si>
  <si>
    <t>Insight – Average Orders Per Customer</t>
  </si>
  <si>
    <r>
      <t xml:space="preserve">Based on the full Orders dataset, the average number of orders placed by each customer is approximately </t>
    </r>
    <r>
      <rPr>
        <b/>
        <sz val="11"/>
        <color theme="1"/>
        <rFont val="Calibri"/>
        <family val="2"/>
        <scheme val="minor"/>
      </rPr>
      <t>9.3</t>
    </r>
    <r>
      <rPr>
        <sz val="11"/>
        <color theme="1"/>
        <rFont val="Calibri"/>
        <family val="2"/>
        <scheme val="minor"/>
      </rPr>
      <t>.</t>
    </r>
  </si>
  <si>
    <t>This indicates that customers tend to purchase repeatedly and maintain an ongoing purchasing relationship with the business.</t>
  </si>
  <si>
    <t>High-Value Repeat Customers</t>
  </si>
  <si>
    <t>To identify high-value customers, I compared:</t>
  </si>
  <si>
    <t>Order frequency (Order Count per customer)</t>
  </si>
  <si>
    <t>Total Order Value per customer</t>
  </si>
  <si>
    <r>
      <t xml:space="preserve">Customers who had </t>
    </r>
    <r>
      <rPr>
        <b/>
        <sz val="11"/>
        <color theme="1"/>
        <rFont val="Calibri"/>
        <family val="2"/>
        <scheme val="minor"/>
      </rPr>
      <t>above-average order frequency (more than 9 orders)</t>
    </r>
    <r>
      <rPr>
        <sz val="11"/>
        <color theme="1"/>
        <rFont val="Calibri"/>
        <family val="2"/>
        <scheme val="minor"/>
      </rPr>
      <t xml:space="preserve"> AND </t>
    </r>
    <r>
      <rPr>
        <b/>
        <sz val="11"/>
        <color theme="1"/>
        <rFont val="Calibri"/>
        <family val="2"/>
        <scheme val="minor"/>
      </rPr>
      <t>high total spending</t>
    </r>
    <r>
      <rPr>
        <sz val="11"/>
        <color theme="1"/>
        <rFont val="Calibri"/>
        <family val="2"/>
        <scheme val="minor"/>
      </rPr>
      <t xml:space="preserve"> were classified as </t>
    </r>
    <r>
      <rPr>
        <b/>
        <sz val="11"/>
        <color theme="1"/>
        <rFont val="Calibri"/>
        <family val="2"/>
        <scheme val="minor"/>
      </rPr>
      <t>high-value repeat customers</t>
    </r>
    <r>
      <rPr>
        <sz val="11"/>
        <color theme="1"/>
        <rFont val="Calibri"/>
        <family val="2"/>
        <scheme val="minor"/>
      </rPr>
      <t>.</t>
    </r>
  </si>
  <si>
    <t>This group forms the most profitable segment and drives a significant share of total revenue.</t>
  </si>
  <si>
    <t xml:space="preserve">Average Orders per Customer = </t>
  </si>
  <si>
    <t>Average orders per customer = 9.33; high-value customers are those with &gt;9 orders and high total spending.</t>
  </si>
  <si>
    <t>Highest order volume from USA, Germany,  Brazil, France and UK; Top cities include Rio de Janeiro, London, SÃ£o Paulo, Boise, Graz.</t>
  </si>
  <si>
    <t>EDA INSIGHTS</t>
  </si>
  <si>
    <t>Total Spend</t>
  </si>
  <si>
    <t>Customer ID</t>
  </si>
  <si>
    <t>Order Count</t>
  </si>
  <si>
    <t>Average Order Count</t>
  </si>
  <si>
    <t>Average Total Spend</t>
  </si>
  <si>
    <t>Cluster</t>
  </si>
  <si>
    <t xml:space="preserve">Category Name </t>
  </si>
  <si>
    <t>Category Name</t>
  </si>
  <si>
    <t>Category ID</t>
  </si>
  <si>
    <t>Insight – Customer Clusters Based on Spend, Frequency, and Category Preference</t>
  </si>
  <si>
    <t>Using Excel formulas, I calculated the total spend and order count for each customer and identified their most frequently purchased category as the preferred category.</t>
  </si>
  <si>
    <t>Based on these three metrics, customers can be grouped into three broad clusters:</t>
  </si>
  <si>
    <r>
      <t>High-value customers</t>
    </r>
    <r>
      <rPr>
        <sz val="11"/>
        <color theme="1"/>
        <rFont val="Calibri"/>
        <family val="2"/>
        <scheme val="minor"/>
      </rPr>
      <t xml:space="preserve"> – have above-average order counts and above-average total spend. They contribute a large share of revenue and show strong preference for top categories such as </t>
    </r>
    <r>
      <rPr>
        <b/>
        <sz val="11"/>
        <color theme="1"/>
        <rFont val="Calibri"/>
        <family val="2"/>
        <scheme val="minor"/>
      </rPr>
      <t>Dairy Products, Beverages, Grains/Cereals and Confections</t>
    </r>
    <r>
      <rPr>
        <sz val="11"/>
        <color theme="1"/>
        <rFont val="Calibri"/>
        <family val="2"/>
        <scheme val="minor"/>
      </rPr>
      <t>.</t>
    </r>
  </si>
  <si>
    <r>
      <t>Mid-value customers</t>
    </r>
    <r>
      <rPr>
        <sz val="11"/>
        <color theme="1"/>
        <rFont val="Calibri"/>
        <family val="2"/>
        <scheme val="minor"/>
      </rPr>
      <t xml:space="preserve"> – place orders regularly with moderate spending. Their category preferences are more mixed, and they contribute steady but not dominant revenue.</t>
    </r>
  </si>
  <si>
    <r>
      <t>Low-value customers</t>
    </r>
    <r>
      <rPr>
        <sz val="11"/>
        <color theme="1"/>
        <rFont val="Calibri"/>
        <family val="2"/>
        <scheme val="minor"/>
      </rPr>
      <t xml:space="preserve"> – make very few, low-value purchases and often buy across categories in a sporadic pattern. They contribute only a small portion of overall sales.</t>
    </r>
  </si>
  <si>
    <t>This clustering helps identify high-priority customers for retention and cross-selling campaigns, while also highlighting which categories are most attractive to the top-spending segment.</t>
  </si>
  <si>
    <t>Customers were grouped into High / Medium / Low segments using order count, total spend, and preferred category. High-value customers show strong preference for top categories like Dairy Products, Beverages and Confections and contribute most of the revenue.</t>
  </si>
  <si>
    <t>Insight – Correlation Between Orders, Location, and Categories</t>
  </si>
  <si>
    <r>
      <t xml:space="preserve">This shows a </t>
    </r>
    <r>
      <rPr>
        <b/>
        <sz val="11"/>
        <color theme="1"/>
        <rFont val="Calibri"/>
        <family val="2"/>
        <scheme val="minor"/>
      </rPr>
      <t>strong positive correlation</t>
    </r>
    <r>
      <rPr>
        <sz val="11"/>
        <color theme="1"/>
        <rFont val="Calibri"/>
        <family val="2"/>
        <scheme val="minor"/>
      </rPr>
      <t xml:space="preserve"> between customer location and category demand.</t>
    </r>
  </si>
  <si>
    <t>Low-order countries contribute minimally to category revenue, showing weaker correlation.</t>
  </si>
  <si>
    <r>
      <t xml:space="preserve">Category preference patterns vary by region, indicating that </t>
    </r>
    <r>
      <rPr>
        <b/>
        <sz val="11"/>
        <color theme="1"/>
        <rFont val="Calibri"/>
        <family val="2"/>
        <scheme val="minor"/>
      </rPr>
      <t>geographic segments exhibit distinct buying behavior</t>
    </r>
    <r>
      <rPr>
        <sz val="11"/>
        <color theme="1"/>
        <rFont val="Calibri"/>
        <family val="2"/>
        <scheme val="minor"/>
      </rPr>
      <t>.</t>
    </r>
  </si>
  <si>
    <r>
      <t xml:space="preserve">Countries with the highest order volume ( </t>
    </r>
    <r>
      <rPr>
        <b/>
        <sz val="11"/>
        <color theme="1"/>
        <rFont val="Calibri"/>
        <family val="2"/>
        <scheme val="minor"/>
      </rPr>
      <t>USA, Germany, Brazil, France, UK</t>
    </r>
    <r>
      <rPr>
        <sz val="11"/>
        <color theme="1"/>
        <rFont val="Calibri"/>
        <family val="2"/>
        <scheme val="minor"/>
      </rPr>
      <t xml:space="preserve">) also generate the highest revenue in premium categories such as </t>
    </r>
    <r>
      <rPr>
        <b/>
        <sz val="11"/>
        <color theme="1"/>
        <rFont val="Calibri"/>
        <family val="2"/>
        <scheme val="minor"/>
      </rPr>
      <t>Beverages, Dairy Products, and Confections</t>
    </r>
    <r>
      <rPr>
        <sz val="11"/>
        <color theme="1"/>
        <rFont val="Calibri"/>
        <family val="2"/>
        <scheme val="minor"/>
      </rPr>
      <t>.</t>
    </r>
  </si>
  <si>
    <t>High-order countries such as Germany, USA, France, and Brazil also generate the highest revenue in top categories like Beverages, Dairy Products, and Confections, showing a clear positive correlation between customer location and product category demand.</t>
  </si>
  <si>
    <t>High</t>
  </si>
  <si>
    <t>Low</t>
  </si>
  <si>
    <t>Medium</t>
  </si>
  <si>
    <t>Total Orders Per Segment</t>
  </si>
  <si>
    <t>Average Order Per Segment</t>
  </si>
  <si>
    <t>Insight – Order Frequency Across Customer Segments</t>
  </si>
  <si>
    <t>By analyzing the order frequency of customers grouped into High, Medium, and Low-value segments, a clear pattern emerges.</t>
  </si>
  <si>
    <r>
      <t>High-value customers place orders far more frequently than all other customer groups</t>
    </r>
    <r>
      <rPr>
        <sz val="11"/>
        <color theme="1"/>
        <rFont val="Calibri"/>
        <family val="2"/>
        <scheme val="minor"/>
      </rPr>
      <t>, averaging significantly higher order counts.</t>
    </r>
  </si>
  <si>
    <t>Medium-value customers show steady ordering behavior, though at roughly half the frequency of high-value customers.</t>
  </si>
  <si>
    <t>Low-value customers place very few orders and contribute minimally to overall transaction volume.</t>
  </si>
  <si>
    <t>This confirms that order frequency is strongly linked to customer value:</t>
  </si>
  <si>
    <t>the more frequently a customer orders, the more revenue they typically generate.</t>
  </si>
  <si>
    <t>These insights highlight the importance of retaining high-frequency customers while using targeted strategies to encourage medium and low-frequency customers to order more consistently.</t>
  </si>
  <si>
    <t>High-value customers place the most frequent orders, medium-value customers order moderately, and low-value customers order rarely — showing a clear link between customer value and ordering frequency.</t>
  </si>
  <si>
    <t>Count of EmployeeID</t>
  </si>
  <si>
    <r>
      <t xml:space="preserve">The employee distribution is concentrated only in </t>
    </r>
    <r>
      <rPr>
        <b/>
        <sz val="11"/>
        <color theme="1"/>
        <rFont val="Calibri"/>
        <family val="2"/>
        <scheme val="minor"/>
      </rPr>
      <t>two countries</t>
    </r>
    <r>
      <rPr>
        <sz val="11"/>
        <color theme="1"/>
        <rFont val="Calibri"/>
        <family val="2"/>
        <scheme val="minor"/>
      </rPr>
      <t xml:space="preserve"> — the </t>
    </r>
    <r>
      <rPr>
        <b/>
        <sz val="11"/>
        <color theme="1"/>
        <rFont val="Calibri"/>
        <family val="2"/>
        <scheme val="minor"/>
      </rPr>
      <t>USA (5 employees)</t>
    </r>
    <r>
      <rPr>
        <sz val="11"/>
        <color theme="1"/>
        <rFont val="Calibri"/>
        <family val="2"/>
        <scheme val="minor"/>
      </rPr>
      <t xml:space="preserve"> and the </t>
    </r>
    <r>
      <rPr>
        <b/>
        <sz val="11"/>
        <color theme="1"/>
        <rFont val="Calibri"/>
        <family val="2"/>
        <scheme val="minor"/>
      </rPr>
      <t>UK (4 employees)</t>
    </r>
    <r>
      <rPr>
        <sz val="11"/>
        <color theme="1"/>
        <rFont val="Calibri"/>
        <family val="2"/>
        <scheme val="minor"/>
      </rPr>
      <t>.</t>
    </r>
  </si>
  <si>
    <t>This indicates that the company’s workforce is almost evenly split between these two regions, suggesting a strong operational presence in both countries.</t>
  </si>
  <si>
    <t>The lack of employees in other regions shows that business and sales operations may be heavily focused within these two markets.</t>
  </si>
  <si>
    <r>
      <t xml:space="preserve">The majority of employees (6 out of 9) are </t>
    </r>
    <r>
      <rPr>
        <b/>
        <sz val="11"/>
        <color theme="1"/>
        <rFont val="Calibri"/>
        <family val="2"/>
        <scheme val="minor"/>
      </rPr>
      <t>Sales Representatives</t>
    </r>
    <r>
      <rPr>
        <sz val="11"/>
        <color theme="1"/>
        <rFont val="Calibri"/>
        <family val="2"/>
        <scheme val="minor"/>
      </rPr>
      <t>, showing that the organisation is primarily sales-driven with a strong focus on frontline selling activities.</t>
    </r>
  </si>
  <si>
    <r>
      <t xml:space="preserve">Higher-level roles such as </t>
    </r>
    <r>
      <rPr>
        <b/>
        <sz val="11"/>
        <color theme="1"/>
        <rFont val="Calibri"/>
        <family val="2"/>
        <scheme val="minor"/>
      </rPr>
      <t>Sales Manager</t>
    </r>
    <r>
      <rPr>
        <sz val="11"/>
        <color theme="1"/>
        <rFont val="Calibri"/>
        <family val="2"/>
        <scheme val="minor"/>
      </rPr>
      <t xml:space="preserve">, </t>
    </r>
    <r>
      <rPr>
        <b/>
        <sz val="11"/>
        <color theme="1"/>
        <rFont val="Calibri"/>
        <family val="2"/>
        <scheme val="minor"/>
      </rPr>
      <t>Vice President of Sales</t>
    </r>
    <r>
      <rPr>
        <sz val="11"/>
        <color theme="1"/>
        <rFont val="Calibri"/>
        <family val="2"/>
        <scheme val="minor"/>
      </rPr>
      <t xml:space="preserve">, and </t>
    </r>
    <r>
      <rPr>
        <b/>
        <sz val="11"/>
        <color theme="1"/>
        <rFont val="Calibri"/>
        <family val="2"/>
        <scheme val="minor"/>
      </rPr>
      <t>Inside Sales Coordinator</t>
    </r>
    <r>
      <rPr>
        <sz val="11"/>
        <color theme="1"/>
        <rFont val="Calibri"/>
        <family val="2"/>
        <scheme val="minor"/>
      </rPr>
      <t xml:space="preserve"> each have only </t>
    </r>
    <r>
      <rPr>
        <b/>
        <sz val="11"/>
        <color theme="1"/>
        <rFont val="Calibri"/>
        <family val="2"/>
        <scheme val="minor"/>
      </rPr>
      <t>1 employee</t>
    </r>
    <r>
      <rPr>
        <sz val="11"/>
        <color theme="1"/>
        <rFont val="Calibri"/>
        <family val="2"/>
        <scheme val="minor"/>
      </rPr>
      <t>, indicating a lean management structure with minimal administrative overhead.</t>
    </r>
  </si>
  <si>
    <r>
      <t xml:space="preserve">This reflects a </t>
    </r>
    <r>
      <rPr>
        <b/>
        <sz val="11"/>
        <color theme="1"/>
        <rFont val="Calibri"/>
        <family val="2"/>
        <scheme val="minor"/>
      </rPr>
      <t>flat hierarchy</t>
    </r>
    <r>
      <rPr>
        <sz val="11"/>
        <color theme="1"/>
        <rFont val="Calibri"/>
        <family val="2"/>
        <scheme val="minor"/>
      </rPr>
      <t xml:space="preserve"> where most of the workforce is positioned directly in sales execution, supported by very few managerial or specialised roles.</t>
    </r>
  </si>
  <si>
    <t>Geographic Distribution Insight</t>
  </si>
  <si>
    <t>Title-wise Distribution Insight</t>
  </si>
  <si>
    <t>The company’s workforce is split between the USA and UK, with most employees serving as Sales Representatives and only a few holding managerial or executive positions.</t>
  </si>
  <si>
    <t>HireYear</t>
  </si>
  <si>
    <t>1992</t>
  </si>
  <si>
    <t>1993</t>
  </si>
  <si>
    <t>1994</t>
  </si>
  <si>
    <t>Senior roles were hired earlier</t>
  </si>
  <si>
    <r>
      <t xml:space="preserve">Roles like </t>
    </r>
    <r>
      <rPr>
        <b/>
        <sz val="11"/>
        <color theme="1"/>
        <rFont val="Calibri"/>
        <family val="2"/>
        <scheme val="minor"/>
      </rPr>
      <t>Vice President, Sales</t>
    </r>
    <r>
      <rPr>
        <sz val="11"/>
        <color theme="1"/>
        <rFont val="Calibri"/>
        <family val="2"/>
        <scheme val="minor"/>
      </rPr>
      <t xml:space="preserve"> and </t>
    </r>
    <r>
      <rPr>
        <b/>
        <sz val="11"/>
        <color theme="1"/>
        <rFont val="Calibri"/>
        <family val="2"/>
        <scheme val="minor"/>
      </rPr>
      <t>Sales Manager</t>
    </r>
    <r>
      <rPr>
        <sz val="11"/>
        <color theme="1"/>
        <rFont val="Calibri"/>
        <family val="2"/>
        <scheme val="minor"/>
      </rPr>
      <t xml:space="preserve"> have the </t>
    </r>
    <r>
      <rPr>
        <b/>
        <sz val="11"/>
        <color theme="1"/>
        <rFont val="Calibri"/>
        <family val="2"/>
        <scheme val="minor"/>
      </rPr>
      <t>earliest hire dates</t>
    </r>
    <r>
      <rPr>
        <sz val="11"/>
        <color theme="1"/>
        <rFont val="Calibri"/>
        <family val="2"/>
        <scheme val="minor"/>
      </rPr>
      <t>, indicating that leadership positions were filled long ago and have remained stable with very low turnover.</t>
    </r>
  </si>
  <si>
    <t>Sales Representatives show a spread of hire dates across multiple years.</t>
  </si>
  <si>
    <t>This suggests:</t>
  </si>
  <si>
    <t>ongoing hiring to support sales demand</t>
  </si>
  <si>
    <t>periodic expansion of the sales team</t>
  </si>
  <si>
    <t>higher turnover compared to leadership roles</t>
  </si>
  <si>
    <t>This role shows a more recent hire date, indicating a newer organisational need—possibly to support increased order volume or customer communication.</t>
  </si>
  <si>
    <t>Sales Representatives were hired consistently over several years</t>
  </si>
  <si>
    <t>Inside Sales Coordinator was hired recently</t>
  </si>
  <si>
    <t>Higher-level roles were hired earlier and remain stable, while Sales Representatives were hired steadily over multiple years, showing continuous expansion of the sales workforce.</t>
  </si>
  <si>
    <t>Insights Based on Employee Title Distribution</t>
  </si>
  <si>
    <t>Sales Representatives dominate the workforce (6 out of 9 employees).</t>
  </si>
  <si>
    <r>
      <t xml:space="preserve">This clearly shows the organisation is </t>
    </r>
    <r>
      <rPr>
        <b/>
        <sz val="11"/>
        <color theme="1"/>
        <rFont val="Calibri"/>
        <family val="2"/>
        <scheme val="minor"/>
      </rPr>
      <t>sales-driven with a strong frontline sales team</t>
    </r>
    <r>
      <rPr>
        <sz val="11"/>
        <color theme="1"/>
        <rFont val="Calibri"/>
        <family val="2"/>
        <scheme val="minor"/>
      </rPr>
      <t>.</t>
    </r>
  </si>
  <si>
    <r>
      <t xml:space="preserve">Only </t>
    </r>
    <r>
      <rPr>
        <b/>
        <sz val="11"/>
        <color theme="1"/>
        <rFont val="Calibri"/>
        <family val="2"/>
        <scheme val="minor"/>
      </rPr>
      <t>one Sales Manager</t>
    </r>
    <r>
      <rPr>
        <sz val="11"/>
        <color theme="1"/>
        <rFont val="Calibri"/>
        <family val="2"/>
        <scheme val="minor"/>
      </rPr>
      <t xml:space="preserve"> and </t>
    </r>
    <r>
      <rPr>
        <b/>
        <sz val="11"/>
        <color theme="1"/>
        <rFont val="Calibri"/>
        <family val="2"/>
        <scheme val="minor"/>
      </rPr>
      <t>one Vice President</t>
    </r>
    <r>
      <rPr>
        <sz val="11"/>
        <color theme="1"/>
        <rFont val="Calibri"/>
        <family val="2"/>
        <scheme val="minor"/>
      </rPr>
      <t xml:space="preserve"> exist → the company has a </t>
    </r>
    <r>
      <rPr>
        <b/>
        <sz val="11"/>
        <color theme="1"/>
        <rFont val="Calibri"/>
        <family val="2"/>
        <scheme val="minor"/>
      </rPr>
      <t>flat organisational hierarchy</t>
    </r>
    <r>
      <rPr>
        <sz val="11"/>
        <color theme="1"/>
        <rFont val="Calibri"/>
        <family val="2"/>
        <scheme val="minor"/>
      </rPr>
      <t xml:space="preserve"> with very few layers of management.</t>
    </r>
  </si>
  <si>
    <r>
      <t xml:space="preserve">Just </t>
    </r>
    <r>
      <rPr>
        <b/>
        <sz val="11"/>
        <color theme="1"/>
        <rFont val="Calibri"/>
        <family val="2"/>
        <scheme val="minor"/>
      </rPr>
      <t>one Inside Sales Coordinator</t>
    </r>
    <r>
      <rPr>
        <sz val="11"/>
        <color theme="1"/>
        <rFont val="Calibri"/>
        <family val="2"/>
        <scheme val="minor"/>
      </rPr>
      <t xml:space="preserve"> → minimal administrative/support roles.</t>
    </r>
  </si>
  <si>
    <t>What this tells us:</t>
  </si>
  <si>
    <t>Insights Based on Courtesy Title Distribution</t>
  </si>
  <si>
    <r>
      <t>Ms. (4 employees)</t>
    </r>
    <r>
      <rPr>
        <sz val="11"/>
        <color theme="1"/>
        <rFont val="Calibri"/>
        <family val="2"/>
        <scheme val="minor"/>
      </rPr>
      <t xml:space="preserve"> is the most common courtesy title → indicating </t>
    </r>
    <r>
      <rPr>
        <b/>
        <sz val="11"/>
        <color theme="1"/>
        <rFont val="Calibri"/>
        <family val="2"/>
        <scheme val="minor"/>
      </rPr>
      <t>more female employees</t>
    </r>
    <r>
      <rPr>
        <sz val="11"/>
        <color theme="1"/>
        <rFont val="Calibri"/>
        <family val="2"/>
        <scheme val="minor"/>
      </rPr>
      <t xml:space="preserve"> in the organisation.</t>
    </r>
  </si>
  <si>
    <r>
      <t>Mr. (3 employees)</t>
    </r>
    <r>
      <rPr>
        <sz val="11"/>
        <color theme="1"/>
        <rFont val="Calibri"/>
        <family val="2"/>
        <scheme val="minor"/>
      </rPr>
      <t xml:space="preserve"> shows a sizeable male workforce as well.</t>
    </r>
  </si>
  <si>
    <r>
      <t>Mrs. (1 employee)</t>
    </r>
    <r>
      <rPr>
        <sz val="11"/>
        <color theme="1"/>
        <rFont val="Calibri"/>
        <family val="2"/>
        <scheme val="minor"/>
      </rPr>
      <t xml:space="preserve"> and </t>
    </r>
    <r>
      <rPr>
        <b/>
        <sz val="11"/>
        <color theme="1"/>
        <rFont val="Calibri"/>
        <family val="2"/>
        <scheme val="minor"/>
      </rPr>
      <t>Dr. (1 employee)</t>
    </r>
    <r>
      <rPr>
        <sz val="11"/>
        <color theme="1"/>
        <rFont val="Calibri"/>
        <family val="2"/>
        <scheme val="minor"/>
      </rPr>
      <t xml:space="preserve"> are rare.</t>
    </r>
  </si>
  <si>
    <r>
      <t xml:space="preserve">The presence of </t>
    </r>
    <r>
      <rPr>
        <b/>
        <sz val="11"/>
        <color theme="1"/>
        <rFont val="Calibri"/>
        <family val="2"/>
        <scheme val="minor"/>
      </rPr>
      <t>Dr.</t>
    </r>
    <r>
      <rPr>
        <sz val="11"/>
        <color theme="1"/>
        <rFont val="Calibri"/>
        <family val="2"/>
        <scheme val="minor"/>
      </rPr>
      <t xml:space="preserve"> suggests at least one employee holds a </t>
    </r>
    <r>
      <rPr>
        <b/>
        <sz val="11"/>
        <color theme="1"/>
        <rFont val="Calibri"/>
        <family val="2"/>
        <scheme val="minor"/>
      </rPr>
      <t>higher academic qualification</t>
    </r>
    <r>
      <rPr>
        <sz val="11"/>
        <color theme="1"/>
        <rFont val="Calibri"/>
        <family val="2"/>
        <scheme val="minor"/>
      </rPr>
      <t>, likely in a leadership or specialised role.</t>
    </r>
  </si>
  <si>
    <t xml:space="preserve">     The company has a fairly balanced gender distribution with a slight female majority and a small number of highly credentialed staff.</t>
  </si>
  <si>
    <t xml:space="preserve">     Most employees work directly in sales execution, while leadership and support functions remain very lean.</t>
  </si>
  <si>
    <t>The workforce is dominated by Sales Representatives, supported by very few managerial and administrative roles. Courtesy titles show a slightly higher number of female employees (Ms./Mrs.) and indicate the presence of one highly qualified employee using the title “Dr.”.</t>
  </si>
  <si>
    <t>TotalSalesPerOrder</t>
  </si>
  <si>
    <t>TotalSales</t>
  </si>
  <si>
    <t>Price vs Total Sales</t>
  </si>
  <si>
    <t>UnitsInStock vs Total Sales</t>
  </si>
  <si>
    <t>UnitsOnOrder vs Total Sales</t>
  </si>
  <si>
    <t>Price shows a strong positive correlation with sales (0.9), meaning high-priced products contribute most to revenue. However, stock levels and units on order show weak negative correlations (~–0.2), indicating they do not reliably predict sales performance. Revenue is driven primarily by product pricing rather than inventory levels.</t>
  </si>
  <si>
    <t>1. PRICE vs TOTAL SALES — Insight</t>
  </si>
  <si>
    <t>Correlation: +0.9 (Strong Positive Relationship)</t>
  </si>
  <si>
    <t>Higher‐priced products tend to generate higher total sales value.</t>
  </si>
  <si>
    <r>
      <t xml:space="preserve">Most of the sales revenue is driven by </t>
    </r>
    <r>
      <rPr>
        <b/>
        <sz val="11"/>
        <color theme="1"/>
        <rFont val="Calibri"/>
        <family val="2"/>
        <scheme val="minor"/>
      </rPr>
      <t>mid-to-high price products</t>
    </r>
    <r>
      <rPr>
        <sz val="11"/>
        <color theme="1"/>
        <rFont val="Calibri"/>
        <family val="2"/>
        <scheme val="minor"/>
      </rPr>
      <t>.</t>
    </r>
  </si>
  <si>
    <t>Very cheap/low-priced items contribute significantly less to total revenue.</t>
  </si>
  <si>
    <t>Even though the quantity sold may be small for some expensive items,</t>
  </si>
  <si>
    <r>
      <t>their high price strongly increases total revenue</t>
    </r>
    <r>
      <rPr>
        <sz val="11"/>
        <color theme="1"/>
        <rFont val="Calibri"/>
        <family val="2"/>
        <scheme val="minor"/>
      </rPr>
      <t>.</t>
    </r>
  </si>
  <si>
    <t>Conclusion:</t>
  </si>
  <si>
    <t>2. UNITS IN STOCK vs TOTAL SALES — Insight</t>
  </si>
  <si>
    <t>Correlation: –0.2 (Weak Negative Relationship)</t>
  </si>
  <si>
    <r>
      <t xml:space="preserve">Having </t>
    </r>
    <r>
      <rPr>
        <b/>
        <sz val="11"/>
        <color theme="1"/>
        <rFont val="Calibri"/>
        <family val="2"/>
        <scheme val="minor"/>
      </rPr>
      <t>more stock does not guarantee higher sales</t>
    </r>
    <r>
      <rPr>
        <sz val="11"/>
        <color theme="1"/>
        <rFont val="Calibri"/>
        <family val="2"/>
        <scheme val="minor"/>
      </rPr>
      <t>.</t>
    </r>
  </si>
  <si>
    <r>
      <t xml:space="preserve">Many products with large inventory remain </t>
    </r>
    <r>
      <rPr>
        <b/>
        <sz val="11"/>
        <color theme="1"/>
        <rFont val="Calibri"/>
        <family val="2"/>
        <scheme val="minor"/>
      </rPr>
      <t>slow moving</t>
    </r>
    <r>
      <rPr>
        <sz val="11"/>
        <color theme="1"/>
        <rFont val="Calibri"/>
        <family val="2"/>
        <scheme val="minor"/>
      </rPr>
      <t>.</t>
    </r>
  </si>
  <si>
    <t>Products with low stock also do not necessarily have high demand.</t>
  </si>
  <si>
    <r>
      <t xml:space="preserve">Stock levels appear to be </t>
    </r>
    <r>
      <rPr>
        <b/>
        <sz val="11"/>
        <color theme="1"/>
        <rFont val="Calibri"/>
        <family val="2"/>
        <scheme val="minor"/>
      </rPr>
      <t>supply-driven</t>
    </r>
    <r>
      <rPr>
        <sz val="11"/>
        <color theme="1"/>
        <rFont val="Calibri"/>
        <family val="2"/>
        <scheme val="minor"/>
      </rPr>
      <t>, not demand-driven.</t>
    </r>
  </si>
  <si>
    <t>3. UNITS ON ORDER vs TOTAL SALES — Insight</t>
  </si>
  <si>
    <r>
      <t xml:space="preserve">Products with </t>
    </r>
    <r>
      <rPr>
        <b/>
        <sz val="11"/>
        <color theme="1"/>
        <rFont val="Calibri"/>
        <family val="2"/>
        <scheme val="minor"/>
      </rPr>
      <t>more units on order are not necessarily high sellers</t>
    </r>
    <r>
      <rPr>
        <sz val="11"/>
        <color theme="1"/>
        <rFont val="Calibri"/>
        <family val="2"/>
        <scheme val="minor"/>
      </rPr>
      <t>.</t>
    </r>
  </si>
  <si>
    <r>
      <t xml:space="preserve">Sometimes units are ordered to </t>
    </r>
    <r>
      <rPr>
        <b/>
        <sz val="11"/>
        <color theme="1"/>
        <rFont val="Calibri"/>
        <family val="2"/>
        <scheme val="minor"/>
      </rPr>
      <t>replenish slow-moving or low-selling inventory</t>
    </r>
    <r>
      <rPr>
        <sz val="11"/>
        <color theme="1"/>
        <rFont val="Calibri"/>
        <family val="2"/>
        <scheme val="minor"/>
      </rPr>
      <t>.</t>
    </r>
  </si>
  <si>
    <r>
      <t xml:space="preserve">There is </t>
    </r>
    <r>
      <rPr>
        <b/>
        <sz val="11"/>
        <color theme="1"/>
        <rFont val="Calibri"/>
        <family val="2"/>
        <scheme val="minor"/>
      </rPr>
      <t>no upward pattern</t>
    </r>
    <r>
      <rPr>
        <sz val="11"/>
        <color theme="1"/>
        <rFont val="Calibri"/>
        <family val="2"/>
        <scheme val="minor"/>
      </rPr>
      <t xml:space="preserve"> connecting reorders with demand.</t>
    </r>
  </si>
  <si>
    <r>
      <t xml:space="preserve">Units currently on order </t>
    </r>
    <r>
      <rPr>
        <b/>
        <sz val="11"/>
        <color theme="1"/>
        <rFont val="Calibri"/>
        <family val="2"/>
        <scheme val="minor"/>
      </rPr>
      <t>do not reflect sales performance</t>
    </r>
    <r>
      <rPr>
        <sz val="11"/>
        <color theme="1"/>
        <rFont val="Calibri"/>
        <family val="2"/>
        <scheme val="minor"/>
      </rPr>
      <t>.</t>
    </r>
  </si>
  <si>
    <r>
      <rPr>
        <b/>
        <sz val="11"/>
        <color theme="1"/>
        <rFont val="Calibri"/>
        <family val="2"/>
        <scheme val="minor"/>
      </rPr>
      <t>No meaningful relationship</t>
    </r>
    <r>
      <rPr>
        <sz val="11"/>
        <color theme="1"/>
        <rFont val="Calibri"/>
        <family val="2"/>
        <scheme val="minor"/>
      </rPr>
      <t xml:space="preserve"> between how much stock is kept and how much a product sells.</t>
    </r>
  </si>
  <si>
    <r>
      <rPr>
        <b/>
        <sz val="11"/>
        <color theme="1"/>
        <rFont val="Calibri"/>
        <family val="2"/>
        <scheme val="minor"/>
      </rPr>
      <t>Price is a major driver of total revenue.</t>
    </r>
    <r>
      <rPr>
        <sz val="11"/>
        <color theme="1"/>
        <rFont val="Calibri"/>
        <family val="2"/>
        <scheme val="minor"/>
      </rPr>
      <t xml:space="preserve"> Higher price → higher total sales.</t>
    </r>
  </si>
  <si>
    <t>Month</t>
  </si>
  <si>
    <t>Sum of Quantity</t>
  </si>
  <si>
    <t>Demand rises steadily from January to May</t>
  </si>
  <si>
    <t>The first 5 months (Jan–May) show increasing order volumes.</t>
  </si>
  <si>
    <t>May is the peak month with the highest demand (7017 units).</t>
  </si>
  <si>
    <t>This indicates strong pre-summer buying trends.</t>
  </si>
  <si>
    <r>
      <t xml:space="preserve">After the peak, demand </t>
    </r>
    <r>
      <rPr>
        <b/>
        <sz val="11"/>
        <color theme="1"/>
        <rFont val="Calibri"/>
        <family val="2"/>
        <scheme val="minor"/>
      </rPr>
      <t>falls sharply in June</t>
    </r>
    <r>
      <rPr>
        <sz val="11"/>
        <color theme="1"/>
        <rFont val="Calibri"/>
        <family val="2"/>
        <scheme val="minor"/>
      </rPr>
      <t>.</t>
    </r>
  </si>
  <si>
    <t>July shows the lowest demand of the year (1635 units).</t>
  </si>
  <si>
    <t>This suggests a seasonal slump — possibly due to lower business activity during mid-year.</t>
  </si>
  <si>
    <t>From August to November, demand increases again.</t>
  </si>
  <si>
    <r>
      <t>November shows another mini-peak (4326 units)</t>
    </r>
    <r>
      <rPr>
        <sz val="11"/>
        <color theme="1"/>
        <rFont val="Calibri"/>
        <family val="2"/>
        <scheme val="minor"/>
      </rPr>
      <t>, likely holiday or year-end purchasing behaviour.</t>
    </r>
  </si>
  <si>
    <t>December stays moderate, not too high or low (3682 units).</t>
  </si>
  <si>
    <t>Indicates stable year-end ordering.</t>
  </si>
  <si>
    <t>A sharp drop in June and July</t>
  </si>
  <si>
    <t>Gradual recovery from August onward</t>
  </si>
  <si>
    <t>December stabilizes</t>
  </si>
  <si>
    <t>Product demand shows a clear seasonal pattern, rising steadily from January to a peak in May, followed by a sharp decline in June–July, the lowest-demand period. Demand gradually recovers from August and strengthens toward November, with December stabilizing at moderate levels. This pattern suggests strong early-year sales cycles and a predictable mid-year slowdown.</t>
  </si>
  <si>
    <t>1. Clear High-Revenue Outliers Identified</t>
  </si>
  <si>
    <t>From the scatter plot and TotalSales sorting:</t>
  </si>
  <si>
    <r>
      <t xml:space="preserve">Product IDs </t>
    </r>
    <r>
      <rPr>
        <b/>
        <sz val="11"/>
        <color theme="1"/>
        <rFont val="Calibri"/>
        <family val="2"/>
        <scheme val="minor"/>
      </rPr>
      <t>38, 29, and 59</t>
    </r>
    <r>
      <rPr>
        <sz val="11"/>
        <color theme="1"/>
        <rFont val="Calibri"/>
        <family val="2"/>
        <scheme val="minor"/>
      </rPr>
      <t xml:space="preserve"> generate </t>
    </r>
    <r>
      <rPr>
        <b/>
        <sz val="11"/>
        <color theme="1"/>
        <rFont val="Calibri"/>
        <family val="2"/>
        <scheme val="minor"/>
      </rPr>
      <t>very high revenue</t>
    </r>
    <r>
      <rPr>
        <sz val="11"/>
        <color theme="1"/>
        <rFont val="Calibri"/>
        <family val="2"/>
        <scheme val="minor"/>
      </rPr>
      <t>, standing far above all other products.</t>
    </r>
  </si>
  <si>
    <r>
      <t xml:space="preserve">These appear as </t>
    </r>
    <r>
      <rPr>
        <b/>
        <sz val="11"/>
        <color theme="1"/>
        <rFont val="Calibri"/>
        <family val="2"/>
        <scheme val="minor"/>
      </rPr>
      <t>clear positive outliers</t>
    </r>
    <r>
      <rPr>
        <sz val="11"/>
        <color theme="1"/>
        <rFont val="Calibri"/>
        <family val="2"/>
        <scheme val="minor"/>
      </rPr>
      <t xml:space="preserve"> (dots at the top of the chart).</t>
    </r>
  </si>
  <si>
    <t>They indicate strong demand or premium pricing success.</t>
  </si>
  <si>
    <t>This means:</t>
  </si>
  <si>
    <t>A small group of products is driving a disproportionately large share of total revenue.</t>
  </si>
  <si>
    <r>
      <t xml:space="preserve">Most items fall in the </t>
    </r>
    <r>
      <rPr>
        <b/>
        <sz val="11"/>
        <color theme="1"/>
        <rFont val="Calibri"/>
        <family val="2"/>
        <scheme val="minor"/>
      </rPr>
      <t>0–20,000 sales</t>
    </r>
    <r>
      <rPr>
        <sz val="11"/>
        <color theme="1"/>
        <rFont val="Calibri"/>
        <family val="2"/>
        <scheme val="minor"/>
      </rPr>
      <t xml:space="preserve"> range.</t>
    </r>
  </si>
  <si>
    <r>
      <t xml:space="preserve">The box plot shows a </t>
    </r>
    <r>
      <rPr>
        <b/>
        <sz val="11"/>
        <color theme="1"/>
        <rFont val="Calibri"/>
        <family val="2"/>
        <scheme val="minor"/>
      </rPr>
      <t>tight cluster</t>
    </r>
    <r>
      <rPr>
        <sz val="11"/>
        <color theme="1"/>
        <rFont val="Calibri"/>
        <family val="2"/>
        <scheme val="minor"/>
      </rPr>
      <t>, meaning demand is stable but not very high for most products.</t>
    </r>
  </si>
  <si>
    <t>Only a few top-performing items are making a big impact, while the rest generate average revenue.</t>
  </si>
  <si>
    <r>
      <t xml:space="preserve">Revenue is driven </t>
    </r>
    <r>
      <rPr>
        <b/>
        <sz val="11"/>
        <color theme="1"/>
        <rFont val="Calibri"/>
        <family val="2"/>
        <scheme val="minor"/>
      </rPr>
      <t>more by price</t>
    </r>
    <r>
      <rPr>
        <sz val="11"/>
        <color theme="1"/>
        <rFont val="Calibri"/>
        <family val="2"/>
        <scheme val="minor"/>
      </rPr>
      <t xml:space="preserve"> than by available stock or reorder quantities.</t>
    </r>
  </si>
  <si>
    <r>
      <t xml:space="preserve">Inventory decisions are </t>
    </r>
    <r>
      <rPr>
        <b/>
        <sz val="11"/>
        <color theme="1"/>
        <rFont val="Calibri"/>
        <family val="2"/>
        <scheme val="minor"/>
      </rPr>
      <t>not strongly linked</t>
    </r>
    <r>
      <rPr>
        <sz val="11"/>
        <color theme="1"/>
        <rFont val="Calibri"/>
        <family val="2"/>
        <scheme val="minor"/>
      </rPr>
      <t xml:space="preserve"> to actual demand patterns.</t>
    </r>
  </si>
  <si>
    <r>
      <t xml:space="preserve">Several products with </t>
    </r>
    <r>
      <rPr>
        <b/>
        <sz val="11"/>
        <color theme="1"/>
        <rFont val="Calibri"/>
        <family val="2"/>
        <scheme val="minor"/>
      </rPr>
      <t>high UnitsInStock</t>
    </r>
    <r>
      <rPr>
        <sz val="11"/>
        <color theme="1"/>
        <rFont val="Calibri"/>
        <family val="2"/>
        <scheme val="minor"/>
      </rPr>
      <t xml:space="preserve"> show </t>
    </r>
    <r>
      <rPr>
        <b/>
        <sz val="11"/>
        <color theme="1"/>
        <rFont val="Calibri"/>
        <family val="2"/>
        <scheme val="minor"/>
      </rPr>
      <t>very low TotalSales</t>
    </r>
    <r>
      <rPr>
        <sz val="11"/>
        <color theme="1"/>
        <rFont val="Calibri"/>
        <family val="2"/>
        <scheme val="minor"/>
      </rPr>
      <t>.</t>
    </r>
  </si>
  <si>
    <t>These bottom-performing items signal:</t>
  </si>
  <si>
    <t>overstocking</t>
  </si>
  <si>
    <t>weak market fit</t>
  </si>
  <si>
    <t>possible discontinuation candidates</t>
  </si>
  <si>
    <t>Inventory money might be locked in products that do not sell well.</t>
  </si>
  <si>
    <t>A small set of high-priced products create strong positive revenue anomalies, significantly outperforming the rest. Meanwhile, several low-demand products show underperformance despite adequate stock, revealing inefficiencies in inventory planning and demand forecasting. Strong price–sales correlation indicates pricing strategy has major influence on revenue, while stock levels and ordering patterns show weak alignment with actual sales</t>
  </si>
  <si>
    <t>2. Majority of Products Cluster at Low-to-Medium Sales Levels</t>
  </si>
  <si>
    <t>Key insight from correlations:</t>
  </si>
  <si>
    <t>4. Low-Revenue Products Form Negative Outliers</t>
  </si>
  <si>
    <t>Overall Insight (Write in your EDA Answer sheet)</t>
  </si>
  <si>
    <t>3. CORRELATION Analysis Confirms Anomalies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</si>
</sst>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b/>
      <sz val="13.5"/>
      <color theme="1"/>
      <name val="Calibri"/>
      <family val="2"/>
      <scheme val="minor"/>
    </font>
    <font>
      <sz val="8"/>
      <name val="Calibri"/>
      <family val="2"/>
      <scheme val="minor"/>
    </font>
    <font>
      <b/>
      <sz val="12"/>
      <color theme="1"/>
      <name val="Calibri"/>
      <family val="2"/>
      <scheme val="minor"/>
    </font>
    <font>
      <b/>
      <sz val="13"/>
      <color theme="1"/>
      <name val="Calibri"/>
      <family val="2"/>
      <scheme val="minor"/>
    </font>
  </fonts>
  <fills count="4">
    <fill>
      <patternFill patternType="none"/>
    </fill>
    <fill>
      <patternFill patternType="gray125"/>
    </fill>
    <fill>
      <patternFill patternType="solid">
        <fgColor rgb="FF33CCCC"/>
        <bgColor indexed="64"/>
      </patternFill>
    </fill>
    <fill>
      <patternFill patternType="solid">
        <fgColor theme="9"/>
        <bgColor indexed="64"/>
      </patternFill>
    </fill>
  </fills>
  <borders count="11">
    <border>
      <left/>
      <right/>
      <top/>
      <bottom/>
      <diagonal/>
    </border>
    <border>
      <left/>
      <right/>
      <top style="thin">
        <color theme="9" tint="0.39997558519241921"/>
      </top>
      <bottom style="thin">
        <color theme="9" tint="0.39997558519241921"/>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50">
    <xf numFmtId="0" fontId="0" fillId="0" borderId="0" xfId="0"/>
    <xf numFmtId="0" fontId="0" fillId="0" borderId="0" xfId="0" applyNumberFormat="1"/>
    <xf numFmtId="14" fontId="0" fillId="0" borderId="0" xfId="0" applyNumberFormat="1"/>
    <xf numFmtId="0" fontId="0" fillId="0" borderId="0" xfId="0" applyBorder="1"/>
    <xf numFmtId="0" fontId="0" fillId="0" borderId="1" xfId="0" applyFont="1" applyBorder="1"/>
    <xf numFmtId="0" fontId="0" fillId="0" borderId="0" xfId="0" pivotButton="1"/>
    <xf numFmtId="0" fontId="0" fillId="0" borderId="0" xfId="0" applyAlignment="1">
      <alignment horizontal="left"/>
    </xf>
    <xf numFmtId="0" fontId="1" fillId="0" borderId="0" xfId="0" applyFont="1"/>
    <xf numFmtId="0" fontId="2" fillId="0" borderId="0" xfId="0" applyFont="1" applyAlignment="1">
      <alignment vertical="center"/>
    </xf>
    <xf numFmtId="0" fontId="0" fillId="0" borderId="0" xfId="0" applyAlignment="1">
      <alignment horizontal="left" vertical="center" indent="1"/>
    </xf>
    <xf numFmtId="2" fontId="0" fillId="0" borderId="0" xfId="0" applyNumberFormat="1"/>
    <xf numFmtId="164" fontId="0" fillId="0" borderId="0" xfId="0" applyNumberFormat="1"/>
    <xf numFmtId="0" fontId="1" fillId="2" borderId="0" xfId="0" applyFont="1" applyFill="1"/>
    <xf numFmtId="0" fontId="0" fillId="2" borderId="0" xfId="0" applyFill="1" applyAlignment="1">
      <alignment horizontal="left"/>
    </xf>
    <xf numFmtId="0" fontId="0" fillId="2" borderId="0" xfId="0" applyNumberFormat="1" applyFill="1"/>
    <xf numFmtId="0" fontId="0" fillId="0" borderId="0" xfId="0" applyNumberFormat="1" applyAlignment="1">
      <alignment horizontal="right"/>
    </xf>
    <xf numFmtId="0" fontId="0" fillId="0" borderId="2" xfId="0" applyNumberFormat="1" applyBorder="1" applyAlignment="1">
      <alignment horizontal="right"/>
    </xf>
    <xf numFmtId="0" fontId="0" fillId="0" borderId="2" xfId="0" applyFont="1" applyBorder="1"/>
    <xf numFmtId="0" fontId="0" fillId="0" borderId="2" xfId="0" applyBorder="1"/>
    <xf numFmtId="0" fontId="1" fillId="0" borderId="0" xfId="0" applyFont="1" applyAlignment="1">
      <alignment horizontal="left" vertical="center" indent="1"/>
    </xf>
    <xf numFmtId="0" fontId="1" fillId="0" borderId="2" xfId="0" applyFont="1" applyBorder="1"/>
    <xf numFmtId="164" fontId="0" fillId="0" borderId="2" xfId="0" applyNumberFormat="1" applyBorder="1"/>
    <xf numFmtId="0" fontId="0" fillId="0" borderId="2" xfId="0" applyBorder="1" applyAlignment="1">
      <alignment horizontal="left" vertical="center" indent="1"/>
    </xf>
    <xf numFmtId="0" fontId="1" fillId="0" borderId="2" xfId="0" applyFont="1" applyBorder="1" applyAlignment="1">
      <alignment horizontal="left" vertical="center" indent="1"/>
    </xf>
    <xf numFmtId="0" fontId="1" fillId="2" borderId="2" xfId="0" applyFont="1" applyFill="1" applyBorder="1"/>
    <xf numFmtId="0" fontId="1" fillId="3" borderId="2" xfId="0" applyFont="1" applyFill="1" applyBorder="1"/>
    <xf numFmtId="0" fontId="2" fillId="0" borderId="0" xfId="0" applyFont="1"/>
    <xf numFmtId="0" fontId="0" fillId="0" borderId="2" xfId="0" applyBorder="1" applyAlignment="1">
      <alignment wrapText="1"/>
    </xf>
    <xf numFmtId="10" fontId="0" fillId="0" borderId="0" xfId="0" applyNumberFormat="1"/>
    <xf numFmtId="0" fontId="0" fillId="0" borderId="2" xfId="0" applyFont="1" applyBorder="1" applyAlignment="1">
      <alignment wrapText="1"/>
    </xf>
    <xf numFmtId="0" fontId="0" fillId="0" borderId="2" xfId="0" applyNumberFormat="1" applyBorder="1" applyAlignment="1">
      <alignment horizontal="right" vertical="top"/>
    </xf>
    <xf numFmtId="2" fontId="1" fillId="2" borderId="0" xfId="0" applyNumberFormat="1" applyFont="1" applyFill="1" applyAlignment="1">
      <alignment horizontal="left"/>
    </xf>
    <xf numFmtId="0" fontId="1" fillId="0" borderId="3" xfId="0" applyFont="1" applyBorder="1"/>
    <xf numFmtId="0" fontId="1" fillId="0" borderId="4" xfId="0" applyFont="1" applyBorder="1"/>
    <xf numFmtId="0" fontId="1" fillId="0" borderId="5" xfId="0" applyFont="1"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2" fontId="1" fillId="2" borderId="2" xfId="0" applyNumberFormat="1" applyFont="1" applyFill="1" applyBorder="1" applyAlignment="1">
      <alignment horizontal="center"/>
    </xf>
    <xf numFmtId="164" fontId="0" fillId="0" borderId="7" xfId="0" applyNumberFormat="1" applyBorder="1"/>
    <xf numFmtId="164" fontId="0" fillId="0" borderId="10" xfId="0" applyNumberFormat="1" applyBorder="1"/>
    <xf numFmtId="0" fontId="1" fillId="2" borderId="3" xfId="0" applyFont="1" applyFill="1" applyBorder="1"/>
    <xf numFmtId="0" fontId="1" fillId="2" borderId="4" xfId="0" applyFont="1" applyFill="1" applyBorder="1"/>
    <xf numFmtId="0" fontId="1" fillId="2" borderId="5" xfId="0" applyFont="1" applyFill="1" applyBorder="1"/>
    <xf numFmtId="0" fontId="4" fillId="0" borderId="0" xfId="0" applyFont="1" applyAlignment="1">
      <alignment vertical="center"/>
    </xf>
    <xf numFmtId="0" fontId="0" fillId="0" borderId="0" xfId="0" applyAlignment="1">
      <alignment horizontal="left" vertical="center" indent="2"/>
    </xf>
    <xf numFmtId="0" fontId="5" fillId="0" borderId="0" xfId="0" applyFont="1" applyAlignment="1">
      <alignment vertical="center"/>
    </xf>
    <xf numFmtId="0" fontId="1" fillId="0" borderId="0" xfId="0" applyFont="1" applyAlignment="1">
      <alignment wrapText="1"/>
    </xf>
  </cellXfs>
  <cellStyles count="1">
    <cellStyle name="Normal" xfId="0" builtinId="0"/>
  </cellStyles>
  <dxfs count="91">
    <dxf>
      <font>
        <color rgb="FF006100"/>
      </font>
      <fill>
        <patternFill>
          <bgColor rgb="FFC6EFCE"/>
        </patternFill>
      </fill>
    </dxf>
    <dxf>
      <font>
        <color rgb="FF006100"/>
      </font>
      <fill>
        <patternFill>
          <bgColor rgb="FFC6EFCE"/>
        </patternFill>
      </fill>
    </dxf>
    <dxf>
      <font>
        <b/>
      </font>
      <fill>
        <patternFill patternType="solid">
          <fgColor indexed="64"/>
          <bgColor rgb="FF33CCCC"/>
        </patternFill>
      </fill>
      <border diagonalUp="0" diagonalDown="0" outline="0">
        <left style="thin">
          <color indexed="64"/>
        </left>
        <right style="thin">
          <color indexed="64"/>
        </right>
        <top/>
        <bottom/>
      </border>
    </dxf>
    <dxf>
      <numFmt numFmtId="164" formatCode="0.0"/>
      <border diagonalUp="0" diagonalDown="0" outline="0">
        <left style="thin">
          <color indexed="64"/>
        </left>
        <right/>
        <top style="thin">
          <color indexed="64"/>
        </top>
        <bottom style="thin">
          <color indexed="64"/>
        </bottom>
      </border>
    </dxf>
    <dxf>
      <border diagonalUp="0" diagonalDown="0" outline="0">
        <left style="thin">
          <color indexed="64"/>
        </left>
        <right style="thin">
          <color indexed="64"/>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numFmt numFmtId="0" formatCode="General"/>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font>
        <b/>
      </font>
      <border diagonalUp="0" diagonalDown="0" outline="0">
        <left style="thin">
          <color indexed="64"/>
        </left>
        <right style="thin">
          <color indexed="64"/>
        </right>
        <top/>
        <bottom/>
      </border>
    </dxf>
    <dxf>
      <numFmt numFmtId="164" formatCode="0.0"/>
    </dxf>
    <dxf>
      <numFmt numFmtId="2" formatCode="0.00"/>
    </dxf>
    <dxf>
      <numFmt numFmtId="164" formatCode="0.0"/>
    </dxf>
    <dxf>
      <numFmt numFmtId="164" formatCode="0.0"/>
    </dxf>
    <dxf>
      <numFmt numFmtId="2" formatCode="0.00"/>
    </dxf>
    <dxf>
      <numFmt numFmtId="164" formatCode="0.0"/>
    </dxf>
    <dxf>
      <numFmt numFmtId="164" formatCode="0.0"/>
    </dxf>
    <dxf>
      <numFmt numFmtId="2" formatCode="0.00"/>
    </dxf>
    <dxf>
      <numFmt numFmtId="164" formatCode="0.0"/>
    </dxf>
    <dxf>
      <numFmt numFmtId="14" formatCode="0.00%"/>
    </dxf>
    <dxf>
      <numFmt numFmtId="2" formatCode="0.00"/>
    </dxf>
    <dxf>
      <numFmt numFmtId="164" formatCode="0.0"/>
    </dxf>
    <dxf>
      <fill>
        <patternFill patternType="solid">
          <bgColor rgb="FF33CCCC"/>
        </patternFill>
      </fill>
    </dxf>
    <dxf>
      <fill>
        <patternFill patternType="solid">
          <bgColor rgb="FF33CCCC"/>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33CCCC"/>
      <color rgb="FF00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openxmlformats.org/officeDocument/2006/relationships/connections" Target="connections.xml"/><Relationship Id="rId30" Type="http://schemas.openxmlformats.org/officeDocument/2006/relationships/sheetMetadata" Target="metadata.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1.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[Capestone - Sales Analysis.xlsx]EDA Answer 2!Cities generate the most orders</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'EDA Answer 2'!$E$1</c:f>
              <c:strCache>
                <c:ptCount val="1"/>
                <c:pt idx="0">
                  <c:v>Total</c:v>
                </c:pt>
              </c:strCache>
            </c:strRef>
          </c:tx>
          <c:spPr>
            <a:solidFill>
              <a:schemeClr val="accent1"/>
            </a:solidFill>
            <a:ln>
              <a:noFill/>
            </a:ln>
            <a:effectLst/>
          </c:spPr>
          <c:invertIfNegative val="0"/>
          <c:cat>
            <c:strRef>
              <c:f>'EDA Answer 2'!$D$2:$D$72</c:f>
              <c:strCache>
                <c:ptCount val="70"/>
                <c:pt idx="0">
                  <c:v>Rio de Janeiro</c:v>
                </c:pt>
                <c:pt idx="1">
                  <c:v>London</c:v>
                </c:pt>
                <c:pt idx="2">
                  <c:v>SÃ£o Paulo</c:v>
                </c:pt>
                <c:pt idx="3">
                  <c:v>Boise</c:v>
                </c:pt>
                <c:pt idx="4">
                  <c:v>Graz</c:v>
                </c:pt>
                <c:pt idx="5">
                  <c:v>MÃ©xico D.F.</c:v>
                </c:pt>
                <c:pt idx="6">
                  <c:v>Cunewalde</c:v>
                </c:pt>
                <c:pt idx="7">
                  <c:v>Cork</c:v>
                </c:pt>
                <c:pt idx="8">
                  <c:v>BrÃ¤cke</c:v>
                </c:pt>
                <c:pt idx="9">
                  <c:v>Albuquerque</c:v>
                </c:pt>
                <c:pt idx="10">
                  <c:v>San CristÃ³bal</c:v>
                </c:pt>
                <c:pt idx="11">
                  <c:v>LuleÃ¥</c:v>
                </c:pt>
                <c:pt idx="12">
                  <c:v>Marseille</c:v>
                </c:pt>
                <c:pt idx="13">
                  <c:v>Buenos Aires</c:v>
                </c:pt>
                <c:pt idx="14">
                  <c:v>Frankfurt a.M.</c:v>
                </c:pt>
                <c:pt idx="15">
                  <c:v>Oulu</c:v>
                </c:pt>
                <c:pt idx="16">
                  <c:v>MÃ¼nchen</c:v>
                </c:pt>
                <c:pt idx="17">
                  <c:v>Seattle</c:v>
                </c:pt>
                <c:pt idx="18">
                  <c:v>Toulouse</c:v>
                </c:pt>
                <c:pt idx="19">
                  <c:v>Brandenburg</c:v>
                </c:pt>
                <c:pt idx="20">
                  <c:v>Barquisimeto</c:v>
                </c:pt>
                <c:pt idx="21">
                  <c:v>Tsawassen</c:v>
                </c:pt>
                <c:pt idx="22">
                  <c:v>Lisboa</c:v>
                </c:pt>
                <c:pt idx="23">
                  <c:v>Colchester</c:v>
                </c:pt>
                <c:pt idx="24">
                  <c:v>MontrÃ©al</c:v>
                </c:pt>
                <c:pt idx="25">
                  <c:v>Reggio Emilia</c:v>
                </c:pt>
                <c:pt idx="26">
                  <c:v>I. de Margarita</c:v>
                </c:pt>
                <c:pt idx="27">
                  <c:v>Charleroi</c:v>
                </c:pt>
                <c:pt idx="28">
                  <c:v>Portland</c:v>
                </c:pt>
                <c:pt idx="29">
                  <c:v>Ã…rhus</c:v>
                </c:pt>
                <c:pt idx="30">
                  <c:v>Eugene</c:v>
                </c:pt>
                <c:pt idx="31">
                  <c:v>Strasbourg</c:v>
                </c:pt>
                <c:pt idx="32">
                  <c:v>Salzburg</c:v>
                </c:pt>
                <c:pt idx="33">
                  <c:v>GenÃ¨ve</c:v>
                </c:pt>
                <c:pt idx="34">
                  <c:v>KÃ¶ln</c:v>
                </c:pt>
                <c:pt idx="35">
                  <c:v>Sevilla</c:v>
                </c:pt>
                <c:pt idx="36">
                  <c:v>Anchorage</c:v>
                </c:pt>
                <c:pt idx="37">
                  <c:v>Stuttgart</c:v>
                </c:pt>
                <c:pt idx="38">
                  <c:v>Cowes</c:v>
                </c:pt>
                <c:pt idx="39">
                  <c:v>Bergamo</c:v>
                </c:pt>
                <c:pt idx="40">
                  <c:v>Lyon</c:v>
                </c:pt>
                <c:pt idx="41">
                  <c:v>Resende</c:v>
                </c:pt>
                <c:pt idx="42">
                  <c:v>Campinas</c:v>
                </c:pt>
                <c:pt idx="43">
                  <c:v>Lander</c:v>
                </c:pt>
                <c:pt idx="44">
                  <c:v>Madrid</c:v>
                </c:pt>
                <c:pt idx="45">
                  <c:v>Bern</c:v>
                </c:pt>
                <c:pt idx="46">
                  <c:v>Bruxelles</c:v>
                </c:pt>
                <c:pt idx="47">
                  <c:v>Nantes</c:v>
                </c:pt>
                <c:pt idx="48">
                  <c:v>Mannheim</c:v>
                </c:pt>
                <c:pt idx="49">
                  <c:v>Warszawa</c:v>
                </c:pt>
                <c:pt idx="50">
                  <c:v>Helsinki</c:v>
                </c:pt>
                <c:pt idx="51">
                  <c:v>KÃ¸benhavn</c:v>
                </c:pt>
                <c:pt idx="52">
                  <c:v>MÃ¼nster</c:v>
                </c:pt>
                <c:pt idx="53">
                  <c:v>Stavern</c:v>
                </c:pt>
                <c:pt idx="54">
                  <c:v>Torino</c:v>
                </c:pt>
                <c:pt idx="55">
                  <c:v>Aachen</c:v>
                </c:pt>
                <c:pt idx="56">
                  <c:v>Berlin</c:v>
                </c:pt>
                <c:pt idx="57">
                  <c:v>Barcelona</c:v>
                </c:pt>
                <c:pt idx="58">
                  <c:v>Reims</c:v>
                </c:pt>
                <c:pt idx="59">
                  <c:v>Elgin</c:v>
                </c:pt>
                <c:pt idx="60">
                  <c:v>Leipzig</c:v>
                </c:pt>
                <c:pt idx="61">
                  <c:v>Lille</c:v>
                </c:pt>
                <c:pt idx="62">
                  <c:v>Paris</c:v>
                </c:pt>
                <c:pt idx="63">
                  <c:v>Versailles</c:v>
                </c:pt>
                <c:pt idx="64">
                  <c:v>San Francisco</c:v>
                </c:pt>
                <c:pt idx="65">
                  <c:v>Kirkland</c:v>
                </c:pt>
                <c:pt idx="66">
                  <c:v>Vancouver</c:v>
                </c:pt>
                <c:pt idx="67">
                  <c:v>Butte</c:v>
                </c:pt>
                <c:pt idx="68">
                  <c:v>Caracas</c:v>
                </c:pt>
                <c:pt idx="69">
                  <c:v>Walla Walla</c:v>
                </c:pt>
              </c:strCache>
            </c:strRef>
          </c:cat>
          <c:val>
            <c:numRef>
              <c:f>'EDA Answer 2'!$E$2:$E$72</c:f>
              <c:numCache>
                <c:formatCode>General</c:formatCode>
                <c:ptCount val="70"/>
                <c:pt idx="0">
                  <c:v>34</c:v>
                </c:pt>
                <c:pt idx="1">
                  <c:v>33</c:v>
                </c:pt>
                <c:pt idx="2">
                  <c:v>31</c:v>
                </c:pt>
                <c:pt idx="3">
                  <c:v>31</c:v>
                </c:pt>
                <c:pt idx="4">
                  <c:v>30</c:v>
                </c:pt>
                <c:pt idx="5">
                  <c:v>28</c:v>
                </c:pt>
                <c:pt idx="6">
                  <c:v>28</c:v>
                </c:pt>
                <c:pt idx="7">
                  <c:v>19</c:v>
                </c:pt>
                <c:pt idx="8">
                  <c:v>19</c:v>
                </c:pt>
                <c:pt idx="9">
                  <c:v>18</c:v>
                </c:pt>
                <c:pt idx="10">
                  <c:v>18</c:v>
                </c:pt>
                <c:pt idx="11">
                  <c:v>18</c:v>
                </c:pt>
                <c:pt idx="12">
                  <c:v>17</c:v>
                </c:pt>
                <c:pt idx="13">
                  <c:v>16</c:v>
                </c:pt>
                <c:pt idx="14">
                  <c:v>15</c:v>
                </c:pt>
                <c:pt idx="15">
                  <c:v>15</c:v>
                </c:pt>
                <c:pt idx="16">
                  <c:v>15</c:v>
                </c:pt>
                <c:pt idx="17">
                  <c:v>14</c:v>
                </c:pt>
                <c:pt idx="18">
                  <c:v>14</c:v>
                </c:pt>
                <c:pt idx="19">
                  <c:v>14</c:v>
                </c:pt>
                <c:pt idx="20">
                  <c:v>14</c:v>
                </c:pt>
                <c:pt idx="21">
                  <c:v>14</c:v>
                </c:pt>
                <c:pt idx="22">
                  <c:v>13</c:v>
                </c:pt>
                <c:pt idx="23">
                  <c:v>13</c:v>
                </c:pt>
                <c:pt idx="24">
                  <c:v>13</c:v>
                </c:pt>
                <c:pt idx="25">
                  <c:v>12</c:v>
                </c:pt>
                <c:pt idx="26">
                  <c:v>12</c:v>
                </c:pt>
                <c:pt idx="27">
                  <c:v>12</c:v>
                </c:pt>
                <c:pt idx="28">
                  <c:v>12</c:v>
                </c:pt>
                <c:pt idx="29">
                  <c:v>11</c:v>
                </c:pt>
                <c:pt idx="30">
                  <c:v>11</c:v>
                </c:pt>
                <c:pt idx="31">
                  <c:v>11</c:v>
                </c:pt>
                <c:pt idx="32">
                  <c:v>10</c:v>
                </c:pt>
                <c:pt idx="33">
                  <c:v>10</c:v>
                </c:pt>
                <c:pt idx="34">
                  <c:v>10</c:v>
                </c:pt>
                <c:pt idx="35">
                  <c:v>10</c:v>
                </c:pt>
                <c:pt idx="36">
                  <c:v>10</c:v>
                </c:pt>
                <c:pt idx="37">
                  <c:v>10</c:v>
                </c:pt>
                <c:pt idx="38">
                  <c:v>10</c:v>
                </c:pt>
                <c:pt idx="39">
                  <c:v>10</c:v>
                </c:pt>
                <c:pt idx="40">
                  <c:v>10</c:v>
                </c:pt>
                <c:pt idx="41">
                  <c:v>9</c:v>
                </c:pt>
                <c:pt idx="42">
                  <c:v>9</c:v>
                </c:pt>
                <c:pt idx="43">
                  <c:v>9</c:v>
                </c:pt>
                <c:pt idx="44">
                  <c:v>8</c:v>
                </c:pt>
                <c:pt idx="45">
                  <c:v>8</c:v>
                </c:pt>
                <c:pt idx="46">
                  <c:v>7</c:v>
                </c:pt>
                <c:pt idx="47">
                  <c:v>7</c:v>
                </c:pt>
                <c:pt idx="48">
                  <c:v>7</c:v>
                </c:pt>
                <c:pt idx="49">
                  <c:v>7</c:v>
                </c:pt>
                <c:pt idx="50">
                  <c:v>7</c:v>
                </c:pt>
                <c:pt idx="51">
                  <c:v>7</c:v>
                </c:pt>
                <c:pt idx="52">
                  <c:v>6</c:v>
                </c:pt>
                <c:pt idx="53">
                  <c:v>6</c:v>
                </c:pt>
                <c:pt idx="54">
                  <c:v>6</c:v>
                </c:pt>
                <c:pt idx="55">
                  <c:v>6</c:v>
                </c:pt>
                <c:pt idx="56">
                  <c:v>6</c:v>
                </c:pt>
                <c:pt idx="57">
                  <c:v>5</c:v>
                </c:pt>
                <c:pt idx="58">
                  <c:v>5</c:v>
                </c:pt>
                <c:pt idx="59">
                  <c:v>5</c:v>
                </c:pt>
                <c:pt idx="60">
                  <c:v>5</c:v>
                </c:pt>
                <c:pt idx="61">
                  <c:v>5</c:v>
                </c:pt>
                <c:pt idx="62">
                  <c:v>4</c:v>
                </c:pt>
                <c:pt idx="63">
                  <c:v>4</c:v>
                </c:pt>
                <c:pt idx="64">
                  <c:v>4</c:v>
                </c:pt>
                <c:pt idx="65">
                  <c:v>3</c:v>
                </c:pt>
                <c:pt idx="66">
                  <c:v>3</c:v>
                </c:pt>
                <c:pt idx="67">
                  <c:v>3</c:v>
                </c:pt>
                <c:pt idx="68">
                  <c:v>2</c:v>
                </c:pt>
                <c:pt idx="69">
                  <c:v>2</c:v>
                </c:pt>
              </c:numCache>
            </c:numRef>
          </c:val>
          <c:extLst>
            <c:ext xmlns:c16="http://schemas.microsoft.com/office/drawing/2014/chart" uri="{C3380CC4-5D6E-409C-BE32-E72D297353CC}">
              <c16:uniqueId val="{00000000-042D-4369-83DE-B37DD53C6589}"/>
            </c:ext>
          </c:extLst>
        </c:ser>
        <c:dLbls>
          <c:showLegendKey val="0"/>
          <c:showVal val="0"/>
          <c:showCatName val="0"/>
          <c:showSerName val="0"/>
          <c:showPercent val="0"/>
          <c:showBubbleSize val="0"/>
        </c:dLbls>
        <c:gapWidth val="182"/>
        <c:axId val="170783168"/>
        <c:axId val="170785664"/>
      </c:barChart>
      <c:catAx>
        <c:axId val="1707831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785664"/>
        <c:crosses val="autoZero"/>
        <c:auto val="1"/>
        <c:lblAlgn val="ctr"/>
        <c:lblOffset val="100"/>
        <c:noMultiLvlLbl val="0"/>
      </c:catAx>
      <c:valAx>
        <c:axId val="1707856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7831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[Capestone - Sales Analysis.xlsx]EDA Answer 5!PivotTable23</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 Answer 5'!$B$1</c:f>
              <c:strCache>
                <c:ptCount val="1"/>
                <c:pt idx="0">
                  <c:v>Average Order Per Segment</c:v>
                </c:pt>
              </c:strCache>
            </c:strRef>
          </c:tx>
          <c:spPr>
            <a:solidFill>
              <a:schemeClr val="accent1"/>
            </a:solidFill>
            <a:ln>
              <a:noFill/>
            </a:ln>
            <a:effectLst/>
          </c:spPr>
          <c:invertIfNegative val="0"/>
          <c:cat>
            <c:strRef>
              <c:f>'EDA Answer 5'!$A$2:$A$5</c:f>
              <c:strCache>
                <c:ptCount val="3"/>
                <c:pt idx="0">
                  <c:v>High</c:v>
                </c:pt>
                <c:pt idx="1">
                  <c:v>Low</c:v>
                </c:pt>
                <c:pt idx="2">
                  <c:v>Medium</c:v>
                </c:pt>
              </c:strCache>
            </c:strRef>
          </c:cat>
          <c:val>
            <c:numRef>
              <c:f>'EDA Answer 5'!$B$2:$B$5</c:f>
              <c:numCache>
                <c:formatCode>0.0</c:formatCode>
                <c:ptCount val="3"/>
                <c:pt idx="0">
                  <c:v>15.777777777777779</c:v>
                </c:pt>
                <c:pt idx="1">
                  <c:v>5.4222222222222225</c:v>
                </c:pt>
                <c:pt idx="2">
                  <c:v>9.4117647058823533</c:v>
                </c:pt>
              </c:numCache>
            </c:numRef>
          </c:val>
          <c:extLst>
            <c:ext xmlns:c16="http://schemas.microsoft.com/office/drawing/2014/chart" uri="{C3380CC4-5D6E-409C-BE32-E72D297353CC}">
              <c16:uniqueId val="{00000000-CA9F-499C-A3CC-920E28C6FEA0}"/>
            </c:ext>
          </c:extLst>
        </c:ser>
        <c:ser>
          <c:idx val="1"/>
          <c:order val="1"/>
          <c:tx>
            <c:strRef>
              <c:f>'EDA Answer 5'!$C$1</c:f>
              <c:strCache>
                <c:ptCount val="1"/>
                <c:pt idx="0">
                  <c:v>Total Orders Per Segment</c:v>
                </c:pt>
              </c:strCache>
            </c:strRef>
          </c:tx>
          <c:spPr>
            <a:solidFill>
              <a:schemeClr val="accent2"/>
            </a:solidFill>
            <a:ln>
              <a:noFill/>
            </a:ln>
            <a:effectLst/>
          </c:spPr>
          <c:invertIfNegative val="0"/>
          <c:cat>
            <c:strRef>
              <c:f>'EDA Answer 5'!$A$2:$A$5</c:f>
              <c:strCache>
                <c:ptCount val="3"/>
                <c:pt idx="0">
                  <c:v>High</c:v>
                </c:pt>
                <c:pt idx="1">
                  <c:v>Low</c:v>
                </c:pt>
                <c:pt idx="2">
                  <c:v>Medium</c:v>
                </c:pt>
              </c:strCache>
            </c:strRef>
          </c:cat>
          <c:val>
            <c:numRef>
              <c:f>'EDA Answer 5'!$C$2:$C$5</c:f>
              <c:numCache>
                <c:formatCode>General</c:formatCode>
                <c:ptCount val="3"/>
                <c:pt idx="0">
                  <c:v>426</c:v>
                </c:pt>
                <c:pt idx="1">
                  <c:v>244</c:v>
                </c:pt>
                <c:pt idx="2">
                  <c:v>160</c:v>
                </c:pt>
              </c:numCache>
            </c:numRef>
          </c:val>
          <c:extLst>
            <c:ext xmlns:c16="http://schemas.microsoft.com/office/drawing/2014/chart" uri="{C3380CC4-5D6E-409C-BE32-E72D297353CC}">
              <c16:uniqueId val="{00000001-CA9F-499C-A3CC-920E28C6FEA0}"/>
            </c:ext>
          </c:extLst>
        </c:ser>
        <c:dLbls>
          <c:showLegendKey val="0"/>
          <c:showVal val="0"/>
          <c:showCatName val="0"/>
          <c:showSerName val="0"/>
          <c:showPercent val="0"/>
          <c:showBubbleSize val="0"/>
        </c:dLbls>
        <c:gapWidth val="219"/>
        <c:overlap val="-27"/>
        <c:axId val="2062787008"/>
        <c:axId val="2062785344"/>
      </c:barChart>
      <c:catAx>
        <c:axId val="2062787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2785344"/>
        <c:crosses val="autoZero"/>
        <c:auto val="1"/>
        <c:lblAlgn val="ctr"/>
        <c:lblOffset val="100"/>
        <c:noMultiLvlLbl val="0"/>
      </c:catAx>
      <c:valAx>
        <c:axId val="2062785344"/>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27870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IN" sz="1200" b="0" i="0" u="none" strike="noStrike" baseline="0"/>
              <a:t>PRICE vs TOTAL SALES</a:t>
            </a:r>
            <a:endParaRPr lang="en-US" sz="1200"/>
          </a:p>
        </c:rich>
      </c:tx>
      <c:layout>
        <c:manualLayout>
          <c:xMode val="edge"/>
          <c:yMode val="edge"/>
          <c:x val="0.2510324593264226"/>
          <c:y val="1.6597510373443983E-2"/>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'EDA Answer 9'!$E$1</c:f>
              <c:strCache>
                <c:ptCount val="1"/>
                <c:pt idx="0">
                  <c:v>TotalSales</c:v>
                </c:pt>
              </c:strCache>
            </c:strRef>
          </c:tx>
          <c:spPr>
            <a:ln w="19050" cap="rnd">
              <a:noFill/>
              <a:round/>
            </a:ln>
            <a:effectLst/>
          </c:spPr>
          <c:marker>
            <c:symbol val="circle"/>
            <c:size val="5"/>
            <c:spPr>
              <a:solidFill>
                <a:schemeClr val="accent1"/>
              </a:solidFill>
              <a:ln w="9525">
                <a:solidFill>
                  <a:schemeClr val="accent1"/>
                </a:solidFill>
              </a:ln>
              <a:effectLst/>
            </c:spPr>
          </c:marker>
          <c:xVal>
            <c:numRef>
              <c:f>'EDA Answer 9'!$B$2:$B$78</c:f>
              <c:numCache>
                <c:formatCode>General</c:formatCode>
                <c:ptCount val="77"/>
                <c:pt idx="0">
                  <c:v>18</c:v>
                </c:pt>
                <c:pt idx="1">
                  <c:v>19</c:v>
                </c:pt>
                <c:pt idx="2">
                  <c:v>10</c:v>
                </c:pt>
                <c:pt idx="3">
                  <c:v>22</c:v>
                </c:pt>
                <c:pt idx="4">
                  <c:v>21.35</c:v>
                </c:pt>
                <c:pt idx="5">
                  <c:v>25</c:v>
                </c:pt>
                <c:pt idx="6">
                  <c:v>30</c:v>
                </c:pt>
                <c:pt idx="7">
                  <c:v>40</c:v>
                </c:pt>
                <c:pt idx="8">
                  <c:v>97</c:v>
                </c:pt>
                <c:pt idx="9">
                  <c:v>31</c:v>
                </c:pt>
                <c:pt idx="10">
                  <c:v>21</c:v>
                </c:pt>
                <c:pt idx="11">
                  <c:v>38</c:v>
                </c:pt>
                <c:pt idx="12">
                  <c:v>6</c:v>
                </c:pt>
                <c:pt idx="13">
                  <c:v>23.25</c:v>
                </c:pt>
                <c:pt idx="14">
                  <c:v>15.5</c:v>
                </c:pt>
                <c:pt idx="15">
                  <c:v>17.45</c:v>
                </c:pt>
                <c:pt idx="16">
                  <c:v>39</c:v>
                </c:pt>
                <c:pt idx="17">
                  <c:v>62.5</c:v>
                </c:pt>
                <c:pt idx="18">
                  <c:v>9.1999999999999993</c:v>
                </c:pt>
                <c:pt idx="19">
                  <c:v>81</c:v>
                </c:pt>
                <c:pt idx="20">
                  <c:v>10</c:v>
                </c:pt>
                <c:pt idx="21">
                  <c:v>21</c:v>
                </c:pt>
                <c:pt idx="22">
                  <c:v>9</c:v>
                </c:pt>
                <c:pt idx="23">
                  <c:v>4.5</c:v>
                </c:pt>
                <c:pt idx="24">
                  <c:v>14</c:v>
                </c:pt>
                <c:pt idx="25">
                  <c:v>31.23</c:v>
                </c:pt>
                <c:pt idx="26">
                  <c:v>43.9</c:v>
                </c:pt>
                <c:pt idx="27">
                  <c:v>45.6</c:v>
                </c:pt>
                <c:pt idx="28">
                  <c:v>123.79</c:v>
                </c:pt>
                <c:pt idx="29">
                  <c:v>25.89</c:v>
                </c:pt>
                <c:pt idx="30">
                  <c:v>12.5</c:v>
                </c:pt>
                <c:pt idx="31">
                  <c:v>32</c:v>
                </c:pt>
                <c:pt idx="32">
                  <c:v>2.5</c:v>
                </c:pt>
                <c:pt idx="33">
                  <c:v>14</c:v>
                </c:pt>
                <c:pt idx="34">
                  <c:v>18</c:v>
                </c:pt>
                <c:pt idx="35">
                  <c:v>19</c:v>
                </c:pt>
                <c:pt idx="36">
                  <c:v>26</c:v>
                </c:pt>
                <c:pt idx="37">
                  <c:v>263.5</c:v>
                </c:pt>
                <c:pt idx="38">
                  <c:v>18</c:v>
                </c:pt>
                <c:pt idx="39">
                  <c:v>18.399999999999999</c:v>
                </c:pt>
                <c:pt idx="40">
                  <c:v>9.65</c:v>
                </c:pt>
                <c:pt idx="41">
                  <c:v>14</c:v>
                </c:pt>
                <c:pt idx="42">
                  <c:v>46</c:v>
                </c:pt>
                <c:pt idx="43">
                  <c:v>19.45</c:v>
                </c:pt>
                <c:pt idx="44">
                  <c:v>9.5</c:v>
                </c:pt>
                <c:pt idx="45">
                  <c:v>12</c:v>
                </c:pt>
                <c:pt idx="46">
                  <c:v>9.5</c:v>
                </c:pt>
                <c:pt idx="47">
                  <c:v>12.75</c:v>
                </c:pt>
                <c:pt idx="48">
                  <c:v>20</c:v>
                </c:pt>
                <c:pt idx="49">
                  <c:v>16.25</c:v>
                </c:pt>
                <c:pt idx="50">
                  <c:v>53</c:v>
                </c:pt>
                <c:pt idx="51">
                  <c:v>7</c:v>
                </c:pt>
                <c:pt idx="52">
                  <c:v>32.799999999999997</c:v>
                </c:pt>
                <c:pt idx="53">
                  <c:v>7.45</c:v>
                </c:pt>
                <c:pt idx="54">
                  <c:v>24</c:v>
                </c:pt>
                <c:pt idx="55">
                  <c:v>38</c:v>
                </c:pt>
                <c:pt idx="56">
                  <c:v>19.5</c:v>
                </c:pt>
                <c:pt idx="57">
                  <c:v>13.25</c:v>
                </c:pt>
                <c:pt idx="58">
                  <c:v>55</c:v>
                </c:pt>
                <c:pt idx="59">
                  <c:v>34</c:v>
                </c:pt>
                <c:pt idx="60">
                  <c:v>28.5</c:v>
                </c:pt>
                <c:pt idx="61">
                  <c:v>49.3</c:v>
                </c:pt>
                <c:pt idx="62">
                  <c:v>43.9</c:v>
                </c:pt>
                <c:pt idx="63">
                  <c:v>33.25</c:v>
                </c:pt>
                <c:pt idx="64">
                  <c:v>21.05</c:v>
                </c:pt>
                <c:pt idx="65">
                  <c:v>17</c:v>
                </c:pt>
                <c:pt idx="66">
                  <c:v>14</c:v>
                </c:pt>
                <c:pt idx="67">
                  <c:v>12.5</c:v>
                </c:pt>
                <c:pt idx="68">
                  <c:v>36</c:v>
                </c:pt>
                <c:pt idx="69">
                  <c:v>15</c:v>
                </c:pt>
                <c:pt idx="70">
                  <c:v>21.5</c:v>
                </c:pt>
                <c:pt idx="71">
                  <c:v>34.799999999999997</c:v>
                </c:pt>
                <c:pt idx="72">
                  <c:v>15</c:v>
                </c:pt>
                <c:pt idx="73">
                  <c:v>10</c:v>
                </c:pt>
                <c:pt idx="74">
                  <c:v>7.75</c:v>
                </c:pt>
                <c:pt idx="75">
                  <c:v>18</c:v>
                </c:pt>
                <c:pt idx="76">
                  <c:v>13</c:v>
                </c:pt>
              </c:numCache>
            </c:numRef>
          </c:xVal>
          <c:yVal>
            <c:numRef>
              <c:f>'EDA Answer 9'!$E$2:$E$78</c:f>
              <c:numCache>
                <c:formatCode>General</c:formatCode>
                <c:ptCount val="77"/>
                <c:pt idx="0">
                  <c:v>12788.1</c:v>
                </c:pt>
                <c:pt idx="1">
                  <c:v>16355.96</c:v>
                </c:pt>
                <c:pt idx="2">
                  <c:v>3044</c:v>
                </c:pt>
                <c:pt idx="3">
                  <c:v>8567.9000000000015</c:v>
                </c:pt>
                <c:pt idx="4">
                  <c:v>5347.2000000000007</c:v>
                </c:pt>
                <c:pt idx="5">
                  <c:v>7137</c:v>
                </c:pt>
                <c:pt idx="6">
                  <c:v>22044.3</c:v>
                </c:pt>
                <c:pt idx="7">
                  <c:v>12772</c:v>
                </c:pt>
                <c:pt idx="8">
                  <c:v>7226.5</c:v>
                </c:pt>
                <c:pt idx="9">
                  <c:v>20867.340000000004</c:v>
                </c:pt>
                <c:pt idx="10">
                  <c:v>12901.77</c:v>
                </c:pt>
                <c:pt idx="11">
                  <c:v>12257.660000000002</c:v>
                </c:pt>
                <c:pt idx="12">
                  <c:v>4960.4400000000005</c:v>
                </c:pt>
                <c:pt idx="13">
                  <c:v>7991.4899999999989</c:v>
                </c:pt>
                <c:pt idx="14">
                  <c:v>1784.825</c:v>
                </c:pt>
                <c:pt idx="15">
                  <c:v>17215.775499999996</c:v>
                </c:pt>
                <c:pt idx="16">
                  <c:v>32698.379999999997</c:v>
                </c:pt>
                <c:pt idx="17">
                  <c:v>29171.875</c:v>
                </c:pt>
                <c:pt idx="18">
                  <c:v>5862.6199999999981</c:v>
                </c:pt>
                <c:pt idx="19">
                  <c:v>22563.359999999997</c:v>
                </c:pt>
                <c:pt idx="20">
                  <c:v>9104</c:v>
                </c:pt>
                <c:pt idx="21">
                  <c:v>7122.3600000000006</c:v>
                </c:pt>
                <c:pt idx="22">
                  <c:v>4601.7</c:v>
                </c:pt>
                <c:pt idx="23">
                  <c:v>4504.3649999999998</c:v>
                </c:pt>
                <c:pt idx="24">
                  <c:v>3704.3999999999996</c:v>
                </c:pt>
                <c:pt idx="25">
                  <c:v>19849.144500000002</c:v>
                </c:pt>
                <c:pt idx="26">
                  <c:v>15099.875</c:v>
                </c:pt>
                <c:pt idx="27">
                  <c:v>25696.640000000007</c:v>
                </c:pt>
                <c:pt idx="28">
                  <c:v>80368.672000000006</c:v>
                </c:pt>
                <c:pt idx="29">
                  <c:v>13424.197500000002</c:v>
                </c:pt>
                <c:pt idx="30">
                  <c:v>14920.875</c:v>
                </c:pt>
                <c:pt idx="31">
                  <c:v>8404.16</c:v>
                </c:pt>
                <c:pt idx="32">
                  <c:v>1648.125</c:v>
                </c:pt>
                <c:pt idx="33">
                  <c:v>6350.4</c:v>
                </c:pt>
                <c:pt idx="34">
                  <c:v>13643.999999999998</c:v>
                </c:pt>
                <c:pt idx="35">
                  <c:v>13458.460000000001</c:v>
                </c:pt>
                <c:pt idx="36">
                  <c:v>2688.3999999999996</c:v>
                </c:pt>
                <c:pt idx="37">
                  <c:v>141396.73499999999</c:v>
                </c:pt>
                <c:pt idx="38">
                  <c:v>12294.54</c:v>
                </c:pt>
                <c:pt idx="39">
                  <c:v>17910.63</c:v>
                </c:pt>
                <c:pt idx="40">
                  <c:v>8680.3450000000048</c:v>
                </c:pt>
                <c:pt idx="41">
                  <c:v>8575</c:v>
                </c:pt>
                <c:pt idx="42">
                  <c:v>23526.699999999997</c:v>
                </c:pt>
                <c:pt idx="43">
                  <c:v>9915.9450000000015</c:v>
                </c:pt>
                <c:pt idx="44">
                  <c:v>4338.1750000000002</c:v>
                </c:pt>
                <c:pt idx="45">
                  <c:v>5882.9999999999991</c:v>
                </c:pt>
                <c:pt idx="46">
                  <c:v>3958.08</c:v>
                </c:pt>
                <c:pt idx="47">
                  <c:v>1368.7125000000001</c:v>
                </c:pt>
                <c:pt idx="48">
                  <c:v>9244.6</c:v>
                </c:pt>
                <c:pt idx="49">
                  <c:v>3437.6875</c:v>
                </c:pt>
                <c:pt idx="50">
                  <c:v>41819.65</c:v>
                </c:pt>
                <c:pt idx="51">
                  <c:v>3232.9500000000003</c:v>
                </c:pt>
                <c:pt idx="52">
                  <c:v>20574.170000000006</c:v>
                </c:pt>
                <c:pt idx="53">
                  <c:v>4728.2375000000002</c:v>
                </c:pt>
                <c:pt idx="54">
                  <c:v>17426.400000000001</c:v>
                </c:pt>
                <c:pt idx="55">
                  <c:v>42593.06</c:v>
                </c:pt>
                <c:pt idx="56">
                  <c:v>7661.5499999999993</c:v>
                </c:pt>
                <c:pt idx="57">
                  <c:v>5881.6749999999993</c:v>
                </c:pt>
                <c:pt idx="58">
                  <c:v>71155.7</c:v>
                </c:pt>
                <c:pt idx="59">
                  <c:v>46825.48</c:v>
                </c:pt>
                <c:pt idx="60">
                  <c:v>14352.6</c:v>
                </c:pt>
                <c:pt idx="61">
                  <c:v>47234.97</c:v>
                </c:pt>
                <c:pt idx="62">
                  <c:v>16701.095000000001</c:v>
                </c:pt>
                <c:pt idx="63">
                  <c:v>21957.967500000002</c:v>
                </c:pt>
                <c:pt idx="64">
                  <c:v>13869.890000000001</c:v>
                </c:pt>
                <c:pt idx="65">
                  <c:v>3383</c:v>
                </c:pt>
                <c:pt idx="66">
                  <c:v>2396.8000000000002</c:v>
                </c:pt>
                <c:pt idx="67">
                  <c:v>8714</c:v>
                </c:pt>
                <c:pt idx="68">
                  <c:v>21942.36</c:v>
                </c:pt>
                <c:pt idx="69">
                  <c:v>10672.65</c:v>
                </c:pt>
                <c:pt idx="70">
                  <c:v>19551.024999999998</c:v>
                </c:pt>
                <c:pt idx="71">
                  <c:v>24900.13</c:v>
                </c:pt>
                <c:pt idx="72">
                  <c:v>3997.2</c:v>
                </c:pt>
                <c:pt idx="73">
                  <c:v>2432.5</c:v>
                </c:pt>
                <c:pt idx="74">
                  <c:v>8177.4899999999989</c:v>
                </c:pt>
                <c:pt idx="75">
                  <c:v>15760.44</c:v>
                </c:pt>
                <c:pt idx="76">
                  <c:v>9171.6299999999992</c:v>
                </c:pt>
              </c:numCache>
            </c:numRef>
          </c:yVal>
          <c:smooth val="0"/>
          <c:extLst>
            <c:ext xmlns:c16="http://schemas.microsoft.com/office/drawing/2014/chart" uri="{C3380CC4-5D6E-409C-BE32-E72D297353CC}">
              <c16:uniqueId val="{00000000-4A1B-4BF1-9352-EE65ABBC6201}"/>
            </c:ext>
          </c:extLst>
        </c:ser>
        <c:dLbls>
          <c:showLegendKey val="0"/>
          <c:showVal val="0"/>
          <c:showCatName val="0"/>
          <c:showSerName val="0"/>
          <c:showPercent val="0"/>
          <c:showBubbleSize val="0"/>
        </c:dLbls>
        <c:axId val="477249168"/>
        <c:axId val="477253744"/>
      </c:scatterChart>
      <c:valAx>
        <c:axId val="4772491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7253744"/>
        <c:crosses val="autoZero"/>
        <c:crossBetween val="midCat"/>
      </c:valAx>
      <c:valAx>
        <c:axId val="4772537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724916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IN" sz="1200" b="0" i="0" u="none" strike="noStrike" baseline="0"/>
              <a:t>UNITS IN STOCK vs TOTAL SALES </a:t>
            </a:r>
            <a:endParaRPr lang="en-IN" sz="1200"/>
          </a:p>
        </c:rich>
      </c:tx>
      <c:layout>
        <c:manualLayout>
          <c:xMode val="edge"/>
          <c:yMode val="edge"/>
          <c:x val="0.1731665836218379"/>
          <c:y val="1.6039297243306102E-2"/>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yVal>
            <c:numRef>
              <c:f>'EDA Answer 9'!$C$1</c:f>
              <c:numCache>
                <c:formatCode>General</c:formatCode>
                <c:ptCount val="1"/>
                <c:pt idx="0">
                  <c:v>0</c:v>
                </c:pt>
              </c:numCache>
            </c:numRef>
          </c:yVal>
          <c:smooth val="0"/>
          <c:extLst>
            <c:ext xmlns:c16="http://schemas.microsoft.com/office/drawing/2014/chart" uri="{C3380CC4-5D6E-409C-BE32-E72D297353CC}">
              <c16:uniqueId val="{00000000-EBCF-4238-9C3F-08176848CB6B}"/>
            </c:ext>
          </c:extLst>
        </c:ser>
        <c:ser>
          <c:idx val="1"/>
          <c:order val="1"/>
          <c:spPr>
            <a:ln w="19050" cap="rnd">
              <a:noFill/>
              <a:round/>
            </a:ln>
            <a:effectLst/>
          </c:spPr>
          <c:marker>
            <c:symbol val="circle"/>
            <c:size val="5"/>
            <c:spPr>
              <a:solidFill>
                <a:schemeClr val="accent2"/>
              </a:solidFill>
              <a:ln w="9525">
                <a:solidFill>
                  <a:schemeClr val="accent2"/>
                </a:solidFill>
              </a:ln>
              <a:effectLst/>
            </c:spPr>
          </c:marker>
          <c:yVal>
            <c:numRef>
              <c:f>'EDA Answer 9'!$C$1:$C$78</c:f>
              <c:numCache>
                <c:formatCode>General</c:formatCode>
                <c:ptCount val="78"/>
                <c:pt idx="0">
                  <c:v>0</c:v>
                </c:pt>
                <c:pt idx="1">
                  <c:v>39</c:v>
                </c:pt>
                <c:pt idx="2">
                  <c:v>17</c:v>
                </c:pt>
                <c:pt idx="3">
                  <c:v>13</c:v>
                </c:pt>
                <c:pt idx="4">
                  <c:v>53</c:v>
                </c:pt>
                <c:pt idx="5">
                  <c:v>0</c:v>
                </c:pt>
                <c:pt idx="6">
                  <c:v>120</c:v>
                </c:pt>
                <c:pt idx="7">
                  <c:v>15</c:v>
                </c:pt>
                <c:pt idx="8">
                  <c:v>6</c:v>
                </c:pt>
                <c:pt idx="9">
                  <c:v>29</c:v>
                </c:pt>
                <c:pt idx="10">
                  <c:v>31</c:v>
                </c:pt>
                <c:pt idx="11">
                  <c:v>22</c:v>
                </c:pt>
                <c:pt idx="12">
                  <c:v>86</c:v>
                </c:pt>
                <c:pt idx="13">
                  <c:v>24</c:v>
                </c:pt>
                <c:pt idx="14">
                  <c:v>35</c:v>
                </c:pt>
                <c:pt idx="15">
                  <c:v>39</c:v>
                </c:pt>
                <c:pt idx="16">
                  <c:v>29</c:v>
                </c:pt>
                <c:pt idx="17">
                  <c:v>0</c:v>
                </c:pt>
                <c:pt idx="18">
                  <c:v>42</c:v>
                </c:pt>
                <c:pt idx="19">
                  <c:v>25</c:v>
                </c:pt>
                <c:pt idx="20">
                  <c:v>40</c:v>
                </c:pt>
                <c:pt idx="21">
                  <c:v>3</c:v>
                </c:pt>
                <c:pt idx="22">
                  <c:v>104</c:v>
                </c:pt>
                <c:pt idx="23">
                  <c:v>61</c:v>
                </c:pt>
                <c:pt idx="24">
                  <c:v>20</c:v>
                </c:pt>
                <c:pt idx="25">
                  <c:v>76</c:v>
                </c:pt>
                <c:pt idx="26">
                  <c:v>15</c:v>
                </c:pt>
                <c:pt idx="27">
                  <c:v>49</c:v>
                </c:pt>
                <c:pt idx="28">
                  <c:v>26</c:v>
                </c:pt>
                <c:pt idx="29">
                  <c:v>0</c:v>
                </c:pt>
                <c:pt idx="30">
                  <c:v>10</c:v>
                </c:pt>
                <c:pt idx="31">
                  <c:v>0</c:v>
                </c:pt>
                <c:pt idx="32">
                  <c:v>9</c:v>
                </c:pt>
                <c:pt idx="33">
                  <c:v>112</c:v>
                </c:pt>
                <c:pt idx="34">
                  <c:v>111</c:v>
                </c:pt>
                <c:pt idx="35">
                  <c:v>20</c:v>
                </c:pt>
                <c:pt idx="36">
                  <c:v>112</c:v>
                </c:pt>
                <c:pt idx="37">
                  <c:v>11</c:v>
                </c:pt>
                <c:pt idx="38">
                  <c:v>17</c:v>
                </c:pt>
                <c:pt idx="39">
                  <c:v>69</c:v>
                </c:pt>
                <c:pt idx="40">
                  <c:v>123</c:v>
                </c:pt>
                <c:pt idx="41">
                  <c:v>85</c:v>
                </c:pt>
                <c:pt idx="42">
                  <c:v>26</c:v>
                </c:pt>
                <c:pt idx="43">
                  <c:v>17</c:v>
                </c:pt>
                <c:pt idx="44">
                  <c:v>27</c:v>
                </c:pt>
                <c:pt idx="45">
                  <c:v>5</c:v>
                </c:pt>
                <c:pt idx="46">
                  <c:v>95</c:v>
                </c:pt>
                <c:pt idx="47">
                  <c:v>36</c:v>
                </c:pt>
                <c:pt idx="48">
                  <c:v>15</c:v>
                </c:pt>
                <c:pt idx="49">
                  <c:v>10</c:v>
                </c:pt>
                <c:pt idx="50">
                  <c:v>65</c:v>
                </c:pt>
                <c:pt idx="51">
                  <c:v>20</c:v>
                </c:pt>
                <c:pt idx="52">
                  <c:v>38</c:v>
                </c:pt>
                <c:pt idx="53">
                  <c:v>0</c:v>
                </c:pt>
                <c:pt idx="54">
                  <c:v>21</c:v>
                </c:pt>
                <c:pt idx="55">
                  <c:v>115</c:v>
                </c:pt>
                <c:pt idx="56">
                  <c:v>21</c:v>
                </c:pt>
                <c:pt idx="57">
                  <c:v>36</c:v>
                </c:pt>
                <c:pt idx="58">
                  <c:v>62</c:v>
                </c:pt>
                <c:pt idx="59">
                  <c:v>79</c:v>
                </c:pt>
                <c:pt idx="60">
                  <c:v>19</c:v>
                </c:pt>
                <c:pt idx="61">
                  <c:v>113</c:v>
                </c:pt>
                <c:pt idx="62">
                  <c:v>17</c:v>
                </c:pt>
                <c:pt idx="63">
                  <c:v>24</c:v>
                </c:pt>
                <c:pt idx="64">
                  <c:v>22</c:v>
                </c:pt>
                <c:pt idx="65">
                  <c:v>76</c:v>
                </c:pt>
                <c:pt idx="66">
                  <c:v>4</c:v>
                </c:pt>
                <c:pt idx="67">
                  <c:v>52</c:v>
                </c:pt>
                <c:pt idx="68">
                  <c:v>6</c:v>
                </c:pt>
                <c:pt idx="69">
                  <c:v>26</c:v>
                </c:pt>
                <c:pt idx="70">
                  <c:v>15</c:v>
                </c:pt>
                <c:pt idx="71">
                  <c:v>26</c:v>
                </c:pt>
                <c:pt idx="72">
                  <c:v>14</c:v>
                </c:pt>
                <c:pt idx="73">
                  <c:v>101</c:v>
                </c:pt>
                <c:pt idx="74">
                  <c:v>4</c:v>
                </c:pt>
                <c:pt idx="75">
                  <c:v>125</c:v>
                </c:pt>
                <c:pt idx="76">
                  <c:v>57</c:v>
                </c:pt>
                <c:pt idx="77">
                  <c:v>32</c:v>
                </c:pt>
              </c:numCache>
            </c:numRef>
          </c:yVal>
          <c:smooth val="0"/>
          <c:extLst>
            <c:ext xmlns:c16="http://schemas.microsoft.com/office/drawing/2014/chart" uri="{C3380CC4-5D6E-409C-BE32-E72D297353CC}">
              <c16:uniqueId val="{00000001-EBCF-4238-9C3F-08176848CB6B}"/>
            </c:ext>
          </c:extLst>
        </c:ser>
        <c:ser>
          <c:idx val="2"/>
          <c:order val="2"/>
          <c:spPr>
            <a:ln w="19050" cap="rnd">
              <a:noFill/>
              <a:round/>
            </a:ln>
            <a:effectLst/>
          </c:spPr>
          <c:marker>
            <c:symbol val="circle"/>
            <c:size val="5"/>
            <c:spPr>
              <a:solidFill>
                <a:schemeClr val="accent3"/>
              </a:solidFill>
              <a:ln w="9525">
                <a:solidFill>
                  <a:schemeClr val="accent3"/>
                </a:solidFill>
              </a:ln>
              <a:effectLst/>
            </c:spPr>
          </c:marker>
          <c:yVal>
            <c:numRef>
              <c:f>'EDA Answer 9'!$E$1:$E$78</c:f>
              <c:numCache>
                <c:formatCode>General</c:formatCode>
                <c:ptCount val="78"/>
                <c:pt idx="0">
                  <c:v>0</c:v>
                </c:pt>
                <c:pt idx="1">
                  <c:v>12788.1</c:v>
                </c:pt>
                <c:pt idx="2">
                  <c:v>16355.96</c:v>
                </c:pt>
                <c:pt idx="3">
                  <c:v>3044</c:v>
                </c:pt>
                <c:pt idx="4">
                  <c:v>8567.9000000000015</c:v>
                </c:pt>
                <c:pt idx="5">
                  <c:v>5347.2000000000007</c:v>
                </c:pt>
                <c:pt idx="6">
                  <c:v>7137</c:v>
                </c:pt>
                <c:pt idx="7">
                  <c:v>22044.3</c:v>
                </c:pt>
                <c:pt idx="8">
                  <c:v>12772</c:v>
                </c:pt>
                <c:pt idx="9">
                  <c:v>7226.5</c:v>
                </c:pt>
                <c:pt idx="10">
                  <c:v>20867.340000000004</c:v>
                </c:pt>
                <c:pt idx="11">
                  <c:v>12901.77</c:v>
                </c:pt>
                <c:pt idx="12">
                  <c:v>12257.660000000002</c:v>
                </c:pt>
                <c:pt idx="13">
                  <c:v>4960.4400000000005</c:v>
                </c:pt>
                <c:pt idx="14">
                  <c:v>7991.4899999999989</c:v>
                </c:pt>
                <c:pt idx="15">
                  <c:v>1784.825</c:v>
                </c:pt>
                <c:pt idx="16">
                  <c:v>17215.775499999996</c:v>
                </c:pt>
                <c:pt idx="17">
                  <c:v>32698.379999999997</c:v>
                </c:pt>
                <c:pt idx="18">
                  <c:v>29171.875</c:v>
                </c:pt>
                <c:pt idx="19">
                  <c:v>5862.6199999999981</c:v>
                </c:pt>
                <c:pt idx="20">
                  <c:v>22563.359999999997</c:v>
                </c:pt>
                <c:pt idx="21">
                  <c:v>9104</c:v>
                </c:pt>
                <c:pt idx="22">
                  <c:v>7122.3600000000006</c:v>
                </c:pt>
                <c:pt idx="23">
                  <c:v>4601.7</c:v>
                </c:pt>
                <c:pt idx="24">
                  <c:v>4504.3649999999998</c:v>
                </c:pt>
                <c:pt idx="25">
                  <c:v>3704.3999999999996</c:v>
                </c:pt>
                <c:pt idx="26">
                  <c:v>19849.144500000002</c:v>
                </c:pt>
                <c:pt idx="27">
                  <c:v>15099.875</c:v>
                </c:pt>
                <c:pt idx="28">
                  <c:v>25696.640000000007</c:v>
                </c:pt>
                <c:pt idx="29">
                  <c:v>80368.672000000006</c:v>
                </c:pt>
                <c:pt idx="30">
                  <c:v>13424.197500000002</c:v>
                </c:pt>
                <c:pt idx="31">
                  <c:v>14920.875</c:v>
                </c:pt>
                <c:pt idx="32">
                  <c:v>8404.16</c:v>
                </c:pt>
                <c:pt idx="33">
                  <c:v>1648.125</c:v>
                </c:pt>
                <c:pt idx="34">
                  <c:v>6350.4</c:v>
                </c:pt>
                <c:pt idx="35">
                  <c:v>13643.999999999998</c:v>
                </c:pt>
                <c:pt idx="36">
                  <c:v>13458.460000000001</c:v>
                </c:pt>
                <c:pt idx="37">
                  <c:v>2688.3999999999996</c:v>
                </c:pt>
                <c:pt idx="38">
                  <c:v>141396.73499999999</c:v>
                </c:pt>
                <c:pt idx="39">
                  <c:v>12294.54</c:v>
                </c:pt>
                <c:pt idx="40">
                  <c:v>17910.63</c:v>
                </c:pt>
                <c:pt idx="41">
                  <c:v>8680.3450000000048</c:v>
                </c:pt>
                <c:pt idx="42">
                  <c:v>8575</c:v>
                </c:pt>
                <c:pt idx="43">
                  <c:v>23526.699999999997</c:v>
                </c:pt>
                <c:pt idx="44">
                  <c:v>9915.9450000000015</c:v>
                </c:pt>
                <c:pt idx="45">
                  <c:v>4338.1750000000002</c:v>
                </c:pt>
                <c:pt idx="46">
                  <c:v>5882.9999999999991</c:v>
                </c:pt>
                <c:pt idx="47">
                  <c:v>3958.08</c:v>
                </c:pt>
                <c:pt idx="48">
                  <c:v>1368.7125000000001</c:v>
                </c:pt>
                <c:pt idx="49">
                  <c:v>9244.6</c:v>
                </c:pt>
                <c:pt idx="50">
                  <c:v>3437.6875</c:v>
                </c:pt>
                <c:pt idx="51">
                  <c:v>41819.65</c:v>
                </c:pt>
                <c:pt idx="52">
                  <c:v>3232.9500000000003</c:v>
                </c:pt>
                <c:pt idx="53">
                  <c:v>20574.170000000006</c:v>
                </c:pt>
                <c:pt idx="54">
                  <c:v>4728.2375000000002</c:v>
                </c:pt>
                <c:pt idx="55">
                  <c:v>17426.400000000001</c:v>
                </c:pt>
                <c:pt idx="56">
                  <c:v>42593.06</c:v>
                </c:pt>
                <c:pt idx="57">
                  <c:v>7661.5499999999993</c:v>
                </c:pt>
                <c:pt idx="58">
                  <c:v>5881.6749999999993</c:v>
                </c:pt>
                <c:pt idx="59">
                  <c:v>71155.7</c:v>
                </c:pt>
                <c:pt idx="60">
                  <c:v>46825.48</c:v>
                </c:pt>
                <c:pt idx="61">
                  <c:v>14352.6</c:v>
                </c:pt>
                <c:pt idx="62">
                  <c:v>47234.97</c:v>
                </c:pt>
                <c:pt idx="63">
                  <c:v>16701.095000000001</c:v>
                </c:pt>
                <c:pt idx="64">
                  <c:v>21957.967500000002</c:v>
                </c:pt>
                <c:pt idx="65">
                  <c:v>13869.890000000001</c:v>
                </c:pt>
                <c:pt idx="66">
                  <c:v>3383</c:v>
                </c:pt>
                <c:pt idx="67">
                  <c:v>2396.8000000000002</c:v>
                </c:pt>
                <c:pt idx="68">
                  <c:v>8714</c:v>
                </c:pt>
                <c:pt idx="69">
                  <c:v>21942.36</c:v>
                </c:pt>
                <c:pt idx="70">
                  <c:v>10672.65</c:v>
                </c:pt>
                <c:pt idx="71">
                  <c:v>19551.024999999998</c:v>
                </c:pt>
                <c:pt idx="72">
                  <c:v>24900.13</c:v>
                </c:pt>
                <c:pt idx="73">
                  <c:v>3997.2</c:v>
                </c:pt>
                <c:pt idx="74">
                  <c:v>2432.5</c:v>
                </c:pt>
                <c:pt idx="75">
                  <c:v>8177.4899999999989</c:v>
                </c:pt>
                <c:pt idx="76">
                  <c:v>15760.44</c:v>
                </c:pt>
                <c:pt idx="77">
                  <c:v>9171.6299999999992</c:v>
                </c:pt>
              </c:numCache>
            </c:numRef>
          </c:yVal>
          <c:smooth val="0"/>
          <c:extLst>
            <c:ext xmlns:c16="http://schemas.microsoft.com/office/drawing/2014/chart" uri="{C3380CC4-5D6E-409C-BE32-E72D297353CC}">
              <c16:uniqueId val="{00000002-EBCF-4238-9C3F-08176848CB6B}"/>
            </c:ext>
          </c:extLst>
        </c:ser>
        <c:dLbls>
          <c:showLegendKey val="0"/>
          <c:showVal val="0"/>
          <c:showCatName val="0"/>
          <c:showSerName val="0"/>
          <c:showPercent val="0"/>
          <c:showBubbleSize val="0"/>
        </c:dLbls>
        <c:axId val="477254576"/>
        <c:axId val="477244176"/>
      </c:scatterChart>
      <c:valAx>
        <c:axId val="477254576"/>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7244176"/>
        <c:crosses val="autoZero"/>
        <c:crossBetween val="midCat"/>
      </c:valAx>
      <c:valAx>
        <c:axId val="4772441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7254576"/>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IN" sz="1200" b="0" i="0" u="none" strike="noStrike" baseline="0"/>
              <a:t>UNITS ON ORDER vs TOTAL SALES</a:t>
            </a:r>
            <a:endParaRPr lang="en-US" sz="1200"/>
          </a:p>
        </c:rich>
      </c:tx>
      <c:layout>
        <c:manualLayout>
          <c:xMode val="edge"/>
          <c:yMode val="edge"/>
          <c:x val="0.11986095017381226"/>
          <c:y val="3.3379694019471488E-2"/>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'EDA Answer 9'!$E$1</c:f>
              <c:strCache>
                <c:ptCount val="1"/>
                <c:pt idx="0">
                  <c:v>TotalSales</c:v>
                </c:pt>
              </c:strCache>
            </c:strRef>
          </c:tx>
          <c:spPr>
            <a:ln w="19050" cap="rnd">
              <a:noFill/>
              <a:round/>
            </a:ln>
            <a:effectLst/>
          </c:spPr>
          <c:marker>
            <c:symbol val="circle"/>
            <c:size val="5"/>
            <c:spPr>
              <a:solidFill>
                <a:schemeClr val="accent1"/>
              </a:solidFill>
              <a:ln w="9525">
                <a:solidFill>
                  <a:schemeClr val="accent1"/>
                </a:solidFill>
              </a:ln>
              <a:effectLst/>
            </c:spPr>
          </c:marker>
          <c:xVal>
            <c:numRef>
              <c:f>'EDA Answer 9'!$D$2:$D$78</c:f>
              <c:numCache>
                <c:formatCode>General</c:formatCode>
                <c:ptCount val="77"/>
                <c:pt idx="0">
                  <c:v>0</c:v>
                </c:pt>
                <c:pt idx="1">
                  <c:v>40</c:v>
                </c:pt>
                <c:pt idx="2">
                  <c:v>70</c:v>
                </c:pt>
                <c:pt idx="3">
                  <c:v>0</c:v>
                </c:pt>
                <c:pt idx="4">
                  <c:v>0</c:v>
                </c:pt>
                <c:pt idx="5">
                  <c:v>0</c:v>
                </c:pt>
                <c:pt idx="6">
                  <c:v>0</c:v>
                </c:pt>
                <c:pt idx="7">
                  <c:v>0</c:v>
                </c:pt>
                <c:pt idx="8">
                  <c:v>0</c:v>
                </c:pt>
                <c:pt idx="9">
                  <c:v>0</c:v>
                </c:pt>
                <c:pt idx="10">
                  <c:v>30</c:v>
                </c:pt>
                <c:pt idx="11">
                  <c:v>0</c:v>
                </c:pt>
                <c:pt idx="12">
                  <c:v>0</c:v>
                </c:pt>
                <c:pt idx="13">
                  <c:v>0</c:v>
                </c:pt>
                <c:pt idx="14">
                  <c:v>0</c:v>
                </c:pt>
                <c:pt idx="15">
                  <c:v>0</c:v>
                </c:pt>
                <c:pt idx="16">
                  <c:v>0</c:v>
                </c:pt>
                <c:pt idx="17">
                  <c:v>0</c:v>
                </c:pt>
                <c:pt idx="18">
                  <c:v>0</c:v>
                </c:pt>
                <c:pt idx="19">
                  <c:v>0</c:v>
                </c:pt>
                <c:pt idx="20">
                  <c:v>40</c:v>
                </c:pt>
                <c:pt idx="21">
                  <c:v>0</c:v>
                </c:pt>
                <c:pt idx="22">
                  <c:v>0</c:v>
                </c:pt>
                <c:pt idx="23">
                  <c:v>0</c:v>
                </c:pt>
                <c:pt idx="24">
                  <c:v>0</c:v>
                </c:pt>
                <c:pt idx="25">
                  <c:v>0</c:v>
                </c:pt>
                <c:pt idx="26">
                  <c:v>0</c:v>
                </c:pt>
                <c:pt idx="27">
                  <c:v>0</c:v>
                </c:pt>
                <c:pt idx="28">
                  <c:v>0</c:v>
                </c:pt>
                <c:pt idx="29">
                  <c:v>0</c:v>
                </c:pt>
                <c:pt idx="30">
                  <c:v>70</c:v>
                </c:pt>
                <c:pt idx="31">
                  <c:v>40</c:v>
                </c:pt>
                <c:pt idx="32">
                  <c:v>0</c:v>
                </c:pt>
                <c:pt idx="33">
                  <c:v>0</c:v>
                </c:pt>
                <c:pt idx="34">
                  <c:v>0</c:v>
                </c:pt>
                <c:pt idx="35">
                  <c:v>0</c:v>
                </c:pt>
                <c:pt idx="36">
                  <c:v>50</c:v>
                </c:pt>
                <c:pt idx="37">
                  <c:v>0</c:v>
                </c:pt>
                <c:pt idx="38">
                  <c:v>0</c:v>
                </c:pt>
                <c:pt idx="39">
                  <c:v>0</c:v>
                </c:pt>
                <c:pt idx="40">
                  <c:v>0</c:v>
                </c:pt>
                <c:pt idx="41">
                  <c:v>0</c:v>
                </c:pt>
                <c:pt idx="42">
                  <c:v>10</c:v>
                </c:pt>
                <c:pt idx="43">
                  <c:v>0</c:v>
                </c:pt>
                <c:pt idx="44">
                  <c:v>70</c:v>
                </c:pt>
                <c:pt idx="45">
                  <c:v>0</c:v>
                </c:pt>
                <c:pt idx="46">
                  <c:v>0</c:v>
                </c:pt>
                <c:pt idx="47">
                  <c:v>70</c:v>
                </c:pt>
                <c:pt idx="48">
                  <c:v>60</c:v>
                </c:pt>
                <c:pt idx="49">
                  <c:v>0</c:v>
                </c:pt>
                <c:pt idx="50">
                  <c:v>0</c:v>
                </c:pt>
                <c:pt idx="51">
                  <c:v>0</c:v>
                </c:pt>
                <c:pt idx="52">
                  <c:v>0</c:v>
                </c:pt>
                <c:pt idx="53">
                  <c:v>0</c:v>
                </c:pt>
                <c:pt idx="54">
                  <c:v>0</c:v>
                </c:pt>
                <c:pt idx="55">
                  <c:v>10</c:v>
                </c:pt>
                <c:pt idx="56">
                  <c:v>0</c:v>
                </c:pt>
                <c:pt idx="57">
                  <c:v>0</c:v>
                </c:pt>
                <c:pt idx="58">
                  <c:v>0</c:v>
                </c:pt>
                <c:pt idx="59">
                  <c:v>0</c:v>
                </c:pt>
                <c:pt idx="60">
                  <c:v>0</c:v>
                </c:pt>
                <c:pt idx="61">
                  <c:v>0</c:v>
                </c:pt>
                <c:pt idx="62">
                  <c:v>0</c:v>
                </c:pt>
                <c:pt idx="63">
                  <c:v>80</c:v>
                </c:pt>
                <c:pt idx="64">
                  <c:v>0</c:v>
                </c:pt>
                <c:pt idx="65">
                  <c:v>100</c:v>
                </c:pt>
                <c:pt idx="66">
                  <c:v>0</c:v>
                </c:pt>
                <c:pt idx="67">
                  <c:v>10</c:v>
                </c:pt>
                <c:pt idx="68">
                  <c:v>0</c:v>
                </c:pt>
                <c:pt idx="69">
                  <c:v>10</c:v>
                </c:pt>
                <c:pt idx="70">
                  <c:v>0</c:v>
                </c:pt>
                <c:pt idx="71">
                  <c:v>0</c:v>
                </c:pt>
                <c:pt idx="72">
                  <c:v>0</c:v>
                </c:pt>
                <c:pt idx="73">
                  <c:v>20</c:v>
                </c:pt>
                <c:pt idx="74">
                  <c:v>0</c:v>
                </c:pt>
                <c:pt idx="75">
                  <c:v>0</c:v>
                </c:pt>
                <c:pt idx="76">
                  <c:v>0</c:v>
                </c:pt>
              </c:numCache>
            </c:numRef>
          </c:xVal>
          <c:yVal>
            <c:numRef>
              <c:f>'EDA Answer 9'!$E$2:$E$78</c:f>
              <c:numCache>
                <c:formatCode>General</c:formatCode>
                <c:ptCount val="77"/>
                <c:pt idx="0">
                  <c:v>12788.1</c:v>
                </c:pt>
                <c:pt idx="1">
                  <c:v>16355.96</c:v>
                </c:pt>
                <c:pt idx="2">
                  <c:v>3044</c:v>
                </c:pt>
                <c:pt idx="3">
                  <c:v>8567.9000000000015</c:v>
                </c:pt>
                <c:pt idx="4">
                  <c:v>5347.2000000000007</c:v>
                </c:pt>
                <c:pt idx="5">
                  <c:v>7137</c:v>
                </c:pt>
                <c:pt idx="6">
                  <c:v>22044.3</c:v>
                </c:pt>
                <c:pt idx="7">
                  <c:v>12772</c:v>
                </c:pt>
                <c:pt idx="8">
                  <c:v>7226.5</c:v>
                </c:pt>
                <c:pt idx="9">
                  <c:v>20867.340000000004</c:v>
                </c:pt>
                <c:pt idx="10">
                  <c:v>12901.77</c:v>
                </c:pt>
                <c:pt idx="11">
                  <c:v>12257.660000000002</c:v>
                </c:pt>
                <c:pt idx="12">
                  <c:v>4960.4400000000005</c:v>
                </c:pt>
                <c:pt idx="13">
                  <c:v>7991.4899999999989</c:v>
                </c:pt>
                <c:pt idx="14">
                  <c:v>1784.825</c:v>
                </c:pt>
                <c:pt idx="15">
                  <c:v>17215.775499999996</c:v>
                </c:pt>
                <c:pt idx="16">
                  <c:v>32698.379999999997</c:v>
                </c:pt>
                <c:pt idx="17">
                  <c:v>29171.875</c:v>
                </c:pt>
                <c:pt idx="18">
                  <c:v>5862.6199999999981</c:v>
                </c:pt>
                <c:pt idx="19">
                  <c:v>22563.359999999997</c:v>
                </c:pt>
                <c:pt idx="20">
                  <c:v>9104</c:v>
                </c:pt>
                <c:pt idx="21">
                  <c:v>7122.3600000000006</c:v>
                </c:pt>
                <c:pt idx="22">
                  <c:v>4601.7</c:v>
                </c:pt>
                <c:pt idx="23">
                  <c:v>4504.3649999999998</c:v>
                </c:pt>
                <c:pt idx="24">
                  <c:v>3704.3999999999996</c:v>
                </c:pt>
                <c:pt idx="25">
                  <c:v>19849.144500000002</c:v>
                </c:pt>
                <c:pt idx="26">
                  <c:v>15099.875</c:v>
                </c:pt>
                <c:pt idx="27">
                  <c:v>25696.640000000007</c:v>
                </c:pt>
                <c:pt idx="28">
                  <c:v>80368.672000000006</c:v>
                </c:pt>
                <c:pt idx="29">
                  <c:v>13424.197500000002</c:v>
                </c:pt>
                <c:pt idx="30">
                  <c:v>14920.875</c:v>
                </c:pt>
                <c:pt idx="31">
                  <c:v>8404.16</c:v>
                </c:pt>
                <c:pt idx="32">
                  <c:v>1648.125</c:v>
                </c:pt>
                <c:pt idx="33">
                  <c:v>6350.4</c:v>
                </c:pt>
                <c:pt idx="34">
                  <c:v>13643.999999999998</c:v>
                </c:pt>
                <c:pt idx="35">
                  <c:v>13458.460000000001</c:v>
                </c:pt>
                <c:pt idx="36">
                  <c:v>2688.3999999999996</c:v>
                </c:pt>
                <c:pt idx="37">
                  <c:v>141396.73499999999</c:v>
                </c:pt>
                <c:pt idx="38">
                  <c:v>12294.54</c:v>
                </c:pt>
                <c:pt idx="39">
                  <c:v>17910.63</c:v>
                </c:pt>
                <c:pt idx="40">
                  <c:v>8680.3450000000048</c:v>
                </c:pt>
                <c:pt idx="41">
                  <c:v>8575</c:v>
                </c:pt>
                <c:pt idx="42">
                  <c:v>23526.699999999997</c:v>
                </c:pt>
                <c:pt idx="43">
                  <c:v>9915.9450000000015</c:v>
                </c:pt>
                <c:pt idx="44">
                  <c:v>4338.1750000000002</c:v>
                </c:pt>
                <c:pt idx="45">
                  <c:v>5882.9999999999991</c:v>
                </c:pt>
                <c:pt idx="46">
                  <c:v>3958.08</c:v>
                </c:pt>
                <c:pt idx="47">
                  <c:v>1368.7125000000001</c:v>
                </c:pt>
                <c:pt idx="48">
                  <c:v>9244.6</c:v>
                </c:pt>
                <c:pt idx="49">
                  <c:v>3437.6875</c:v>
                </c:pt>
                <c:pt idx="50">
                  <c:v>41819.65</c:v>
                </c:pt>
                <c:pt idx="51">
                  <c:v>3232.9500000000003</c:v>
                </c:pt>
                <c:pt idx="52">
                  <c:v>20574.170000000006</c:v>
                </c:pt>
                <c:pt idx="53">
                  <c:v>4728.2375000000002</c:v>
                </c:pt>
                <c:pt idx="54">
                  <c:v>17426.400000000001</c:v>
                </c:pt>
                <c:pt idx="55">
                  <c:v>42593.06</c:v>
                </c:pt>
                <c:pt idx="56">
                  <c:v>7661.5499999999993</c:v>
                </c:pt>
                <c:pt idx="57">
                  <c:v>5881.6749999999993</c:v>
                </c:pt>
                <c:pt idx="58">
                  <c:v>71155.7</c:v>
                </c:pt>
                <c:pt idx="59">
                  <c:v>46825.48</c:v>
                </c:pt>
                <c:pt idx="60">
                  <c:v>14352.6</c:v>
                </c:pt>
                <c:pt idx="61">
                  <c:v>47234.97</c:v>
                </c:pt>
                <c:pt idx="62">
                  <c:v>16701.095000000001</c:v>
                </c:pt>
                <c:pt idx="63">
                  <c:v>21957.967500000002</c:v>
                </c:pt>
                <c:pt idx="64">
                  <c:v>13869.890000000001</c:v>
                </c:pt>
                <c:pt idx="65">
                  <c:v>3383</c:v>
                </c:pt>
                <c:pt idx="66">
                  <c:v>2396.8000000000002</c:v>
                </c:pt>
                <c:pt idx="67">
                  <c:v>8714</c:v>
                </c:pt>
                <c:pt idx="68">
                  <c:v>21942.36</c:v>
                </c:pt>
                <c:pt idx="69">
                  <c:v>10672.65</c:v>
                </c:pt>
                <c:pt idx="70">
                  <c:v>19551.024999999998</c:v>
                </c:pt>
                <c:pt idx="71">
                  <c:v>24900.13</c:v>
                </c:pt>
                <c:pt idx="72">
                  <c:v>3997.2</c:v>
                </c:pt>
                <c:pt idx="73">
                  <c:v>2432.5</c:v>
                </c:pt>
                <c:pt idx="74">
                  <c:v>8177.4899999999989</c:v>
                </c:pt>
                <c:pt idx="75">
                  <c:v>15760.44</c:v>
                </c:pt>
                <c:pt idx="76">
                  <c:v>9171.6299999999992</c:v>
                </c:pt>
              </c:numCache>
            </c:numRef>
          </c:yVal>
          <c:smooth val="0"/>
          <c:extLst>
            <c:ext xmlns:c16="http://schemas.microsoft.com/office/drawing/2014/chart" uri="{C3380CC4-5D6E-409C-BE32-E72D297353CC}">
              <c16:uniqueId val="{00000000-9528-4728-AAD8-46A139E6BD42}"/>
            </c:ext>
          </c:extLst>
        </c:ser>
        <c:dLbls>
          <c:showLegendKey val="0"/>
          <c:showVal val="0"/>
          <c:showCatName val="0"/>
          <c:showSerName val="0"/>
          <c:showPercent val="0"/>
          <c:showBubbleSize val="0"/>
        </c:dLbls>
        <c:axId val="477246672"/>
        <c:axId val="477242928"/>
      </c:scatterChart>
      <c:valAx>
        <c:axId val="47724667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7242928"/>
        <c:crosses val="autoZero"/>
        <c:crossBetween val="midCat"/>
      </c:valAx>
      <c:valAx>
        <c:axId val="4772429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724667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[Capestone - Sales Analysis.xlsx]EDA Answer 10!PivotTable5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'EDA Answer 10'!$B$1</c:f>
              <c:strCache>
                <c:ptCount val="1"/>
                <c:pt idx="0">
                  <c:v>Total</c:v>
                </c:pt>
              </c:strCache>
            </c:strRef>
          </c:tx>
          <c:spPr>
            <a:ln w="28575" cap="rnd">
              <a:solidFill>
                <a:schemeClr val="accent1"/>
              </a:solidFill>
              <a:round/>
            </a:ln>
            <a:effectLst/>
          </c:spPr>
          <c:marker>
            <c:symbol val="none"/>
          </c:marker>
          <c:cat>
            <c:strRef>
              <c:f>'EDA Answer 10'!$A$2:$A$14</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'EDA Answer 10'!$B$2:$B$14</c:f>
              <c:numCache>
                <c:formatCode>General</c:formatCode>
                <c:ptCount val="12"/>
                <c:pt idx="0">
                  <c:v>4882</c:v>
                </c:pt>
                <c:pt idx="1">
                  <c:v>5244</c:v>
                </c:pt>
                <c:pt idx="2">
                  <c:v>5870</c:v>
                </c:pt>
                <c:pt idx="3">
                  <c:v>5687</c:v>
                </c:pt>
                <c:pt idx="4">
                  <c:v>7017</c:v>
                </c:pt>
                <c:pt idx="5">
                  <c:v>2808</c:v>
                </c:pt>
                <c:pt idx="6">
                  <c:v>1635</c:v>
                </c:pt>
                <c:pt idx="7">
                  <c:v>3516</c:v>
                </c:pt>
                <c:pt idx="8">
                  <c:v>3183</c:v>
                </c:pt>
                <c:pt idx="9">
                  <c:v>3467</c:v>
                </c:pt>
                <c:pt idx="10">
                  <c:v>4326</c:v>
                </c:pt>
                <c:pt idx="11">
                  <c:v>3682</c:v>
                </c:pt>
              </c:numCache>
            </c:numRef>
          </c:val>
          <c:smooth val="0"/>
          <c:extLst>
            <c:ext xmlns:c16="http://schemas.microsoft.com/office/drawing/2014/chart" uri="{C3380CC4-5D6E-409C-BE32-E72D297353CC}">
              <c16:uniqueId val="{00000000-E191-4C9F-87DB-5DE527D8DE49}"/>
            </c:ext>
          </c:extLst>
        </c:ser>
        <c:dLbls>
          <c:showLegendKey val="0"/>
          <c:showVal val="0"/>
          <c:showCatName val="0"/>
          <c:showSerName val="0"/>
          <c:showPercent val="0"/>
          <c:showBubbleSize val="0"/>
        </c:dLbls>
        <c:smooth val="0"/>
        <c:axId val="766684704"/>
        <c:axId val="766687616"/>
      </c:lineChart>
      <c:catAx>
        <c:axId val="7666847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87616"/>
        <c:crosses val="autoZero"/>
        <c:auto val="1"/>
        <c:lblAlgn val="ctr"/>
        <c:lblOffset val="100"/>
        <c:noMultiLvlLbl val="0"/>
      </c:catAx>
      <c:valAx>
        <c:axId val="7666876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847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data id="1">
      <cx:numDim type="val">
        <cx:f>_xlchart.v1.3</cx:f>
      </cx:numDim>
    </cx:data>
    <cx:data id="2">
      <cx:numDim type="val">
        <cx:f>_xlchart.v1.5</cx:f>
      </cx:numDim>
    </cx:data>
    <cx:data id="3">
      <cx:numDim type="val">
        <cx:f>_xlchart.v1.7</cx:f>
      </cx:numDim>
    </cx:data>
    <cx:data id="4">
      <cx:numDim type="val">
        <cx:f>_xlchart.v1.9</cx:f>
      </cx:numDim>
    </cx:data>
  </cx:chartData>
  <cx:chart>
    <cx:title pos="t" align="ctr" overlay="0">
      <cx:tx>
        <cx:rich>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 </a:t>
            </a:r>
            <a:r>
              <a:rPr lang="en-IN"/>
              <a:t>Product Sales – Outlier Detection</a:t>
            </a:r>
          </a:p>
        </cx:rich>
      </cx:tx>
    </cx:title>
    <cx:plotArea>
      <cx:plotAreaRegion>
        <cx:series layoutId="boxWhisker" uniqueId="{A037FC0B-005A-40AF-8A60-6240CD22A7E6}">
          <cx:tx>
            <cx:txData>
              <cx:f>_xlchart.v1.0</cx:f>
              <cx:v>ProductID</cx:v>
            </cx:txData>
          </cx:tx>
          <cx:dataId val="0"/>
          <cx:layoutPr>
            <cx:visibility meanLine="0" meanMarker="1" nonoutliers="0" outliers="1"/>
            <cx:statistics quartileMethod="exclusive"/>
          </cx:layoutPr>
        </cx:series>
        <cx:series layoutId="boxWhisker" uniqueId="{79D3694E-5133-4DBA-8B36-7FEB1BE2FB6D}">
          <cx:tx>
            <cx:txData>
              <cx:f>_xlchart.v1.2</cx:f>
              <cx:v>UnitPrice</cx:v>
            </cx:txData>
          </cx:tx>
          <cx:dataId val="1"/>
          <cx:layoutPr>
            <cx:visibility meanLine="0" meanMarker="1" nonoutliers="0" outliers="1"/>
            <cx:statistics quartileMethod="exclusive"/>
          </cx:layoutPr>
        </cx:series>
        <cx:series layoutId="boxWhisker" uniqueId="{BFB9572B-6D13-457B-A57B-2F76F8BCD5AB}">
          <cx:tx>
            <cx:txData>
              <cx:f>_xlchart.v1.4</cx:f>
              <cx:v>UnitsInStock</cx:v>
            </cx:txData>
          </cx:tx>
          <cx:dataId val="2"/>
          <cx:layoutPr>
            <cx:visibility meanLine="0" meanMarker="1" nonoutliers="0" outliers="1"/>
            <cx:statistics quartileMethod="exclusive"/>
          </cx:layoutPr>
        </cx:series>
        <cx:series layoutId="boxWhisker" uniqueId="{FB623233-82C5-401D-825B-5405C29F2A33}">
          <cx:tx>
            <cx:txData>
              <cx:f>_xlchart.v1.6</cx:f>
              <cx:v>UnitsOnOrder</cx:v>
            </cx:txData>
          </cx:tx>
          <cx:dataId val="3"/>
          <cx:layoutPr>
            <cx:visibility meanLine="0" meanMarker="1" nonoutliers="0" outliers="1"/>
            <cx:statistics quartileMethod="exclusive"/>
          </cx:layoutPr>
        </cx:series>
        <cx:series layoutId="boxWhisker" uniqueId="{D557BDE3-43A2-4CC9-8D76-CDDAA9376EA2}">
          <cx:tx>
            <cx:txData>
              <cx:f>_xlchart.v1.8</cx:f>
              <cx:v>TotalSales</cx:v>
            </cx:txData>
          </cx:tx>
          <cx:dataId val="4"/>
          <cx:layoutPr>
            <cx:visibility meanLine="0" meanMarker="1" nonoutliers="0" outliers="1"/>
            <cx:statistics quartileMethod="exclusive"/>
          </cx:layoutPr>
        </cx:series>
      </cx:plotAreaRegion>
      <cx:axis id="0">
        <cx:catScaling gapWidth="1"/>
        <cx:tickLabels/>
      </cx:axis>
      <cx:axis id="1">
        <cx:valScaling/>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6.xml"/></Relationships>
</file>

<file path=xl/drawings/_rels/drawing5.xml.rels><?xml version="1.0" encoding="UTF-8" standalone="yes"?>
<Relationships xmlns="http://schemas.openxmlformats.org/package/2006/relationships"><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5</xdr:col>
      <xdr:colOff>193674</xdr:colOff>
      <xdr:row>0</xdr:row>
      <xdr:rowOff>88900</xdr:rowOff>
    </xdr:from>
    <xdr:to>
      <xdr:col>13</xdr:col>
      <xdr:colOff>196849</xdr:colOff>
      <xdr:row>16</xdr:row>
      <xdr:rowOff>25400</xdr:rowOff>
    </xdr:to>
    <xdr:graphicFrame macro="">
      <xdr:nvGraphicFramePr>
        <xdr:cNvPr id="5" name="Chart 4">
          <a:extLst>
            <a:ext uri="{FF2B5EF4-FFF2-40B4-BE49-F238E27FC236}">
              <a16:creationId xmlns:a16="http://schemas.microsoft.com/office/drawing/2014/main" id="{8E83A21E-C963-4FCB-9E69-6D60A25953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254000</xdr:colOff>
      <xdr:row>0</xdr:row>
      <xdr:rowOff>76200</xdr:rowOff>
    </xdr:from>
    <xdr:to>
      <xdr:col>16</xdr:col>
      <xdr:colOff>254000</xdr:colOff>
      <xdr:row>11</xdr:row>
      <xdr:rowOff>130175</xdr:rowOff>
    </xdr:to>
    <mc:AlternateContent xmlns:mc="http://schemas.openxmlformats.org/markup-compatibility/2006" xmlns:a14="http://schemas.microsoft.com/office/drawing/2010/main">
      <mc:Choice Requires="a14">
        <xdr:graphicFrame macro="">
          <xdr:nvGraphicFramePr>
            <xdr:cNvPr id="7" name="OrderDate">
              <a:extLst>
                <a:ext uri="{FF2B5EF4-FFF2-40B4-BE49-F238E27FC236}">
                  <a16:creationId xmlns:a16="http://schemas.microsoft.com/office/drawing/2014/main" id="{195C9548-EDBA-4875-AC13-05324C5E41DB}"/>
                </a:ext>
              </a:extLst>
            </xdr:cNvPr>
            <xdr:cNvGraphicFramePr/>
          </xdr:nvGraphicFramePr>
          <xdr:xfrm>
            <a:off x="0" y="0"/>
            <a:ext cx="0" cy="0"/>
          </xdr:xfrm>
          <a:graphic>
            <a:graphicData uri="http://schemas.microsoft.com/office/drawing/2010/slicer">
              <sle:slicer xmlns:sle="http://schemas.microsoft.com/office/drawing/2010/slicer" name="OrderDate"/>
            </a:graphicData>
          </a:graphic>
        </xdr:graphicFrame>
      </mc:Choice>
      <mc:Fallback xmlns="">
        <xdr:sp macro="" textlink="">
          <xdr:nvSpPr>
            <xdr:cNvPr id="0" name=""/>
            <xdr:cNvSpPr>
              <a:spLocks noTextEdit="1"/>
            </xdr:cNvSpPr>
          </xdr:nvSpPr>
          <xdr:spPr>
            <a:xfrm>
              <a:off x="9671050" y="76200"/>
              <a:ext cx="1828800" cy="20796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19050</xdr:colOff>
      <xdr:row>5</xdr:row>
      <xdr:rowOff>34925</xdr:rowOff>
    </xdr:from>
    <xdr:to>
      <xdr:col>3</xdr:col>
      <xdr:colOff>393700</xdr:colOff>
      <xdr:row>19</xdr:row>
      <xdr:rowOff>69850</xdr:rowOff>
    </xdr:to>
    <xdr:graphicFrame macro="">
      <xdr:nvGraphicFramePr>
        <xdr:cNvPr id="2" name="Chart 1">
          <a:extLst>
            <a:ext uri="{FF2B5EF4-FFF2-40B4-BE49-F238E27FC236}">
              <a16:creationId xmlns:a16="http://schemas.microsoft.com/office/drawing/2014/main" id="{19B30C59-4AF6-4AAA-84FE-90FDC621E9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41275</xdr:colOff>
      <xdr:row>0</xdr:row>
      <xdr:rowOff>28575</xdr:rowOff>
    </xdr:from>
    <xdr:to>
      <xdr:col>9</xdr:col>
      <xdr:colOff>431800</xdr:colOff>
      <xdr:row>12</xdr:row>
      <xdr:rowOff>114300</xdr:rowOff>
    </xdr:to>
    <xdr:graphicFrame macro="">
      <xdr:nvGraphicFramePr>
        <xdr:cNvPr id="5" name="Chart 4">
          <a:extLst>
            <a:ext uri="{FF2B5EF4-FFF2-40B4-BE49-F238E27FC236}">
              <a16:creationId xmlns:a16="http://schemas.microsoft.com/office/drawing/2014/main" id="{BF3ED473-AE95-43E5-856A-2BCE59E159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488949</xdr:colOff>
      <xdr:row>0</xdr:row>
      <xdr:rowOff>38099</xdr:rowOff>
    </xdr:from>
    <xdr:to>
      <xdr:col>14</xdr:col>
      <xdr:colOff>228600</xdr:colOff>
      <xdr:row>12</xdr:row>
      <xdr:rowOff>107950</xdr:rowOff>
    </xdr:to>
    <xdr:graphicFrame macro="">
      <xdr:nvGraphicFramePr>
        <xdr:cNvPr id="6" name="Chart 5">
          <a:extLst>
            <a:ext uri="{FF2B5EF4-FFF2-40B4-BE49-F238E27FC236}">
              <a16:creationId xmlns:a16="http://schemas.microsoft.com/office/drawing/2014/main" id="{284592C2-B350-4261-A3D0-B55F6C7E52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257175</xdr:colOff>
      <xdr:row>0</xdr:row>
      <xdr:rowOff>22225</xdr:rowOff>
    </xdr:from>
    <xdr:to>
      <xdr:col>18</xdr:col>
      <xdr:colOff>558800</xdr:colOff>
      <xdr:row>12</xdr:row>
      <xdr:rowOff>95250</xdr:rowOff>
    </xdr:to>
    <xdr:graphicFrame macro="">
      <xdr:nvGraphicFramePr>
        <xdr:cNvPr id="7" name="Chart 6">
          <a:extLst>
            <a:ext uri="{FF2B5EF4-FFF2-40B4-BE49-F238E27FC236}">
              <a16:creationId xmlns:a16="http://schemas.microsoft.com/office/drawing/2014/main" id="{05D74B67-9F48-494F-938A-BF58826F9DD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161925</xdr:colOff>
      <xdr:row>0</xdr:row>
      <xdr:rowOff>0</xdr:rowOff>
    </xdr:from>
    <xdr:to>
      <xdr:col>8</xdr:col>
      <xdr:colOff>533400</xdr:colOff>
      <xdr:row>14</xdr:row>
      <xdr:rowOff>82550</xdr:rowOff>
    </xdr:to>
    <xdr:graphicFrame macro="">
      <xdr:nvGraphicFramePr>
        <xdr:cNvPr id="2" name="Chart 1">
          <a:extLst>
            <a:ext uri="{FF2B5EF4-FFF2-40B4-BE49-F238E27FC236}">
              <a16:creationId xmlns:a16="http://schemas.microsoft.com/office/drawing/2014/main" id="{9D08321B-CBE4-4B3D-B5EB-0D4889E10C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66675</xdr:colOff>
      <xdr:row>0</xdr:row>
      <xdr:rowOff>57150</xdr:rowOff>
    </xdr:from>
    <xdr:to>
      <xdr:col>8</xdr:col>
      <xdr:colOff>1625600</xdr:colOff>
      <xdr:row>14</xdr:row>
      <xdr:rowOff>158750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2C7EF27B-6877-4695-B992-B412B174792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3114675" y="57150"/>
              <a:ext cx="4943475" cy="26797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98.599579050926" createdVersion="7" refreshedVersion="7" minRefreshableVersion="3" recordCount="9" xr:uid="{63E24D55-4FB9-4609-AE9B-ED85BC9A3D2F}">
  <cacheSource type="worksheet">
    <worksheetSource name="employees"/>
  </cacheSource>
  <cacheFields count="20">
    <cacheField name="EmployeeID" numFmtId="0">
      <sharedItems containsSemiMixedTypes="0" containsString="0" containsNumber="1" containsInteger="1" minValue="1" maxValue="9"/>
    </cacheField>
    <cacheField name="LastName" numFmtId="0">
      <sharedItems/>
    </cacheField>
    <cacheField name="FirstName" numFmtId="0">
      <sharedItems/>
    </cacheField>
    <cacheField name="Title" numFmtId="0">
      <sharedItems count="4">
        <s v="Sales Representative"/>
        <s v="Vice President, Sales"/>
        <s v="Sales Manager"/>
        <s v="Inside Sales Coordinator"/>
      </sharedItems>
    </cacheField>
    <cacheField name="TitleOfCourtesy" numFmtId="0">
      <sharedItems count="4">
        <s v="Ms."/>
        <s v="Dr."/>
        <s v="Mrs."/>
        <s v="Mr."/>
      </sharedItems>
    </cacheField>
    <cacheField name="BirthDate" numFmtId="14">
      <sharedItems containsSemiMixedTypes="0" containsNonDate="0" containsDate="1" containsString="0" minDate="1937-09-19T00:00:00" maxDate="1966-01-28T00:00:00"/>
    </cacheField>
    <cacheField name="HireDate" numFmtId="14">
      <sharedItems containsSemiMixedTypes="0" containsNonDate="0" containsDate="1" containsString="0" minDate="1992-04-01T00:00:00" maxDate="1994-11-16T00:00:00" count="8">
        <d v="1992-05-01T00:00:00"/>
        <d v="1992-08-14T00:00:00"/>
        <d v="1992-04-01T00:00:00"/>
        <d v="1993-05-03T00:00:00"/>
        <d v="1993-10-17T00:00:00"/>
        <d v="1994-01-02T00:00:00"/>
        <d v="1994-03-05T00:00:00"/>
        <d v="1994-11-15T00:00:00"/>
      </sharedItems>
      <fieldGroup par="19" base="6">
        <rangePr groupBy="months" startDate="1992-04-01T00:00:00" endDate="1994-11-16T00:00:00"/>
        <groupItems count="14">
          <s v="&lt;01-04-1992"/>
          <s v="Jan"/>
          <s v="Feb"/>
          <s v="Mar"/>
          <s v="Apr"/>
          <s v="May"/>
          <s v="Jun"/>
          <s v="Jul"/>
          <s v="Aug"/>
          <s v="Sep"/>
          <s v="Oct"/>
          <s v="Nov"/>
          <s v="Dec"/>
          <s v="&gt;16-11-1994"/>
        </groupItems>
      </fieldGroup>
    </cacheField>
    <cacheField name="Address" numFmtId="0">
      <sharedItems/>
    </cacheField>
    <cacheField name="City" numFmtId="0">
      <sharedItems/>
    </cacheField>
    <cacheField name="Region" numFmtId="0">
      <sharedItems/>
    </cacheField>
    <cacheField name="PostalCode" numFmtId="0">
      <sharedItems/>
    </cacheField>
    <cacheField name="Country" numFmtId="0">
      <sharedItems count="2">
        <s v="USA"/>
        <s v="UK"/>
      </sharedItems>
    </cacheField>
    <cacheField name="HomePhone" numFmtId="0">
      <sharedItems/>
    </cacheField>
    <cacheField name="Extension" numFmtId="0">
      <sharedItems containsSemiMixedTypes="0" containsString="0" containsNumber="1" containsInteger="1" minValue="428" maxValue="5467"/>
    </cacheField>
    <cacheField name="Notes" numFmtId="0">
      <sharedItems longText="1"/>
    </cacheField>
    <cacheField name="ReportsTo" numFmtId="0">
      <sharedItems containsString="0" containsBlank="1" containsNumber="1" containsInteger="1" minValue="2" maxValue="5"/>
    </cacheField>
    <cacheField name="Tenure YEAR" numFmtId="0">
      <sharedItems containsSemiMixedTypes="0" containsString="0" containsNumber="1" minValue="31.063013698630137" maxValue="33.68767123287671"/>
    </cacheField>
    <cacheField name="HireYear" numFmtId="0">
      <sharedItems containsSemiMixedTypes="0" containsString="0" containsNumber="1" containsInteger="1" minValue="1992" maxValue="1994"/>
    </cacheField>
    <cacheField name="Quarters" numFmtId="0" databaseField="0">
      <fieldGroup base="6">
        <rangePr groupBy="quarters" startDate="1992-04-01T00:00:00" endDate="1994-11-16T00:00:00"/>
        <groupItems count="6">
          <s v="&lt;01-04-1992"/>
          <s v="Qtr1"/>
          <s v="Qtr2"/>
          <s v="Qtr3"/>
          <s v="Qtr4"/>
          <s v="&gt;16-11-1994"/>
        </groupItems>
      </fieldGroup>
    </cacheField>
    <cacheField name="Years" numFmtId="0" databaseField="0">
      <fieldGroup base="6">
        <rangePr groupBy="years" startDate="1992-04-01T00:00:00" endDate="1994-11-16T00:00:00"/>
        <groupItems count="5">
          <s v="&lt;01-04-1992"/>
          <s v="1992"/>
          <s v="1993"/>
          <s v="1994"/>
          <s v="&gt;16-11-1994"/>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98.599580787035" createdVersion="7" refreshedVersion="7" minRefreshableVersion="3" recordCount="89" xr:uid="{6B1266D8-55A2-4E2B-BC4A-4B7367AB5405}">
  <cacheSource type="worksheet">
    <worksheetSource ref="A1:G90" sheet="EDA Answer 3"/>
  </cacheSource>
  <cacheFields count="7">
    <cacheField name="Customer ID" numFmtId="0">
      <sharedItems/>
    </cacheField>
    <cacheField name="Order Count" numFmtId="0">
      <sharedItems containsSemiMixedTypes="0" containsString="0" containsNumber="1" containsInteger="1" minValue="1" maxValue="31"/>
    </cacheField>
    <cacheField name="Total Spend" numFmtId="0">
      <sharedItems containsSemiMixedTypes="0" containsString="0" containsNumber="1" minValue="100.8" maxValue="110277.30500000001"/>
    </cacheField>
    <cacheField name="Category Name " numFmtId="0">
      <sharedItems/>
    </cacheField>
    <cacheField name="Cluster" numFmtId="0">
      <sharedItems count="3">
        <s v="Low"/>
        <s v="High"/>
        <s v="Medium"/>
      </sharedItems>
    </cacheField>
    <cacheField name="Average Order Count" numFmtId="0">
      <sharedItems containsString="0" containsBlank="1" containsNumber="1" minValue="9.3258426966292127" maxValue="9.3258426966292127"/>
    </cacheField>
    <cacheField name="Average Total Spend" numFmtId="0">
      <sharedItems containsString="0" containsBlank="1" containsNumber="1" minValue="14222.393702247187" maxValue="14222.393702247187"/>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98.599582060182" createdVersion="7" refreshedVersion="7" minRefreshableVersion="3" recordCount="2155" xr:uid="{1187CA5D-6FB2-4378-94F9-F397025CF139}">
  <cacheSource type="worksheet">
    <worksheetSource name="order_details"/>
  </cacheSource>
  <cacheFields count="10">
    <cacheField name="OrderID" numFmtId="0">
      <sharedItems containsSemiMixedTypes="0" containsString="0" containsNumber="1" containsInteger="1" minValue="10248" maxValue="11077"/>
    </cacheField>
    <cacheField name="ProductID" numFmtId="0">
      <sharedItems containsSemiMixedTypes="0" containsString="0" containsNumber="1" containsInteger="1" minValue="1" maxValue="77" count="77">
        <n v="11"/>
        <n v="42"/>
        <n v="72"/>
        <n v="14"/>
        <n v="51"/>
        <n v="41"/>
        <n v="65"/>
        <n v="22"/>
        <n v="57"/>
        <n v="20"/>
        <n v="33"/>
        <n v="60"/>
        <n v="31"/>
        <n v="39"/>
        <n v="49"/>
        <n v="24"/>
        <n v="55"/>
        <n v="74"/>
        <n v="2"/>
        <n v="16"/>
        <n v="36"/>
        <n v="59"/>
        <n v="53"/>
        <n v="77"/>
        <n v="27"/>
        <n v="5"/>
        <n v="32"/>
        <n v="21"/>
        <n v="37"/>
        <n v="62"/>
        <n v="70"/>
        <n v="35"/>
        <n v="7"/>
        <n v="56"/>
        <n v="30"/>
        <n v="17"/>
        <n v="12"/>
        <n v="40"/>
        <n v="76"/>
        <n v="29"/>
        <n v="43"/>
        <n v="10"/>
        <n v="71"/>
        <n v="13"/>
        <n v="28"/>
        <n v="44"/>
        <n v="63"/>
        <n v="73"/>
        <n v="75"/>
        <n v="19"/>
        <n v="15"/>
        <n v="67"/>
        <n v="1"/>
        <n v="34"/>
        <n v="46"/>
        <n v="54"/>
        <n v="68"/>
        <n v="3"/>
        <n v="64"/>
        <n v="18"/>
        <n v="69"/>
        <n v="66"/>
        <n v="4"/>
        <n v="6"/>
        <n v="58"/>
        <n v="52"/>
        <n v="25"/>
        <n v="38"/>
        <n v="26"/>
        <n v="47"/>
        <n v="23"/>
        <n v="8"/>
        <n v="50"/>
        <n v="45"/>
        <n v="48"/>
        <n v="61"/>
        <n v="9"/>
      </sharedItems>
    </cacheField>
    <cacheField name="UnitPrice" numFmtId="0">
      <sharedItems containsSemiMixedTypes="0" containsString="0" containsNumber="1" minValue="2" maxValue="263.5"/>
    </cacheField>
    <cacheField name="Quantity" numFmtId="0">
      <sharedItems containsSemiMixedTypes="0" containsString="0" containsNumber="1" containsInteger="1" minValue="1" maxValue="130"/>
    </cacheField>
    <cacheField name="Discount" numFmtId="0">
      <sharedItems containsSemiMixedTypes="0" containsString="0" containsNumber="1" minValue="0" maxValue="0.25"/>
    </cacheField>
    <cacheField name="Order Value" numFmtId="0">
      <sharedItems containsSemiMixedTypes="0" containsString="0" containsNumber="1" minValue="4.8" maxValue="15810"/>
    </cacheField>
    <cacheField name="Category Name" numFmtId="0">
      <sharedItems count="8">
        <s v="Dairy Products"/>
        <s v="Grains/Cereals"/>
        <s v="Produce"/>
        <s v="Seafood"/>
        <s v="Condiments"/>
        <s v="Confections"/>
        <s v="Beverages"/>
        <s v="Meat/Poultry"/>
      </sharedItems>
    </cacheField>
    <cacheField name="Category ID" numFmtId="0">
      <sharedItems containsSemiMixedTypes="0" containsString="0" containsNumber="1" containsInteger="1" minValue="1" maxValue="8"/>
    </cacheField>
    <cacheField name="ShipCountry" numFmtId="0">
      <sharedItems count="21">
        <s v="France"/>
        <s v="Germany"/>
        <s v="Brazil"/>
        <s v="Belgium"/>
        <s v="Switzerland"/>
        <s v="Venezuela"/>
        <s v="Austria"/>
        <s v="Mexico"/>
        <s v="USA"/>
        <s v="Sweden"/>
        <s v="Finland"/>
        <s v="Italy"/>
        <s v="Spain"/>
        <s v="UK"/>
        <s v="Ireland"/>
        <s v="Portugal"/>
        <s v="Canada"/>
        <s v="Denmark"/>
        <s v="Poland"/>
        <s v="Norway"/>
        <s v="Argentina"/>
      </sharedItems>
    </cacheField>
    <cacheField name="Month" numFmtId="0">
      <sharedItems containsSemiMixedTypes="0" containsString="0" containsNumber="1" containsInteger="1" minValue="1" maxValue="12" count="12">
        <n v="8"/>
        <n v="9"/>
        <n v="10"/>
        <n v="11"/>
        <n v="12"/>
        <n v="1"/>
        <n v="2"/>
        <n v="3"/>
        <n v="4"/>
        <n v="5"/>
        <n v="6"/>
        <n v="7"/>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98.599583564814" createdVersion="7" refreshedVersion="7" minRefreshableVersion="3" recordCount="830" xr:uid="{4FE99EFC-6637-42E3-9EEA-46FEB480E971}">
  <cacheSource type="worksheet">
    <worksheetSource name="orders"/>
  </cacheSource>
  <cacheFields count="17">
    <cacheField name="OrderID" numFmtId="0">
      <sharedItems containsSemiMixedTypes="0" containsString="0" containsNumber="1" containsInteger="1" minValue="10248" maxValue="11077"/>
    </cacheField>
    <cacheField name="CustomerID" numFmtId="0">
      <sharedItems count="89">
        <s v="VINET"/>
        <s v="TOMSP"/>
        <s v="HANAR"/>
        <s v="VICTE"/>
        <s v="SUPRD"/>
        <s v="CHOPS"/>
        <s v="RICSU"/>
        <s v="WELLI"/>
        <s v="HILAA"/>
        <s v="ERNSH"/>
        <s v="CENTC"/>
        <s v="OTTIK"/>
        <s v="QUEDE"/>
        <s v="RATTC"/>
        <s v="FOLKO"/>
        <s v="BLONP"/>
        <s v="WARTH"/>
        <s v="FRANK"/>
        <s v="GROSR"/>
        <s v="WHITC"/>
        <s v="SPLIR"/>
        <s v="QUICK"/>
        <s v="MAGAA"/>
        <s v="TORTU"/>
        <s v="MORGK"/>
        <s v="BERGS"/>
        <s v="LEHMS"/>
        <s v="ROMEY"/>
        <s v="LILAS"/>
        <s v="RICAR"/>
        <s v="REGGC"/>
        <s v="BSBEV"/>
        <s v="COMMI"/>
        <s v="TRADH"/>
        <s v="HUNGO"/>
        <s v="WANDK"/>
        <s v="GODOS"/>
        <s v="OLDWO"/>
        <s v="LONEP"/>
        <s v="ANATR"/>
        <s v="THEBI"/>
        <s v="DUMON"/>
        <s v="ISLAT"/>
        <s v="PERIC"/>
        <s v="KOENE"/>
        <s v="SAVEA"/>
        <s v="BOLID"/>
        <s v="FURIB"/>
        <s v="BONAP"/>
        <s v="MEREP"/>
        <s v="PRINI"/>
        <s v="SIMOB"/>
        <s v="FAMIA"/>
        <s v="LAMAI"/>
        <s v="PICCO"/>
        <s v="AROUT"/>
        <s v="SEVES"/>
        <s v="DRACD"/>
        <s v="EASTC"/>
        <s v="ANTON"/>
        <s v="GALED"/>
        <s v="VAFFE"/>
        <s v="QUEEN"/>
        <s v="WOLZA"/>
        <s v="HUNGC"/>
        <s v="SANTG"/>
        <s v="BOTTM"/>
        <s v="LINOD"/>
        <s v="FOLIG"/>
        <s v="OCEAN"/>
        <s v="FRANS"/>
        <s v="GOURL"/>
        <s v="CONSH"/>
        <s v="RANCH"/>
        <s v="LAZYK"/>
        <s v="LAUGB"/>
        <s v="BLAUS"/>
        <s v="NORTS"/>
        <s v="CACTU"/>
        <s v="GREAL"/>
        <s v="MAISD"/>
        <s v="TRAIH"/>
        <s v="LETSS"/>
        <s v="WILMK"/>
        <s v="THECR"/>
        <s v="ALFKI"/>
        <s v="FRANR"/>
        <s v="SPECD"/>
        <s v="LACOR"/>
      </sharedItems>
    </cacheField>
    <cacheField name="EmployeeID" numFmtId="0">
      <sharedItems containsSemiMixedTypes="0" containsString="0" containsNumber="1" containsInteger="1" minValue="1" maxValue="9"/>
    </cacheField>
    <cacheField name="OrderDate" numFmtId="14">
      <sharedItems containsSemiMixedTypes="0" containsNonDate="0" containsDate="1" containsString="0" minDate="1994-08-04T00:00:00" maxDate="1996-06-06T00:00:00" count="480">
        <d v="1994-08-04T00:00:00"/>
        <d v="1994-08-05T00:00:00"/>
        <d v="1994-08-08T00:00:00"/>
        <d v="1994-08-09T00:00:00"/>
        <d v="1994-08-10T00:00:00"/>
        <d v="1994-08-11T00:00:00"/>
        <d v="1994-08-12T00:00:00"/>
        <d v="1994-08-15T00:00:00"/>
        <d v="1994-08-16T00:00:00"/>
        <d v="1994-08-17T00:00:00"/>
        <d v="1994-08-18T00:00:00"/>
        <d v="1994-08-19T00:00:00"/>
        <d v="1994-08-22T00:00:00"/>
        <d v="1994-08-23T00:00:00"/>
        <d v="1994-08-24T00:00:00"/>
        <d v="1994-08-25T00:00:00"/>
        <d v="1994-08-26T00:00:00"/>
        <d v="1994-08-29T00:00:00"/>
        <d v="1994-08-30T00:00:00"/>
        <d v="1994-08-31T00:00:00"/>
        <d v="1994-09-01T00:00:00"/>
        <d v="1994-09-02T00:00:00"/>
        <d v="1994-09-05T00:00:00"/>
        <d v="1994-09-06T00:00:00"/>
        <d v="1994-09-07T00:00:00"/>
        <d v="1994-09-08T00:00:00"/>
        <d v="1994-09-09T00:00:00"/>
        <d v="1994-09-12T00:00:00"/>
        <d v="1994-09-13T00:00:00"/>
        <d v="1994-09-14T00:00:00"/>
        <d v="1994-09-15T00:00:00"/>
        <d v="1994-09-16T00:00:00"/>
        <d v="1994-09-19T00:00:00"/>
        <d v="1994-09-20T00:00:00"/>
        <d v="1994-09-21T00:00:00"/>
        <d v="1994-09-22T00:00:00"/>
        <d v="1994-09-23T00:00:00"/>
        <d v="1994-09-26T00:00:00"/>
        <d v="1994-09-27T00:00:00"/>
        <d v="1994-09-28T00:00:00"/>
        <d v="1994-09-29T00:00:00"/>
        <d v="1994-09-30T00:00:00"/>
        <d v="1994-10-03T00:00:00"/>
        <d v="1994-10-04T00:00:00"/>
        <d v="1994-10-05T00:00:00"/>
        <d v="1994-10-06T00:00:00"/>
        <d v="1994-10-07T00:00:00"/>
        <d v="1994-10-10T00:00:00"/>
        <d v="1994-10-11T00:00:00"/>
        <d v="1994-10-12T00:00:00"/>
        <d v="1994-10-13T00:00:00"/>
        <d v="1994-10-14T00:00:00"/>
        <d v="1994-10-17T00:00:00"/>
        <d v="1994-10-18T00:00:00"/>
        <d v="1994-10-19T00:00:00"/>
        <d v="1994-10-20T00:00:00"/>
        <d v="1994-10-21T00:00:00"/>
        <d v="1994-10-24T00:00:00"/>
        <d v="1994-10-25T00:00:00"/>
        <d v="1994-10-26T00:00:00"/>
        <d v="1994-10-27T00:00:00"/>
        <d v="1994-10-28T00:00:00"/>
        <d v="1994-10-31T00:00:00"/>
        <d v="1994-11-01T00:00:00"/>
        <d v="1994-11-02T00:00:00"/>
        <d v="1994-11-03T00:00:00"/>
        <d v="1994-11-04T00:00:00"/>
        <d v="1994-11-07T00:00:00"/>
        <d v="1994-11-08T00:00:00"/>
        <d v="1994-11-09T00:00:00"/>
        <d v="1994-11-10T00:00:00"/>
        <d v="1994-11-11T00:00:00"/>
        <d v="1994-11-14T00:00:00"/>
        <d v="1994-11-15T00:00:00"/>
        <d v="1994-11-16T00:00:00"/>
        <d v="1994-11-17T00:00:00"/>
        <d v="1994-11-18T00:00:00"/>
        <d v="1994-11-21T00:00:00"/>
        <d v="1994-11-22T00:00:00"/>
        <d v="1994-11-23T00:00:00"/>
        <d v="1994-11-24T00:00:00"/>
        <d v="1994-11-25T00:00:00"/>
        <d v="1994-11-28T00:00:00"/>
        <d v="1994-11-29T00:00:00"/>
        <d v="1994-11-30T00:00:00"/>
        <d v="1994-12-01T00:00:00"/>
        <d v="1994-12-02T00:00:00"/>
        <d v="1994-12-05T00:00:00"/>
        <d v="1994-12-06T00:00:00"/>
        <d v="1994-12-07T00:00:00"/>
        <d v="1994-12-08T00:00:00"/>
        <d v="1994-12-09T00:00:00"/>
        <d v="1994-12-12T00:00:00"/>
        <d v="1994-12-13T00:00:00"/>
        <d v="1994-12-14T00:00:00"/>
        <d v="1994-12-15T00:00:00"/>
        <d v="1994-12-16T00:00:00"/>
        <d v="1994-12-19T00:00:00"/>
        <d v="1994-12-20T00:00:00"/>
        <d v="1994-12-21T00:00:00"/>
        <d v="1994-12-22T00:00:00"/>
        <d v="1994-12-23T00:00:00"/>
        <d v="1994-12-26T00:00:00"/>
        <d v="1994-12-27T00:00:00"/>
        <d v="1994-12-28T00:00:00"/>
        <d v="1994-12-29T00:00:00"/>
        <d v="1994-12-30T00:00:00"/>
        <d v="1995-01-02T00:00:00"/>
        <d v="1995-01-03T00:00:00"/>
        <d v="1995-01-04T00:00:00"/>
        <d v="1995-01-05T00:00:00"/>
        <d v="1995-01-06T00:00:00"/>
        <d v="1995-01-09T00:00:00"/>
        <d v="1995-01-10T00:00:00"/>
        <d v="1995-01-11T00:00:00"/>
        <d v="1995-01-12T00:00:00"/>
        <d v="1995-01-13T00:00:00"/>
        <d v="1995-01-16T00:00:00"/>
        <d v="1995-01-17T00:00:00"/>
        <d v="1995-01-18T00:00:00"/>
        <d v="1995-01-19T00:00:00"/>
        <d v="1995-01-20T00:00:00"/>
        <d v="1995-01-23T00:00:00"/>
        <d v="1995-01-24T00:00:00"/>
        <d v="1995-01-25T00:00:00"/>
        <d v="1995-01-26T00:00:00"/>
        <d v="1995-01-27T00:00:00"/>
        <d v="1995-01-30T00:00:00"/>
        <d v="1995-01-31T00:00:00"/>
        <d v="1995-02-01T00:00:00"/>
        <d v="1995-02-02T00:00:00"/>
        <d v="1995-02-03T00:00:00"/>
        <d v="1995-02-06T00:00:00"/>
        <d v="1995-02-07T00:00:00"/>
        <d v="1995-02-08T00:00:00"/>
        <d v="1995-02-09T00:00:00"/>
        <d v="1995-02-10T00:00:00"/>
        <d v="1995-02-13T00:00:00"/>
        <d v="1995-02-14T00:00:00"/>
        <d v="1995-02-15T00:00:00"/>
        <d v="1995-02-16T00:00:00"/>
        <d v="1995-02-17T00:00:00"/>
        <d v="1995-02-20T00:00:00"/>
        <d v="1995-02-21T00:00:00"/>
        <d v="1995-02-22T00:00:00"/>
        <d v="1995-02-23T00:00:00"/>
        <d v="1995-02-24T00:00:00"/>
        <d v="1995-02-27T00:00:00"/>
        <d v="1995-02-28T00:00:00"/>
        <d v="1995-03-01T00:00:00"/>
        <d v="1995-03-02T00:00:00"/>
        <d v="1995-03-03T00:00:00"/>
        <d v="1995-03-06T00:00:00"/>
        <d v="1995-03-07T00:00:00"/>
        <d v="1995-03-08T00:00:00"/>
        <d v="1995-03-09T00:00:00"/>
        <d v="1995-03-10T00:00:00"/>
        <d v="1995-03-13T00:00:00"/>
        <d v="1995-03-14T00:00:00"/>
        <d v="1995-03-15T00:00:00"/>
        <d v="1995-03-16T00:00:00"/>
        <d v="1995-03-17T00:00:00"/>
        <d v="1995-03-20T00:00:00"/>
        <d v="1995-03-21T00:00:00"/>
        <d v="1995-03-22T00:00:00"/>
        <d v="1995-03-23T00:00:00"/>
        <d v="1995-03-24T00:00:00"/>
        <d v="1995-03-27T00:00:00"/>
        <d v="1995-03-28T00:00:00"/>
        <d v="1995-03-29T00:00:00"/>
        <d v="1995-03-30T00:00:00"/>
        <d v="1995-03-31T00:00:00"/>
        <d v="1995-04-03T00:00:00"/>
        <d v="1995-04-04T00:00:00"/>
        <d v="1995-04-05T00:00:00"/>
        <d v="1995-04-06T00:00:00"/>
        <d v="1995-04-07T00:00:00"/>
        <d v="1995-04-10T00:00:00"/>
        <d v="1995-04-11T00:00:00"/>
        <d v="1995-04-12T00:00:00"/>
        <d v="1995-04-13T00:00:00"/>
        <d v="1995-04-14T00:00:00"/>
        <d v="1995-04-17T00:00:00"/>
        <d v="1995-04-18T00:00:00"/>
        <d v="1995-04-19T00:00:00"/>
        <d v="1995-04-20T00:00:00"/>
        <d v="1995-04-21T00:00:00"/>
        <d v="1995-04-24T00:00:00"/>
        <d v="1995-04-25T00:00:00"/>
        <d v="1995-04-26T00:00:00"/>
        <d v="1995-04-27T00:00:00"/>
        <d v="1995-04-28T00:00:00"/>
        <d v="1995-05-01T00:00:00"/>
        <d v="1995-05-02T00:00:00"/>
        <d v="1995-05-03T00:00:00"/>
        <d v="1995-05-04T00:00:00"/>
        <d v="1995-05-05T00:00:00"/>
        <d v="1995-05-08T00:00:00"/>
        <d v="1995-05-09T00:00:00"/>
        <d v="1995-05-10T00:00:00"/>
        <d v="1995-05-11T00:00:00"/>
        <d v="1995-05-12T00:00:00"/>
        <d v="1995-05-15T00:00:00"/>
        <d v="1995-05-16T00:00:00"/>
        <d v="1995-05-17T00:00:00"/>
        <d v="1995-05-18T00:00:00"/>
        <d v="1995-05-19T00:00:00"/>
        <d v="1995-05-22T00:00:00"/>
        <d v="1995-05-23T00:00:00"/>
        <d v="1995-05-24T00:00:00"/>
        <d v="1995-05-25T00:00:00"/>
        <d v="1995-05-26T00:00:00"/>
        <d v="1995-05-29T00:00:00"/>
        <d v="1995-05-30T00:00:00"/>
        <d v="1995-05-31T00:00:00"/>
        <d v="1995-06-01T00:00:00"/>
        <d v="1995-06-02T00:00:00"/>
        <d v="1995-06-05T00:00:00"/>
        <d v="1995-06-06T00:00:00"/>
        <d v="1995-06-07T00:00:00"/>
        <d v="1995-06-08T00:00:00"/>
        <d v="1995-06-09T00:00:00"/>
        <d v="1995-06-12T00:00:00"/>
        <d v="1995-06-13T00:00:00"/>
        <d v="1995-06-14T00:00:00"/>
        <d v="1995-06-15T00:00:00"/>
        <d v="1995-06-16T00:00:00"/>
        <d v="1995-06-19T00:00:00"/>
        <d v="1995-06-20T00:00:00"/>
        <d v="1995-06-21T00:00:00"/>
        <d v="1995-06-22T00:00:00"/>
        <d v="1995-06-23T00:00:00"/>
        <d v="1995-06-26T00:00:00"/>
        <d v="1995-06-27T00:00:00"/>
        <d v="1995-06-28T00:00:00"/>
        <d v="1995-06-29T00:00:00"/>
        <d v="1995-06-30T00:00:00"/>
        <d v="1995-07-03T00:00:00"/>
        <d v="1995-07-04T00:00:00"/>
        <d v="1995-07-05T00:00:00"/>
        <d v="1995-07-06T00:00:00"/>
        <d v="1995-07-07T00:00:00"/>
        <d v="1995-07-10T00:00:00"/>
        <d v="1995-07-11T00:00:00"/>
        <d v="1995-07-12T00:00:00"/>
        <d v="1995-07-13T00:00:00"/>
        <d v="1995-07-14T00:00:00"/>
        <d v="1995-07-17T00:00:00"/>
        <d v="1995-07-18T00:00:00"/>
        <d v="1995-07-19T00:00:00"/>
        <d v="1995-07-20T00:00:00"/>
        <d v="1995-07-21T00:00:00"/>
        <d v="1995-07-24T00:00:00"/>
        <d v="1995-07-25T00:00:00"/>
        <d v="1995-07-26T00:00:00"/>
        <d v="1995-07-27T00:00:00"/>
        <d v="1995-07-28T00:00:00"/>
        <d v="1995-07-31T00:00:00"/>
        <d v="1995-08-01T00:00:00"/>
        <d v="1995-08-02T00:00:00"/>
        <d v="1995-08-03T00:00:00"/>
        <d v="1995-08-04T00:00:00"/>
        <d v="1995-08-07T00:00:00"/>
        <d v="1995-08-08T00:00:00"/>
        <d v="1995-08-09T00:00:00"/>
        <d v="1995-08-10T00:00:00"/>
        <d v="1995-08-11T00:00:00"/>
        <d v="1995-08-14T00:00:00"/>
        <d v="1995-08-15T00:00:00"/>
        <d v="1995-08-16T00:00:00"/>
        <d v="1995-08-17T00:00:00"/>
        <d v="1995-08-18T00:00:00"/>
        <d v="1995-08-21T00:00:00"/>
        <d v="1995-08-22T00:00:00"/>
        <d v="1995-08-23T00:00:00"/>
        <d v="1995-08-24T00:00:00"/>
        <d v="1995-08-25T00:00:00"/>
        <d v="1995-08-28T00:00:00"/>
        <d v="1995-08-29T00:00:00"/>
        <d v="1995-08-30T00:00:00"/>
        <d v="1995-08-31T00:00:00"/>
        <d v="1995-09-01T00:00:00"/>
        <d v="1995-09-04T00:00:00"/>
        <d v="1995-09-05T00:00:00"/>
        <d v="1995-09-06T00:00:00"/>
        <d v="1995-09-07T00:00:00"/>
        <d v="1995-09-08T00:00:00"/>
        <d v="1995-09-11T00:00:00"/>
        <d v="1995-09-12T00:00:00"/>
        <d v="1995-09-13T00:00:00"/>
        <d v="1995-09-14T00:00:00"/>
        <d v="1995-09-15T00:00:00"/>
        <d v="1995-09-18T00:00:00"/>
        <d v="1995-09-19T00:00:00"/>
        <d v="1995-09-20T00:00:00"/>
        <d v="1995-09-21T00:00:00"/>
        <d v="1995-09-22T00:00:00"/>
        <d v="1995-09-25T00:00:00"/>
        <d v="1995-09-26T00:00:00"/>
        <d v="1995-09-27T00:00:00"/>
        <d v="1995-09-28T00:00:00"/>
        <d v="1995-09-29T00:00:00"/>
        <d v="1995-10-02T00:00:00"/>
        <d v="1995-10-03T00:00:00"/>
        <d v="1995-10-04T00:00:00"/>
        <d v="1995-10-05T00:00:00"/>
        <d v="1995-10-06T00:00:00"/>
        <d v="1995-10-09T00:00:00"/>
        <d v="1995-10-10T00:00:00"/>
        <d v="1995-10-11T00:00:00"/>
        <d v="1995-10-12T00:00:00"/>
        <d v="1995-10-13T00:00:00"/>
        <d v="1995-10-16T00:00:00"/>
        <d v="1995-10-17T00:00:00"/>
        <d v="1995-10-18T00:00:00"/>
        <d v="1995-10-19T00:00:00"/>
        <d v="1995-10-20T00:00:00"/>
        <d v="1995-10-23T00:00:00"/>
        <d v="1995-10-24T00:00:00"/>
        <d v="1995-10-25T00:00:00"/>
        <d v="1995-10-26T00:00:00"/>
        <d v="1995-10-27T00:00:00"/>
        <d v="1995-10-30T00:00:00"/>
        <d v="1995-10-31T00:00:00"/>
        <d v="1995-11-01T00:00:00"/>
        <d v="1995-11-02T00:00:00"/>
        <d v="1995-11-03T00:00:00"/>
        <d v="1995-11-06T00:00:00"/>
        <d v="1995-11-07T00:00:00"/>
        <d v="1995-11-08T00:00:00"/>
        <d v="1995-11-09T00:00:00"/>
        <d v="1995-11-10T00:00:00"/>
        <d v="1995-11-13T00:00:00"/>
        <d v="1995-11-14T00:00:00"/>
        <d v="1995-11-15T00:00:00"/>
        <d v="1995-11-16T00:00:00"/>
        <d v="1995-11-17T00:00:00"/>
        <d v="1995-11-20T00:00:00"/>
        <d v="1995-11-21T00:00:00"/>
        <d v="1995-11-22T00:00:00"/>
        <d v="1995-11-23T00:00:00"/>
        <d v="1995-11-24T00:00:00"/>
        <d v="1995-11-27T00:00:00"/>
        <d v="1995-11-28T00:00:00"/>
        <d v="1995-11-29T00:00:00"/>
        <d v="1995-11-30T00:00:00"/>
        <d v="1995-12-01T00:00:00"/>
        <d v="1995-12-04T00:00:00"/>
        <d v="1995-12-05T00:00:00"/>
        <d v="1995-12-06T00:00:00"/>
        <d v="1995-12-07T00:00:00"/>
        <d v="1995-12-08T00:00:00"/>
        <d v="1995-12-11T00:00:00"/>
        <d v="1995-12-12T00:00:00"/>
        <d v="1995-12-13T00:00:00"/>
        <d v="1995-12-14T00:00:00"/>
        <d v="1995-12-15T00:00:00"/>
        <d v="1995-12-18T00:00:00"/>
        <d v="1995-12-19T00:00:00"/>
        <d v="1995-12-20T00:00:00"/>
        <d v="1995-12-21T00:00:00"/>
        <d v="1995-12-22T00:00:00"/>
        <d v="1995-12-25T00:00:00"/>
        <d v="1995-12-26T00:00:00"/>
        <d v="1995-12-27T00:00:00"/>
        <d v="1995-12-28T00:00:00"/>
        <d v="1995-12-29T00:00:00"/>
        <d v="1996-01-01T00:00:00"/>
        <d v="1996-01-02T00:00:00"/>
        <d v="1996-01-03T00:00:00"/>
        <d v="1996-01-04T00:00:00"/>
        <d v="1996-01-05T00:00:00"/>
        <d v="1996-01-08T00:00:00"/>
        <d v="1996-01-09T00:00:00"/>
        <d v="1996-01-10T00:00:00"/>
        <d v="1996-01-11T00:00:00"/>
        <d v="1996-01-12T00:00:00"/>
        <d v="1996-01-15T00:00:00"/>
        <d v="1996-01-16T00:00:00"/>
        <d v="1996-01-17T00:00:00"/>
        <d v="1996-01-18T00:00:00"/>
        <d v="1996-01-19T00:00:00"/>
        <d v="1996-01-22T00:00:00"/>
        <d v="1996-01-23T00:00:00"/>
        <d v="1996-01-24T00:00:00"/>
        <d v="1996-01-25T00:00:00"/>
        <d v="1996-01-26T00:00:00"/>
        <d v="1996-01-29T00:00:00"/>
        <d v="1996-01-30T00:00:00"/>
        <d v="1996-01-31T00:00:00"/>
        <d v="1996-02-01T00:00:00"/>
        <d v="1996-02-02T00:00:00"/>
        <d v="1996-02-05T00:00:00"/>
        <d v="1996-02-06T00:00:00"/>
        <d v="1996-02-07T00:00:00"/>
        <d v="1996-02-08T00:00:00"/>
        <d v="1996-02-09T00:00:00"/>
        <d v="1996-02-12T00:00:00"/>
        <d v="1996-02-13T00:00:00"/>
        <d v="1996-02-14T00:00:00"/>
        <d v="1996-02-15T00:00:00"/>
        <d v="1996-02-16T00:00:00"/>
        <d v="1996-02-19T00:00:00"/>
        <d v="1996-02-20T00:00:00"/>
        <d v="1996-02-21T00:00:00"/>
        <d v="1996-02-22T00:00:00"/>
        <d v="1996-02-23T00:00:00"/>
        <d v="1996-02-26T00:00:00"/>
        <d v="1996-02-27T00:00:00"/>
        <d v="1996-02-28T00:00:00"/>
        <d v="1996-02-29T00:00:00"/>
        <d v="1996-03-01T00:00:00"/>
        <d v="1996-03-04T00:00:00"/>
        <d v="1996-03-05T00:00:00"/>
        <d v="1996-03-06T00:00:00"/>
        <d v="1996-03-07T00:00:00"/>
        <d v="1996-03-08T00:00:00"/>
        <d v="1996-03-11T00:00:00"/>
        <d v="1996-03-12T00:00:00"/>
        <d v="1996-03-13T00:00:00"/>
        <d v="1996-03-14T00:00:00"/>
        <d v="1996-03-15T00:00:00"/>
        <d v="1996-03-18T00:00:00"/>
        <d v="1996-03-19T00:00:00"/>
        <d v="1996-03-20T00:00:00"/>
        <d v="1996-03-21T00:00:00"/>
        <d v="1996-03-22T00:00:00"/>
        <d v="1996-03-25T00:00:00"/>
        <d v="1996-03-26T00:00:00"/>
        <d v="1996-03-27T00:00:00"/>
        <d v="1996-03-28T00:00:00"/>
        <d v="1996-03-29T00:00:00"/>
        <d v="1996-04-01T00:00:00"/>
        <d v="1996-04-02T00:00:00"/>
        <d v="1996-04-03T00:00:00"/>
        <d v="1996-04-04T00:00:00"/>
        <d v="1996-04-05T00:00:00"/>
        <d v="1996-04-08T00:00:00"/>
        <d v="1996-04-09T00:00:00"/>
        <d v="1996-04-10T00:00:00"/>
        <d v="1996-04-11T00:00:00"/>
        <d v="1996-04-12T00:00:00"/>
        <d v="1996-04-15T00:00:00"/>
        <d v="1996-04-16T00:00:00"/>
        <d v="1996-04-17T00:00:00"/>
        <d v="1996-04-18T00:00:00"/>
        <d v="1996-04-19T00:00:00"/>
        <d v="1996-04-22T00:00:00"/>
        <d v="1996-04-23T00:00:00"/>
        <d v="1996-04-24T00:00:00"/>
        <d v="1996-04-25T00:00:00"/>
        <d v="1996-04-26T00:00:00"/>
        <d v="1996-04-29T00:00:00"/>
        <d v="1996-04-30T00:00:00"/>
        <d v="1996-05-01T00:00:00"/>
        <d v="1996-05-02T00:00:00"/>
        <d v="1996-05-03T00:00:00"/>
        <d v="1996-05-06T00:00:00"/>
        <d v="1996-05-07T00:00:00"/>
        <d v="1996-05-08T00:00:00"/>
        <d v="1996-05-09T00:00:00"/>
        <d v="1996-05-10T00:00:00"/>
        <d v="1996-05-13T00:00:00"/>
        <d v="1996-05-14T00:00:00"/>
        <d v="1996-05-15T00:00:00"/>
        <d v="1996-05-16T00:00:00"/>
        <d v="1996-05-17T00:00:00"/>
        <d v="1996-05-20T00:00:00"/>
        <d v="1996-05-21T00:00:00"/>
        <d v="1996-05-22T00:00:00"/>
        <d v="1996-05-23T00:00:00"/>
        <d v="1996-05-24T00:00:00"/>
        <d v="1996-05-27T00:00:00"/>
        <d v="1996-05-28T00:00:00"/>
        <d v="1996-05-29T00:00:00"/>
        <d v="1996-05-30T00:00:00"/>
        <d v="1996-05-31T00:00:00"/>
        <d v="1996-06-03T00:00:00"/>
        <d v="1996-06-04T00:00:00"/>
        <d v="1996-06-05T00:00:00"/>
      </sharedItems>
      <fieldGroup par="16" base="3">
        <rangePr groupBy="months" startDate="1994-08-04T00:00:00" endDate="1996-06-06T00:00:00"/>
        <groupItems count="14">
          <s v="&lt;04-08-1994"/>
          <s v="Jan"/>
          <s v="Feb"/>
          <s v="Mar"/>
          <s v="Apr"/>
          <s v="May"/>
          <s v="Jun"/>
          <s v="Jul"/>
          <s v="Aug"/>
          <s v="Sep"/>
          <s v="Oct"/>
          <s v="Nov"/>
          <s v="Dec"/>
          <s v="&gt;06-06-1996"/>
        </groupItems>
      </fieldGroup>
    </cacheField>
    <cacheField name="RequiredDate" numFmtId="14">
      <sharedItems containsSemiMixedTypes="0" containsNonDate="0" containsDate="1" containsString="0" minDate="1994-08-24T00:00:00" maxDate="1996-07-12T00:00:00"/>
    </cacheField>
    <cacheField name="ShippedDate" numFmtId="14">
      <sharedItems containsNonDate="0" containsDate="1" containsString="0" containsBlank="1" minDate="1994-08-10T00:00:00" maxDate="1996-06-06T00:00:00"/>
    </cacheField>
    <cacheField name="ShipVia" numFmtId="0">
      <sharedItems containsSemiMixedTypes="0" containsString="0" containsNumber="1" containsInteger="1" minValue="1" maxValue="3"/>
    </cacheField>
    <cacheField name="Freight" numFmtId="0">
      <sharedItems containsSemiMixedTypes="0" containsString="0" containsNumber="1" minValue="0.02" maxValue="1007.64"/>
    </cacheField>
    <cacheField name="ShipName" numFmtId="0">
      <sharedItems/>
    </cacheField>
    <cacheField name="ShipAddress" numFmtId="0">
      <sharedItems/>
    </cacheField>
    <cacheField name="ShipCity" numFmtId="0">
      <sharedItems count="70">
        <s v="Reims"/>
        <s v="MÃ¼nster"/>
        <s v="Rio de Janeiro"/>
        <s v="Lyon"/>
        <s v="Charleroi"/>
        <s v="Bern"/>
        <s v="GenÃ¨ve"/>
        <s v="Resende"/>
        <s v="San CristÃ³bal"/>
        <s v="Graz"/>
        <s v="MÃ©xico D.F."/>
        <s v="KÃ¶ln"/>
        <s v="Albuquerque"/>
        <s v="BrÃ¤cke"/>
        <s v="Strasbourg"/>
        <s v="Oulu"/>
        <s v="MÃ¼nchen"/>
        <s v="Caracas"/>
        <s v="Seattle"/>
        <s v="Lander"/>
        <s v="Cunewalde"/>
        <s v="Bergamo"/>
        <s v="Leipzig"/>
        <s v="LuleÃ¥"/>
        <s v="Frankfurt a.M."/>
        <s v="Madrid"/>
        <s v="Barquisimeto"/>
        <s v="Reggio Emilia"/>
        <s v="London"/>
        <s v="SÃ£o Paulo"/>
        <s v="Cork"/>
        <s v="Stuttgart"/>
        <s v="Sevilla"/>
        <s v="Anchorage"/>
        <s v="Portland"/>
        <s v="Nantes"/>
        <s v="Cowes"/>
        <s v="Brandenburg"/>
        <s v="Boise"/>
        <s v="Lisboa"/>
        <s v="Marseille"/>
        <s v="MontrÃ©al"/>
        <s v="KÃ¸benhavn"/>
        <s v="Toulouse"/>
        <s v="Salzburg"/>
        <s v="Colchester"/>
        <s v="Aachen"/>
        <s v="Barcelona"/>
        <s v="Ã…rhus"/>
        <s v="Warszawa"/>
        <s v="Elgin"/>
        <s v="Stavern"/>
        <s v="Tsawassen"/>
        <s v="I. de Margarita"/>
        <s v="Lille"/>
        <s v="Buenos Aires"/>
        <s v="Torino"/>
        <s v="Campinas"/>
        <s v="Walla Walla"/>
        <s v="Vancouver"/>
        <s v="Mannheim"/>
        <s v="Eugene"/>
        <s v="Bruxelles"/>
        <s v="Kirkland"/>
        <s v="San Francisco"/>
        <s v="Helsinki"/>
        <s v="Butte"/>
        <s v="Berlin"/>
        <s v="Paris"/>
        <s v="Versailles"/>
      </sharedItems>
    </cacheField>
    <cacheField name="ShipRegion" numFmtId="0">
      <sharedItems/>
    </cacheField>
    <cacheField name="ShipPostalCode" numFmtId="0">
      <sharedItems/>
    </cacheField>
    <cacheField name="ShipCountry" numFmtId="0">
      <sharedItems count="21">
        <s v="France"/>
        <s v="Germany"/>
        <s v="Brazil"/>
        <s v="Belgium"/>
        <s v="Switzerland"/>
        <s v="Venezuela"/>
        <s v="Austria"/>
        <s v="Mexico"/>
        <s v="USA"/>
        <s v="Sweden"/>
        <s v="Finland"/>
        <s v="Italy"/>
        <s v="Spain"/>
        <s v="UK"/>
        <s v="Ireland"/>
        <s v="Portugal"/>
        <s v="Canada"/>
        <s v="Denmark"/>
        <s v="Poland"/>
        <s v="Norway"/>
        <s v="Argentina"/>
      </sharedItems>
    </cacheField>
    <cacheField name="Month" numFmtId="0">
      <sharedItems containsSemiMixedTypes="0" containsString="0" containsNumber="1" containsInteger="1" minValue="1" maxValue="12"/>
    </cacheField>
    <cacheField name="Quarters" numFmtId="0" databaseField="0">
      <fieldGroup base="3">
        <rangePr groupBy="quarters" startDate="1994-08-04T00:00:00" endDate="1996-06-06T00:00:00"/>
        <groupItems count="6">
          <s v="&lt;04-08-1994"/>
          <s v="Qtr1"/>
          <s v="Qtr2"/>
          <s v="Qtr3"/>
          <s v="Qtr4"/>
          <s v="&gt;06-06-1996"/>
        </groupItems>
      </fieldGroup>
    </cacheField>
    <cacheField name="Years" numFmtId="0" databaseField="0">
      <fieldGroup base="3">
        <rangePr groupBy="years" startDate="1994-08-04T00:00:00" endDate="1996-06-06T00:00:00"/>
        <groupItems count="5">
          <s v="&lt;04-08-1994"/>
          <s v="1994"/>
          <s v="1995"/>
          <s v="1996"/>
          <s v="&gt;06-06-1996"/>
        </groupItems>
      </fieldGroup>
    </cacheField>
  </cacheFields>
  <extLst>
    <ext xmlns:x14="http://schemas.microsoft.com/office/spreadsheetml/2009/9/main" uri="{725AE2AE-9491-48be-B2B4-4EB974FC3084}">
      <x14:pivotCacheDefinition pivotCacheId="62778376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n v="1"/>
    <s v="Davolio"/>
    <s v="Nancy"/>
    <x v="0"/>
    <x v="0"/>
    <d v="1948-12-08T00:00:00"/>
    <x v="0"/>
    <s v="507 - 20th Ave. E.Apt. 2A"/>
    <s v="Seattle"/>
    <s v="WA"/>
    <s v="98122"/>
    <x v="0"/>
    <s v="(206) 555-9857"/>
    <n v="5467"/>
    <s v="Education includes a BA in psychology from Colorado State University in 1970.  She also completed &quot;The Art of the Cold Call.&quot;  Nancy is a member of Toastmasters International."/>
    <n v="2"/>
    <n v="33.605479452054794"/>
    <n v="1992"/>
  </r>
  <r>
    <n v="2"/>
    <s v="Fuller"/>
    <s v="Andrew"/>
    <x v="1"/>
    <x v="1"/>
    <d v="1952-02-19T00:00:00"/>
    <x v="1"/>
    <s v="908 W. Capital Way"/>
    <s v="Tacoma"/>
    <s v="WA"/>
    <s v="98401"/>
    <x v="0"/>
    <s v="(206) 555-9482"/>
    <n v="3457"/>
    <s v="Andrew received his BTS commercial in 1974 and a Ph.D. in international marketing from the University of Dallas in 1981.  He is fluent in French and Italian and reads German.  He joined the company as a sales representative, was promoted to sales manager in January 1992 and to vice president of sales in March 1993.  Andrew is a member of the Sales Management Roundtable, the Seattle Chamber of Commerce, and the Pacific Rim Importers Association."/>
    <m/>
    <n v="33.317808219178083"/>
    <n v="1992"/>
  </r>
  <r>
    <n v="3"/>
    <s v="Leverling"/>
    <s v="Janet"/>
    <x v="0"/>
    <x v="0"/>
    <d v="1963-08-30T00:00:00"/>
    <x v="2"/>
    <s v="722 Moss Bay Blvd."/>
    <s v="Kirkland"/>
    <s v="WA"/>
    <s v="98033"/>
    <x v="0"/>
    <s v="(206) 555-3412"/>
    <n v="3355"/>
    <s v="Janet has a BS degree in chemistry from Boston College (1984).  She has also completed a certificate program in food retailing management.  Janet was hired as a sales associate in 1991 and promoted to sales representative in February 1992."/>
    <n v="2"/>
    <n v="33.68767123287671"/>
    <n v="1992"/>
  </r>
  <r>
    <n v="4"/>
    <s v="Peacock"/>
    <s v="Margaret"/>
    <x v="0"/>
    <x v="2"/>
    <d v="1937-09-19T00:00:00"/>
    <x v="3"/>
    <s v="4110 Old Redmond Rd."/>
    <s v="Redmond"/>
    <s v="WA"/>
    <s v="98052"/>
    <x v="0"/>
    <s v="(206) 555-8122"/>
    <n v="5176"/>
    <s v="Margaret holds a BA in English literature from Concordia College (1958) and an MA from the American Institute of Culinary Arts (1966).  She was assigned to the London office temporarily from July through November 1992."/>
    <n v="2"/>
    <n v="32.6"/>
    <n v="1993"/>
  </r>
  <r>
    <n v="5"/>
    <s v="Buchanan"/>
    <s v="Steven"/>
    <x v="2"/>
    <x v="3"/>
    <d v="1955-03-04T00:00:00"/>
    <x v="4"/>
    <s v="14 Garrett Hill"/>
    <s v="London"/>
    <s v=""/>
    <s v="SW1 8JR"/>
    <x v="1"/>
    <s v="(71) 555-4848"/>
    <n v="3453"/>
    <s v="Steven Buchanan graduated from St. Andrews University, Scotland, with a BSC degree in 1976.  Upon joining the company as a sales representative in 1992, he spent 6 months in an orientation program at the Seattle office and then returned to his permanent post in London.  He was promoted to sales manager in March 1993.  Mr. Buchanan has completed the courses &quot;Successful Telemarketing&quot; and &quot;International Sales Management.&quot;  He is fluent in French."/>
    <n v="2"/>
    <n v="32.142465753424659"/>
    <n v="1993"/>
  </r>
  <r>
    <n v="6"/>
    <s v="Suyama"/>
    <s v="Michael"/>
    <x v="0"/>
    <x v="3"/>
    <d v="1963-07-02T00:00:00"/>
    <x v="4"/>
    <s v="Coventry HouseMiner Rd."/>
    <s v="London"/>
    <s v=""/>
    <s v="EC2 7JR"/>
    <x v="1"/>
    <s v="(71) 555-7773"/>
    <n v="428"/>
    <s v="Michael is a graduate of Sussex University (MA, economics, 1983) and the University of California at Los Angeles (MBA, marketing, 1986).  He has also taken the courses &quot;Multi-Cultural Selling&quot; and &quot;Time Management for the Sales Professional.&quot;  He is fluent in Japanese and can read and write French, Portuguese, and Spanish."/>
    <n v="5"/>
    <n v="32.142465753424659"/>
    <n v="1993"/>
  </r>
  <r>
    <n v="7"/>
    <s v="King"/>
    <s v="Robert"/>
    <x v="0"/>
    <x v="3"/>
    <d v="1960-05-29T00:00:00"/>
    <x v="5"/>
    <s v="Edgeham HollowWinchester Way"/>
    <s v="London"/>
    <s v=""/>
    <s v="RG1 9SP"/>
    <x v="1"/>
    <s v="(71) 555-5598"/>
    <n v="465"/>
    <s v="Robert King served in the Peace Corps and traveled extensively before completing his degree in English at the University of Michigan in 1992, the year he joined the company.  After completing a course entitled &quot;Selling in Europe,&quot; he was transferred to the London office in March 1993."/>
    <n v="5"/>
    <n v="31.931506849315067"/>
    <n v="1994"/>
  </r>
  <r>
    <n v="8"/>
    <s v="Callahan"/>
    <s v="Laura"/>
    <x v="3"/>
    <x v="0"/>
    <d v="1958-01-09T00:00:00"/>
    <x v="6"/>
    <s v="4726 - 11th Ave. N.E."/>
    <s v="Seattle"/>
    <s v="WA"/>
    <s v="98105"/>
    <x v="0"/>
    <s v="(206) 555-1189"/>
    <n v="2344"/>
    <s v="Laura received a BA in psychology from the University of Washington.  She has also completed a course in business French.  She reads and writes French."/>
    <n v="2"/>
    <n v="31.761643835616439"/>
    <n v="1994"/>
  </r>
  <r>
    <n v="9"/>
    <s v="Dodsworth"/>
    <s v="Anne"/>
    <x v="0"/>
    <x v="0"/>
    <d v="1966-01-27T00:00:00"/>
    <x v="7"/>
    <s v="7 Houndstooth Rd."/>
    <s v="London"/>
    <s v=""/>
    <s v="WG2 7LT"/>
    <x v="1"/>
    <s v="(71) 555-4444"/>
    <n v="452"/>
    <s v="Anne has a BA degree in English from St. Lawrence College.  She is fluent in French and German."/>
    <n v="5"/>
    <n v="31.063013698630137"/>
    <n v="199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s v="VINET"/>
    <n v="5"/>
    <n v="1480"/>
    <s v="Dairy Products"/>
    <x v="0"/>
    <n v="9.3258426966292127"/>
    <n v="14222.393702247187"/>
  </r>
  <r>
    <s v="TOMSP"/>
    <n v="6"/>
    <n v="4778.1400000000003"/>
    <s v="Grains/Cereals"/>
    <x v="0"/>
    <m/>
    <m/>
  </r>
  <r>
    <s v="HANAR"/>
    <n v="14"/>
    <n v="32841.369999999995"/>
    <s v="Dairy Products"/>
    <x v="1"/>
    <m/>
    <m/>
  </r>
  <r>
    <s v="VICTE"/>
    <n v="10"/>
    <n v="9182.43"/>
    <s v="Produce"/>
    <x v="2"/>
    <m/>
    <m/>
  </r>
  <r>
    <s v="SUPRD"/>
    <n v="12"/>
    <n v="24088.78"/>
    <s v="Produce"/>
    <x v="1"/>
    <m/>
    <m/>
  </r>
  <r>
    <s v="CHOPS"/>
    <n v="8"/>
    <n v="12348.88"/>
    <s v="Seafood"/>
    <x v="2"/>
    <m/>
    <m/>
  </r>
  <r>
    <s v="RICSU"/>
    <n v="10"/>
    <n v="19343.778999999999"/>
    <s v="Produce"/>
    <x v="1"/>
    <m/>
    <m/>
  </r>
  <r>
    <s v="WELLI"/>
    <n v="9"/>
    <n v="6068.2000000000007"/>
    <s v="Condiments"/>
    <x v="0"/>
    <m/>
    <m/>
  </r>
  <r>
    <s v="HILAA"/>
    <n v="18"/>
    <n v="22768.764000000003"/>
    <s v="Grains/Cereals"/>
    <x v="1"/>
    <m/>
    <m/>
  </r>
  <r>
    <s v="ERNSH"/>
    <n v="30"/>
    <n v="104874.9785"/>
    <s v="Grains/Cereals"/>
    <x v="1"/>
    <m/>
    <m/>
  </r>
  <r>
    <s v="CENTC"/>
    <n v="1"/>
    <n v="100.8"/>
    <s v="Condiments"/>
    <x v="0"/>
    <m/>
    <m/>
  </r>
  <r>
    <s v="OTTIK"/>
    <n v="10"/>
    <n v="12496.2"/>
    <s v="Confections"/>
    <x v="2"/>
    <m/>
    <m/>
  </r>
  <r>
    <s v="QUEDE"/>
    <n v="9"/>
    <n v="6664.8100000000013"/>
    <s v="Dairy Products"/>
    <x v="0"/>
    <m/>
    <m/>
  </r>
  <r>
    <s v="RATTC"/>
    <n v="18"/>
    <n v="51097.800500000005"/>
    <s v="Dairy Products"/>
    <x v="1"/>
    <m/>
    <m/>
  </r>
  <r>
    <s v="FOLKO"/>
    <n v="19"/>
    <n v="29567.5625"/>
    <s v="Dairy Products"/>
    <x v="1"/>
    <m/>
    <m/>
  </r>
  <r>
    <s v="BLONP"/>
    <n v="11"/>
    <n v="18534.080000000002"/>
    <s v="Beverages"/>
    <x v="1"/>
    <m/>
    <m/>
  </r>
  <r>
    <s v="WARTH"/>
    <n v="15"/>
    <n v="15648.702499999999"/>
    <s v="Confections"/>
    <x v="1"/>
    <m/>
    <m/>
  </r>
  <r>
    <s v="FRANK"/>
    <n v="15"/>
    <n v="26656.559500000003"/>
    <s v="Beverages"/>
    <x v="1"/>
    <m/>
    <m/>
  </r>
  <r>
    <s v="GROSR"/>
    <n v="2"/>
    <n v="1488.7"/>
    <s v="Meat/Poultry"/>
    <x v="0"/>
    <m/>
    <m/>
  </r>
  <r>
    <s v="WHITC"/>
    <n v="14"/>
    <n v="27363.605000000003"/>
    <s v="Produce"/>
    <x v="1"/>
    <m/>
    <m/>
  </r>
  <r>
    <s v="SPLIR"/>
    <n v="9"/>
    <n v="11441.630000000001"/>
    <s v="Beverages"/>
    <x v="2"/>
    <m/>
    <m/>
  </r>
  <r>
    <s v="QUICK"/>
    <n v="28"/>
    <n v="110277.30500000001"/>
    <s v="Confections"/>
    <x v="1"/>
    <m/>
    <m/>
  </r>
  <r>
    <s v="MAGAA"/>
    <n v="10"/>
    <n v="7176.2150000000001"/>
    <s v="Seafood"/>
    <x v="2"/>
    <m/>
    <m/>
  </r>
  <r>
    <s v="TORTU"/>
    <n v="10"/>
    <n v="10812.150000000001"/>
    <s v="Dairy Products"/>
    <x v="2"/>
    <m/>
    <m/>
  </r>
  <r>
    <s v="MORGK"/>
    <n v="5"/>
    <n v="5042.2"/>
    <s v="Meat/Poultry"/>
    <x v="0"/>
    <m/>
    <m/>
  </r>
  <r>
    <s v="BERGS"/>
    <n v="18"/>
    <n v="24927.577500000003"/>
    <s v="Condiments"/>
    <x v="1"/>
    <m/>
    <m/>
  </r>
  <r>
    <s v="LEHMS"/>
    <n v="15"/>
    <n v="19261.41"/>
    <s v="Confections"/>
    <x v="1"/>
    <m/>
    <m/>
  </r>
  <r>
    <s v="ROMEY"/>
    <n v="5"/>
    <n v="1467.29"/>
    <s v="Beverages"/>
    <x v="0"/>
    <m/>
    <m/>
  </r>
  <r>
    <s v="LILAS"/>
    <n v="14"/>
    <n v="16076.599999999999"/>
    <s v="Condiments"/>
    <x v="1"/>
    <m/>
    <m/>
  </r>
  <r>
    <s v="RICAR"/>
    <n v="11"/>
    <n v="12450.8"/>
    <s v="Beverages"/>
    <x v="2"/>
    <m/>
    <m/>
  </r>
  <r>
    <s v="REGGC"/>
    <n v="12"/>
    <n v="7048.24"/>
    <s v="Condiments"/>
    <x v="0"/>
    <m/>
    <m/>
  </r>
  <r>
    <s v="BSBEV"/>
    <n v="10"/>
    <n v="6089.9"/>
    <s v="Dairy Products"/>
    <x v="0"/>
    <m/>
    <m/>
  </r>
  <r>
    <s v="COMMI"/>
    <n v="5"/>
    <n v="3810.75"/>
    <s v="Confections"/>
    <x v="0"/>
    <m/>
    <m/>
  </r>
  <r>
    <s v="TRADH"/>
    <n v="6"/>
    <n v="6850.6639999999998"/>
    <s v="Seafood"/>
    <x v="0"/>
    <m/>
    <m/>
  </r>
  <r>
    <s v="HUNGO"/>
    <n v="19"/>
    <n v="49979.904999999999"/>
    <s v="Seafood"/>
    <x v="1"/>
    <m/>
    <m/>
  </r>
  <r>
    <s v="WANDK"/>
    <n v="10"/>
    <n v="9588.4249999999993"/>
    <s v="Grains/Cereals"/>
    <x v="2"/>
    <m/>
    <m/>
  </r>
  <r>
    <s v="GODOS"/>
    <n v="10"/>
    <n v="11446.36"/>
    <s v="Confections"/>
    <x v="2"/>
    <m/>
    <m/>
  </r>
  <r>
    <s v="OLDWO"/>
    <n v="10"/>
    <n v="15177.4625"/>
    <s v="Beverages"/>
    <x v="1"/>
    <m/>
    <m/>
  </r>
  <r>
    <s v="LONEP"/>
    <n v="8"/>
    <n v="4258.6000000000004"/>
    <s v="Confections"/>
    <x v="0"/>
    <m/>
    <m/>
  </r>
  <r>
    <s v="ANATR"/>
    <n v="4"/>
    <n v="1402.9499999999998"/>
    <s v="Beverages"/>
    <x v="0"/>
    <m/>
    <m/>
  </r>
  <r>
    <s v="THEBI"/>
    <n v="4"/>
    <n v="3361"/>
    <s v="Condiments"/>
    <x v="0"/>
    <m/>
    <m/>
  </r>
  <r>
    <s v="DUMON"/>
    <n v="4"/>
    <n v="1615.9"/>
    <s v="Produce"/>
    <x v="0"/>
    <m/>
    <m/>
  </r>
  <r>
    <s v="ISLAT"/>
    <n v="10"/>
    <n v="6146.3"/>
    <s v="Grains/Cereals"/>
    <x v="0"/>
    <m/>
    <m/>
  </r>
  <r>
    <s v="PERIC"/>
    <n v="6"/>
    <n v="4242.2"/>
    <s v="Confections"/>
    <x v="0"/>
    <m/>
    <m/>
  </r>
  <r>
    <s v="KOENE"/>
    <n v="14"/>
    <n v="30908.384000000002"/>
    <s v="Beverages"/>
    <x v="1"/>
    <m/>
    <m/>
  </r>
  <r>
    <s v="SAVEA"/>
    <n v="31"/>
    <n v="104361.95"/>
    <s v="Seafood"/>
    <x v="1"/>
    <m/>
    <m/>
  </r>
  <r>
    <s v="BOLID"/>
    <n v="3"/>
    <n v="4232.8500000000004"/>
    <s v="Produce"/>
    <x v="0"/>
    <m/>
    <m/>
  </r>
  <r>
    <s v="FURIB"/>
    <n v="8"/>
    <n v="6427.4225000000006"/>
    <s v="Beverages"/>
    <x v="0"/>
    <m/>
    <m/>
  </r>
  <r>
    <s v="BONAP"/>
    <n v="17"/>
    <n v="21963.252500000002"/>
    <s v="Seafood"/>
    <x v="1"/>
    <m/>
    <m/>
  </r>
  <r>
    <s v="MEREP"/>
    <n v="13"/>
    <n v="28872.190000000002"/>
    <s v="Meat/Poultry"/>
    <x v="1"/>
    <m/>
    <m/>
  </r>
  <r>
    <s v="PRINI"/>
    <n v="5"/>
    <n v="5044.9400000000005"/>
    <s v="Beverages"/>
    <x v="0"/>
    <m/>
    <m/>
  </r>
  <r>
    <s v="SIMOB"/>
    <n v="7"/>
    <n v="16817.0975"/>
    <s v="Dairy Products"/>
    <x v="2"/>
    <m/>
    <m/>
  </r>
  <r>
    <s v="FAMIA"/>
    <n v="7"/>
    <n v="4107.55"/>
    <s v="Seafood"/>
    <x v="0"/>
    <m/>
    <m/>
  </r>
  <r>
    <s v="LAMAI"/>
    <n v="14"/>
    <n v="9328.1999999999989"/>
    <s v="Dairy Products"/>
    <x v="2"/>
    <m/>
    <m/>
  </r>
  <r>
    <s v="PICCO"/>
    <n v="10"/>
    <n v="23128.86"/>
    <s v="Beverages"/>
    <x v="1"/>
    <m/>
    <m/>
  </r>
  <r>
    <s v="AROUT"/>
    <n v="13"/>
    <n v="13390.650000000001"/>
    <s v="Meat/Poultry"/>
    <x v="2"/>
    <m/>
    <m/>
  </r>
  <r>
    <s v="SEVES"/>
    <n v="9"/>
    <n v="16215.324999999999"/>
    <s v="Dairy Products"/>
    <x v="2"/>
    <m/>
    <m/>
  </r>
  <r>
    <s v="DRACD"/>
    <n v="6"/>
    <n v="3763.21"/>
    <s v="Dairy Products"/>
    <x v="0"/>
    <m/>
    <m/>
  </r>
  <r>
    <s v="EASTC"/>
    <n v="8"/>
    <n v="14761.035"/>
    <s v="Dairy Products"/>
    <x v="2"/>
    <m/>
    <m/>
  </r>
  <r>
    <s v="ANTON"/>
    <n v="7"/>
    <n v="7023.9775"/>
    <s v="Seafood"/>
    <x v="0"/>
    <m/>
    <m/>
  </r>
  <r>
    <s v="GALED"/>
    <n v="5"/>
    <n v="836.7"/>
    <s v="Beverages"/>
    <x v="0"/>
    <m/>
    <m/>
  </r>
  <r>
    <s v="VAFFE"/>
    <n v="11"/>
    <n v="15843.924999999999"/>
    <s v="Dairy Products"/>
    <x v="1"/>
    <m/>
    <m/>
  </r>
  <r>
    <s v="QUEEN"/>
    <n v="13"/>
    <n v="25717.497500000005"/>
    <s v="Confections"/>
    <x v="1"/>
    <m/>
    <m/>
  </r>
  <r>
    <s v="WOLZA"/>
    <n v="7"/>
    <n v="3531.95"/>
    <s v="Dairy Products"/>
    <x v="0"/>
    <m/>
    <m/>
  </r>
  <r>
    <s v="HUNGC"/>
    <n v="5"/>
    <n v="3063.2"/>
    <s v="Dairy Products"/>
    <x v="0"/>
    <m/>
    <m/>
  </r>
  <r>
    <s v="SANTG"/>
    <n v="6"/>
    <n v="5735.1500000000005"/>
    <s v="Seafood"/>
    <x v="0"/>
    <m/>
    <m/>
  </r>
  <r>
    <s v="BOTTM"/>
    <n v="14"/>
    <n v="20801.599999999999"/>
    <s v="Dairy Products"/>
    <x v="1"/>
    <m/>
    <m/>
  </r>
  <r>
    <s v="LINOD"/>
    <n v="12"/>
    <n v="16476.565000000002"/>
    <s v="Dairy Products"/>
    <x v="1"/>
    <m/>
    <m/>
  </r>
  <r>
    <s v="FOLIG"/>
    <n v="5"/>
    <n v="11666.9"/>
    <s v="Seafood"/>
    <x v="2"/>
    <m/>
    <m/>
  </r>
  <r>
    <s v="OCEAN"/>
    <n v="5"/>
    <n v="3460.2"/>
    <s v="Beverages"/>
    <x v="0"/>
    <m/>
    <m/>
  </r>
  <r>
    <s v="FRANS"/>
    <n v="6"/>
    <n v="1545.7"/>
    <s v="Dairy Products"/>
    <x v="0"/>
    <m/>
    <m/>
  </r>
  <r>
    <s v="GOURL"/>
    <n v="9"/>
    <n v="8414.1350000000002"/>
    <s v="Dairy Products"/>
    <x v="2"/>
    <m/>
    <m/>
  </r>
  <r>
    <s v="CONSH"/>
    <n v="3"/>
    <n v="1719.1"/>
    <s v="Beverages"/>
    <x v="0"/>
    <m/>
    <m/>
  </r>
  <r>
    <s v="RANCH"/>
    <n v="5"/>
    <n v="2844.1000000000004"/>
    <s v="Dairy Products"/>
    <x v="0"/>
    <m/>
    <m/>
  </r>
  <r>
    <s v="LAZYK"/>
    <n v="2"/>
    <n v="357"/>
    <s v="Seafood"/>
    <x v="0"/>
    <m/>
    <m/>
  </r>
  <r>
    <s v="LAUGB"/>
    <n v="3"/>
    <n v="522.5"/>
    <s v="Seafood"/>
    <x v="0"/>
    <m/>
    <m/>
  </r>
  <r>
    <s v="BLAUS"/>
    <n v="7"/>
    <n v="3239.8"/>
    <s v="Produce"/>
    <x v="0"/>
    <m/>
    <m/>
  </r>
  <r>
    <s v="NORTS"/>
    <n v="3"/>
    <n v="649"/>
    <s v="Confections"/>
    <x v="0"/>
    <m/>
    <m/>
  </r>
  <r>
    <s v="CACTU"/>
    <n v="6"/>
    <n v="1814.8"/>
    <s v="Condiments"/>
    <x v="0"/>
    <m/>
    <m/>
  </r>
  <r>
    <s v="GREAL"/>
    <n v="11"/>
    <n v="18507.45"/>
    <s v="Dairy Products"/>
    <x v="1"/>
    <m/>
    <m/>
  </r>
  <r>
    <s v="MAISD"/>
    <n v="7"/>
    <n v="9736.0749999999989"/>
    <s v="Condiments"/>
    <x v="2"/>
    <m/>
    <m/>
  </r>
  <r>
    <s v="TRAIH"/>
    <n v="3"/>
    <n v="1571.1999999999998"/>
    <s v="Seafood"/>
    <x v="0"/>
    <m/>
    <m/>
  </r>
  <r>
    <s v="LETSS"/>
    <n v="4"/>
    <n v="3076.4724999999999"/>
    <s v="Meat/Poultry"/>
    <x v="0"/>
    <m/>
    <m/>
  </r>
  <r>
    <s v="WILMK"/>
    <n v="7"/>
    <n v="3161.35"/>
    <s v="Beverages"/>
    <x v="0"/>
    <m/>
    <m/>
  </r>
  <r>
    <s v="THECR"/>
    <n v="3"/>
    <n v="1947.24"/>
    <s v="Meat/Poultry"/>
    <x v="0"/>
    <m/>
    <m/>
  </r>
  <r>
    <s v="ALFKI"/>
    <n v="6"/>
    <n v="4273"/>
    <s v="Beverages"/>
    <x v="0"/>
    <m/>
    <m/>
  </r>
  <r>
    <s v="FRANR"/>
    <n v="3"/>
    <n v="3172.16"/>
    <s v="Confections"/>
    <x v="0"/>
    <m/>
    <m/>
  </r>
  <r>
    <s v="SPECD"/>
    <n v="4"/>
    <n v="2423.35"/>
    <s v="Beverages"/>
    <x v="0"/>
    <m/>
    <m/>
  </r>
  <r>
    <s v="LACOR"/>
    <n v="4"/>
    <n v="1992.05"/>
    <s v="Beverages"/>
    <x v="0"/>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55">
  <r>
    <n v="10248"/>
    <x v="0"/>
    <n v="14"/>
    <n v="12"/>
    <n v="0"/>
    <n v="168"/>
    <x v="0"/>
    <n v="4"/>
    <x v="0"/>
    <x v="0"/>
  </r>
  <r>
    <n v="10248"/>
    <x v="1"/>
    <n v="9.8000000000000007"/>
    <n v="10"/>
    <n v="0"/>
    <n v="98"/>
    <x v="1"/>
    <n v="5"/>
    <x v="0"/>
    <x v="0"/>
  </r>
  <r>
    <n v="10248"/>
    <x v="2"/>
    <n v="34.799999999999997"/>
    <n v="5"/>
    <n v="0"/>
    <n v="174"/>
    <x v="0"/>
    <n v="4"/>
    <x v="0"/>
    <x v="0"/>
  </r>
  <r>
    <n v="10249"/>
    <x v="3"/>
    <n v="18.600000000000001"/>
    <n v="9"/>
    <n v="0"/>
    <n v="167.4"/>
    <x v="2"/>
    <n v="7"/>
    <x v="1"/>
    <x v="0"/>
  </r>
  <r>
    <n v="10249"/>
    <x v="4"/>
    <n v="42.4"/>
    <n v="40"/>
    <n v="0"/>
    <n v="1696"/>
    <x v="2"/>
    <n v="7"/>
    <x v="1"/>
    <x v="0"/>
  </r>
  <r>
    <n v="10250"/>
    <x v="5"/>
    <n v="7.7"/>
    <n v="10"/>
    <n v="0"/>
    <n v="77"/>
    <x v="3"/>
    <n v="8"/>
    <x v="2"/>
    <x v="0"/>
  </r>
  <r>
    <n v="10250"/>
    <x v="4"/>
    <n v="42.4"/>
    <n v="35"/>
    <n v="0.15"/>
    <n v="1261.3999999999999"/>
    <x v="2"/>
    <n v="7"/>
    <x v="2"/>
    <x v="0"/>
  </r>
  <r>
    <n v="10250"/>
    <x v="6"/>
    <n v="16.8"/>
    <n v="15"/>
    <n v="0.15"/>
    <n v="214.2"/>
    <x v="4"/>
    <n v="2"/>
    <x v="2"/>
    <x v="0"/>
  </r>
  <r>
    <n v="10251"/>
    <x v="7"/>
    <n v="16.8"/>
    <n v="6"/>
    <n v="0.05"/>
    <n v="95.76"/>
    <x v="1"/>
    <n v="5"/>
    <x v="0"/>
    <x v="0"/>
  </r>
  <r>
    <n v="10251"/>
    <x v="8"/>
    <n v="15.6"/>
    <n v="15"/>
    <n v="0.05"/>
    <n v="222.29999999999998"/>
    <x v="1"/>
    <n v="5"/>
    <x v="0"/>
    <x v="0"/>
  </r>
  <r>
    <n v="10251"/>
    <x v="6"/>
    <n v="16.8"/>
    <n v="20"/>
    <n v="0"/>
    <n v="336"/>
    <x v="4"/>
    <n v="2"/>
    <x v="0"/>
    <x v="0"/>
  </r>
  <r>
    <n v="10252"/>
    <x v="9"/>
    <n v="64.8"/>
    <n v="40"/>
    <n v="0.05"/>
    <n v="2462.4"/>
    <x v="5"/>
    <n v="3"/>
    <x v="3"/>
    <x v="0"/>
  </r>
  <r>
    <n v="10252"/>
    <x v="10"/>
    <n v="2"/>
    <n v="25"/>
    <n v="0.05"/>
    <n v="47.5"/>
    <x v="0"/>
    <n v="4"/>
    <x v="3"/>
    <x v="0"/>
  </r>
  <r>
    <n v="10252"/>
    <x v="11"/>
    <n v="27.2"/>
    <n v="40"/>
    <n v="0"/>
    <n v="1088"/>
    <x v="0"/>
    <n v="4"/>
    <x v="3"/>
    <x v="0"/>
  </r>
  <r>
    <n v="10253"/>
    <x v="12"/>
    <n v="10"/>
    <n v="20"/>
    <n v="0"/>
    <n v="200"/>
    <x v="0"/>
    <n v="4"/>
    <x v="2"/>
    <x v="0"/>
  </r>
  <r>
    <n v="10253"/>
    <x v="13"/>
    <n v="14.4"/>
    <n v="42"/>
    <n v="0"/>
    <n v="604.80000000000007"/>
    <x v="6"/>
    <n v="1"/>
    <x v="2"/>
    <x v="0"/>
  </r>
  <r>
    <n v="10253"/>
    <x v="14"/>
    <n v="16"/>
    <n v="40"/>
    <n v="0"/>
    <n v="640"/>
    <x v="5"/>
    <n v="3"/>
    <x v="2"/>
    <x v="0"/>
  </r>
  <r>
    <n v="10254"/>
    <x v="15"/>
    <n v="3.6"/>
    <n v="15"/>
    <n v="0.15"/>
    <n v="45.9"/>
    <x v="6"/>
    <n v="1"/>
    <x v="4"/>
    <x v="0"/>
  </r>
  <r>
    <n v="10254"/>
    <x v="16"/>
    <n v="19.2"/>
    <n v="21"/>
    <n v="0.15"/>
    <n v="342.71999999999997"/>
    <x v="7"/>
    <n v="6"/>
    <x v="4"/>
    <x v="0"/>
  </r>
  <r>
    <n v="10254"/>
    <x v="17"/>
    <n v="8"/>
    <n v="21"/>
    <n v="0"/>
    <n v="168"/>
    <x v="2"/>
    <n v="7"/>
    <x v="4"/>
    <x v="0"/>
  </r>
  <r>
    <n v="10255"/>
    <x v="18"/>
    <n v="15.2"/>
    <n v="20"/>
    <n v="0"/>
    <n v="304"/>
    <x v="6"/>
    <n v="1"/>
    <x v="4"/>
    <x v="0"/>
  </r>
  <r>
    <n v="10255"/>
    <x v="19"/>
    <n v="13.9"/>
    <n v="35"/>
    <n v="0"/>
    <n v="486.5"/>
    <x v="5"/>
    <n v="3"/>
    <x v="4"/>
    <x v="0"/>
  </r>
  <r>
    <n v="10255"/>
    <x v="20"/>
    <n v="15.2"/>
    <n v="25"/>
    <n v="0"/>
    <n v="380"/>
    <x v="3"/>
    <n v="8"/>
    <x v="4"/>
    <x v="0"/>
  </r>
  <r>
    <n v="10255"/>
    <x v="21"/>
    <n v="44"/>
    <n v="30"/>
    <n v="0"/>
    <n v="1320"/>
    <x v="0"/>
    <n v="4"/>
    <x v="4"/>
    <x v="0"/>
  </r>
  <r>
    <n v="10256"/>
    <x v="22"/>
    <n v="26.2"/>
    <n v="15"/>
    <n v="0"/>
    <n v="393"/>
    <x v="7"/>
    <n v="6"/>
    <x v="2"/>
    <x v="0"/>
  </r>
  <r>
    <n v="10256"/>
    <x v="23"/>
    <n v="10.4"/>
    <n v="12"/>
    <n v="0"/>
    <n v="124.80000000000001"/>
    <x v="4"/>
    <n v="2"/>
    <x v="2"/>
    <x v="0"/>
  </r>
  <r>
    <n v="10257"/>
    <x v="24"/>
    <n v="35.1"/>
    <n v="25"/>
    <n v="0"/>
    <n v="877.5"/>
    <x v="5"/>
    <n v="3"/>
    <x v="5"/>
    <x v="0"/>
  </r>
  <r>
    <n v="10257"/>
    <x v="13"/>
    <n v="14.4"/>
    <n v="6"/>
    <n v="0"/>
    <n v="86.4"/>
    <x v="6"/>
    <n v="1"/>
    <x v="5"/>
    <x v="0"/>
  </r>
  <r>
    <n v="10257"/>
    <x v="23"/>
    <n v="10.4"/>
    <n v="15"/>
    <n v="0"/>
    <n v="156"/>
    <x v="4"/>
    <n v="2"/>
    <x v="5"/>
    <x v="0"/>
  </r>
  <r>
    <n v="10258"/>
    <x v="18"/>
    <n v="15.2"/>
    <n v="50"/>
    <n v="0.2"/>
    <n v="608"/>
    <x v="6"/>
    <n v="1"/>
    <x v="6"/>
    <x v="0"/>
  </r>
  <r>
    <n v="10258"/>
    <x v="25"/>
    <n v="17"/>
    <n v="65"/>
    <n v="0.2"/>
    <n v="884"/>
    <x v="4"/>
    <n v="2"/>
    <x v="6"/>
    <x v="0"/>
  </r>
  <r>
    <n v="10258"/>
    <x v="26"/>
    <n v="25.6"/>
    <n v="6"/>
    <n v="0.2"/>
    <n v="122.88000000000002"/>
    <x v="0"/>
    <n v="4"/>
    <x v="6"/>
    <x v="0"/>
  </r>
  <r>
    <n v="10259"/>
    <x v="27"/>
    <n v="8"/>
    <n v="10"/>
    <n v="0"/>
    <n v="80"/>
    <x v="5"/>
    <n v="3"/>
    <x v="7"/>
    <x v="0"/>
  </r>
  <r>
    <n v="10259"/>
    <x v="28"/>
    <n v="20.8"/>
    <n v="1"/>
    <n v="0"/>
    <n v="20.8"/>
    <x v="3"/>
    <n v="8"/>
    <x v="7"/>
    <x v="0"/>
  </r>
  <r>
    <n v="10260"/>
    <x v="5"/>
    <n v="7.7"/>
    <n v="16"/>
    <n v="0.25"/>
    <n v="92.4"/>
    <x v="3"/>
    <n v="8"/>
    <x v="1"/>
    <x v="0"/>
  </r>
  <r>
    <n v="10260"/>
    <x v="8"/>
    <n v="15.6"/>
    <n v="50"/>
    <n v="0"/>
    <n v="780"/>
    <x v="1"/>
    <n v="5"/>
    <x v="1"/>
    <x v="0"/>
  </r>
  <r>
    <n v="10260"/>
    <x v="29"/>
    <n v="39.4"/>
    <n v="15"/>
    <n v="0.25"/>
    <n v="443.25"/>
    <x v="5"/>
    <n v="3"/>
    <x v="1"/>
    <x v="0"/>
  </r>
  <r>
    <n v="10260"/>
    <x v="30"/>
    <n v="12"/>
    <n v="21"/>
    <n v="0.25"/>
    <n v="189"/>
    <x v="6"/>
    <n v="1"/>
    <x v="1"/>
    <x v="0"/>
  </r>
  <r>
    <n v="10261"/>
    <x v="27"/>
    <n v="8"/>
    <n v="20"/>
    <n v="0"/>
    <n v="160"/>
    <x v="5"/>
    <n v="3"/>
    <x v="2"/>
    <x v="0"/>
  </r>
  <r>
    <n v="10261"/>
    <x v="31"/>
    <n v="14.4"/>
    <n v="20"/>
    <n v="0"/>
    <n v="288"/>
    <x v="6"/>
    <n v="1"/>
    <x v="2"/>
    <x v="0"/>
  </r>
  <r>
    <n v="10262"/>
    <x v="25"/>
    <n v="17"/>
    <n v="12"/>
    <n v="0.2"/>
    <n v="163.20000000000002"/>
    <x v="4"/>
    <n v="2"/>
    <x v="8"/>
    <x v="0"/>
  </r>
  <r>
    <n v="10262"/>
    <x v="32"/>
    <n v="24"/>
    <n v="15"/>
    <n v="0"/>
    <n v="360"/>
    <x v="2"/>
    <n v="7"/>
    <x v="8"/>
    <x v="0"/>
  </r>
  <r>
    <n v="10262"/>
    <x v="33"/>
    <n v="30.4"/>
    <n v="2"/>
    <n v="0"/>
    <n v="60.8"/>
    <x v="1"/>
    <n v="5"/>
    <x v="8"/>
    <x v="0"/>
  </r>
  <r>
    <n v="10263"/>
    <x v="19"/>
    <n v="13.9"/>
    <n v="60"/>
    <n v="0.25"/>
    <n v="625.5"/>
    <x v="5"/>
    <n v="3"/>
    <x v="6"/>
    <x v="0"/>
  </r>
  <r>
    <n v="10263"/>
    <x v="15"/>
    <n v="3.6"/>
    <n v="28"/>
    <n v="0"/>
    <n v="100.8"/>
    <x v="6"/>
    <n v="1"/>
    <x v="6"/>
    <x v="0"/>
  </r>
  <r>
    <n v="10263"/>
    <x v="34"/>
    <n v="20.7"/>
    <n v="60"/>
    <n v="0.25"/>
    <n v="931.5"/>
    <x v="3"/>
    <n v="8"/>
    <x v="6"/>
    <x v="0"/>
  </r>
  <r>
    <n v="10263"/>
    <x v="17"/>
    <n v="8"/>
    <n v="36"/>
    <n v="0.25"/>
    <n v="216"/>
    <x v="2"/>
    <n v="7"/>
    <x v="6"/>
    <x v="0"/>
  </r>
  <r>
    <n v="10264"/>
    <x v="18"/>
    <n v="15.2"/>
    <n v="35"/>
    <n v="0"/>
    <n v="532"/>
    <x v="6"/>
    <n v="1"/>
    <x v="9"/>
    <x v="0"/>
  </r>
  <r>
    <n v="10264"/>
    <x v="5"/>
    <n v="7.7"/>
    <n v="25"/>
    <n v="0.15"/>
    <n v="163.625"/>
    <x v="3"/>
    <n v="8"/>
    <x v="9"/>
    <x v="0"/>
  </r>
  <r>
    <n v="10265"/>
    <x v="35"/>
    <n v="31.2"/>
    <n v="30"/>
    <n v="0"/>
    <n v="936"/>
    <x v="7"/>
    <n v="6"/>
    <x v="0"/>
    <x v="0"/>
  </r>
  <r>
    <n v="10265"/>
    <x v="30"/>
    <n v="12"/>
    <n v="20"/>
    <n v="0"/>
    <n v="240"/>
    <x v="6"/>
    <n v="1"/>
    <x v="0"/>
    <x v="0"/>
  </r>
  <r>
    <n v="10266"/>
    <x v="36"/>
    <n v="30.4"/>
    <n v="12"/>
    <n v="0.05"/>
    <n v="346.55999999999995"/>
    <x v="0"/>
    <n v="4"/>
    <x v="10"/>
    <x v="0"/>
  </r>
  <r>
    <n v="10267"/>
    <x v="37"/>
    <n v="14.7"/>
    <n v="50"/>
    <n v="0"/>
    <n v="735"/>
    <x v="3"/>
    <n v="8"/>
    <x v="1"/>
    <x v="0"/>
  </r>
  <r>
    <n v="10267"/>
    <x v="21"/>
    <n v="44"/>
    <n v="70"/>
    <n v="0.15"/>
    <n v="2618"/>
    <x v="0"/>
    <n v="4"/>
    <x v="1"/>
    <x v="0"/>
  </r>
  <r>
    <n v="10267"/>
    <x v="38"/>
    <n v="14.4"/>
    <n v="15"/>
    <n v="0.15"/>
    <n v="183.6"/>
    <x v="6"/>
    <n v="1"/>
    <x v="1"/>
    <x v="0"/>
  </r>
  <r>
    <n v="10268"/>
    <x v="39"/>
    <n v="99"/>
    <n v="10"/>
    <n v="0"/>
    <n v="990"/>
    <x v="7"/>
    <n v="6"/>
    <x v="5"/>
    <x v="0"/>
  </r>
  <r>
    <n v="10268"/>
    <x v="2"/>
    <n v="27.8"/>
    <n v="4"/>
    <n v="0"/>
    <n v="111.2"/>
    <x v="0"/>
    <n v="4"/>
    <x v="5"/>
    <x v="0"/>
  </r>
  <r>
    <n v="10269"/>
    <x v="10"/>
    <n v="2"/>
    <n v="60"/>
    <n v="0.05"/>
    <n v="114"/>
    <x v="0"/>
    <n v="4"/>
    <x v="8"/>
    <x v="0"/>
  </r>
  <r>
    <n v="10269"/>
    <x v="2"/>
    <n v="27.8"/>
    <n v="20"/>
    <n v="0.05"/>
    <n v="528.19999999999993"/>
    <x v="0"/>
    <n v="4"/>
    <x v="8"/>
    <x v="0"/>
  </r>
  <r>
    <n v="10270"/>
    <x v="20"/>
    <n v="15.2"/>
    <n v="30"/>
    <n v="0"/>
    <n v="456"/>
    <x v="3"/>
    <n v="8"/>
    <x v="10"/>
    <x v="1"/>
  </r>
  <r>
    <n v="10270"/>
    <x v="40"/>
    <n v="36.799999999999997"/>
    <n v="25"/>
    <n v="0"/>
    <n v="919.99999999999989"/>
    <x v="6"/>
    <n v="1"/>
    <x v="10"/>
    <x v="1"/>
  </r>
  <r>
    <n v="10271"/>
    <x v="10"/>
    <n v="2"/>
    <n v="24"/>
    <n v="0"/>
    <n v="48"/>
    <x v="0"/>
    <n v="4"/>
    <x v="8"/>
    <x v="1"/>
  </r>
  <r>
    <n v="10272"/>
    <x v="9"/>
    <n v="64.8"/>
    <n v="6"/>
    <n v="0"/>
    <n v="388.79999999999995"/>
    <x v="5"/>
    <n v="3"/>
    <x v="8"/>
    <x v="1"/>
  </r>
  <r>
    <n v="10272"/>
    <x v="12"/>
    <n v="10"/>
    <n v="40"/>
    <n v="0"/>
    <n v="400"/>
    <x v="0"/>
    <n v="4"/>
    <x v="8"/>
    <x v="1"/>
  </r>
  <r>
    <n v="10272"/>
    <x v="2"/>
    <n v="27.8"/>
    <n v="24"/>
    <n v="0"/>
    <n v="667.2"/>
    <x v="0"/>
    <n v="4"/>
    <x v="8"/>
    <x v="1"/>
  </r>
  <r>
    <n v="10273"/>
    <x v="41"/>
    <n v="24.8"/>
    <n v="24"/>
    <n v="0.05"/>
    <n v="565.44000000000005"/>
    <x v="3"/>
    <n v="8"/>
    <x v="1"/>
    <x v="1"/>
  </r>
  <r>
    <n v="10273"/>
    <x v="12"/>
    <n v="10"/>
    <n v="15"/>
    <n v="0.05"/>
    <n v="142.5"/>
    <x v="0"/>
    <n v="4"/>
    <x v="1"/>
    <x v="1"/>
  </r>
  <r>
    <n v="10273"/>
    <x v="10"/>
    <n v="2"/>
    <n v="20"/>
    <n v="0"/>
    <n v="40"/>
    <x v="0"/>
    <n v="4"/>
    <x v="1"/>
    <x v="1"/>
  </r>
  <r>
    <n v="10273"/>
    <x v="37"/>
    <n v="14.7"/>
    <n v="60"/>
    <n v="0.05"/>
    <n v="837.9"/>
    <x v="3"/>
    <n v="8"/>
    <x v="1"/>
    <x v="1"/>
  </r>
  <r>
    <n v="10273"/>
    <x v="38"/>
    <n v="14.4"/>
    <n v="33"/>
    <n v="0.05"/>
    <n v="451.43999999999994"/>
    <x v="6"/>
    <n v="1"/>
    <x v="1"/>
    <x v="1"/>
  </r>
  <r>
    <n v="10274"/>
    <x v="42"/>
    <n v="17.2"/>
    <n v="20"/>
    <n v="0"/>
    <n v="344"/>
    <x v="0"/>
    <n v="4"/>
    <x v="0"/>
    <x v="1"/>
  </r>
  <r>
    <n v="10274"/>
    <x v="2"/>
    <n v="27.8"/>
    <n v="7"/>
    <n v="0"/>
    <n v="194.6"/>
    <x v="0"/>
    <n v="4"/>
    <x v="0"/>
    <x v="1"/>
  </r>
  <r>
    <n v="10275"/>
    <x v="15"/>
    <n v="3.6"/>
    <n v="12"/>
    <n v="0.05"/>
    <n v="41.04"/>
    <x v="6"/>
    <n v="1"/>
    <x v="11"/>
    <x v="1"/>
  </r>
  <r>
    <n v="10275"/>
    <x v="21"/>
    <n v="44"/>
    <n v="6"/>
    <n v="0.05"/>
    <n v="250.79999999999998"/>
    <x v="0"/>
    <n v="4"/>
    <x v="11"/>
    <x v="1"/>
  </r>
  <r>
    <n v="10276"/>
    <x v="41"/>
    <n v="24.8"/>
    <n v="15"/>
    <n v="0"/>
    <n v="372"/>
    <x v="3"/>
    <n v="8"/>
    <x v="7"/>
    <x v="1"/>
  </r>
  <r>
    <n v="10276"/>
    <x v="43"/>
    <n v="4.8"/>
    <n v="10"/>
    <n v="0"/>
    <n v="48"/>
    <x v="3"/>
    <n v="8"/>
    <x v="7"/>
    <x v="1"/>
  </r>
  <r>
    <n v="10277"/>
    <x v="44"/>
    <n v="36.4"/>
    <n v="20"/>
    <n v="0"/>
    <n v="728"/>
    <x v="2"/>
    <n v="7"/>
    <x v="1"/>
    <x v="1"/>
  </r>
  <r>
    <n v="10277"/>
    <x v="29"/>
    <n v="39.4"/>
    <n v="12"/>
    <n v="0"/>
    <n v="472.79999999999995"/>
    <x v="5"/>
    <n v="3"/>
    <x v="1"/>
    <x v="1"/>
  </r>
  <r>
    <n v="10278"/>
    <x v="45"/>
    <n v="15.5"/>
    <n v="16"/>
    <n v="0"/>
    <n v="248"/>
    <x v="4"/>
    <n v="2"/>
    <x v="9"/>
    <x v="1"/>
  </r>
  <r>
    <n v="10278"/>
    <x v="21"/>
    <n v="44"/>
    <n v="15"/>
    <n v="0"/>
    <n v="660"/>
    <x v="0"/>
    <n v="4"/>
    <x v="9"/>
    <x v="1"/>
  </r>
  <r>
    <n v="10278"/>
    <x v="46"/>
    <n v="35.1"/>
    <n v="8"/>
    <n v="0"/>
    <n v="280.8"/>
    <x v="4"/>
    <n v="2"/>
    <x v="9"/>
    <x v="1"/>
  </r>
  <r>
    <n v="10278"/>
    <x v="47"/>
    <n v="12"/>
    <n v="25"/>
    <n v="0"/>
    <n v="300"/>
    <x v="3"/>
    <n v="8"/>
    <x v="9"/>
    <x v="1"/>
  </r>
  <r>
    <n v="10279"/>
    <x v="35"/>
    <n v="31.2"/>
    <n v="15"/>
    <n v="0.25"/>
    <n v="351"/>
    <x v="7"/>
    <n v="6"/>
    <x v="1"/>
    <x v="1"/>
  </r>
  <r>
    <n v="10280"/>
    <x v="15"/>
    <n v="3.6"/>
    <n v="12"/>
    <n v="0"/>
    <n v="43.2"/>
    <x v="6"/>
    <n v="1"/>
    <x v="9"/>
    <x v="1"/>
  </r>
  <r>
    <n v="10280"/>
    <x v="16"/>
    <n v="19.2"/>
    <n v="20"/>
    <n v="0"/>
    <n v="384"/>
    <x v="7"/>
    <n v="6"/>
    <x v="9"/>
    <x v="1"/>
  </r>
  <r>
    <n v="10280"/>
    <x v="48"/>
    <n v="6.2"/>
    <n v="30"/>
    <n v="0"/>
    <n v="186"/>
    <x v="6"/>
    <n v="1"/>
    <x v="9"/>
    <x v="1"/>
  </r>
  <r>
    <n v="10281"/>
    <x v="49"/>
    <n v="7.3"/>
    <n v="1"/>
    <n v="0"/>
    <n v="7.3"/>
    <x v="5"/>
    <n v="3"/>
    <x v="12"/>
    <x v="1"/>
  </r>
  <r>
    <n v="10281"/>
    <x v="15"/>
    <n v="3.6"/>
    <n v="6"/>
    <n v="0"/>
    <n v="21.6"/>
    <x v="6"/>
    <n v="1"/>
    <x v="12"/>
    <x v="1"/>
  </r>
  <r>
    <n v="10281"/>
    <x v="31"/>
    <n v="14.4"/>
    <n v="4"/>
    <n v="0"/>
    <n v="57.6"/>
    <x v="6"/>
    <n v="1"/>
    <x v="12"/>
    <x v="1"/>
  </r>
  <r>
    <n v="10282"/>
    <x v="34"/>
    <n v="20.7"/>
    <n v="6"/>
    <n v="0"/>
    <n v="124.19999999999999"/>
    <x v="3"/>
    <n v="8"/>
    <x v="12"/>
    <x v="1"/>
  </r>
  <r>
    <n v="10282"/>
    <x v="8"/>
    <n v="15.6"/>
    <n v="2"/>
    <n v="0"/>
    <n v="31.2"/>
    <x v="1"/>
    <n v="5"/>
    <x v="12"/>
    <x v="1"/>
  </r>
  <r>
    <n v="10283"/>
    <x v="50"/>
    <n v="12.4"/>
    <n v="20"/>
    <n v="0"/>
    <n v="248"/>
    <x v="4"/>
    <n v="2"/>
    <x v="5"/>
    <x v="1"/>
  </r>
  <r>
    <n v="10283"/>
    <x v="49"/>
    <n v="7.3"/>
    <n v="18"/>
    <n v="0"/>
    <n v="131.4"/>
    <x v="5"/>
    <n v="3"/>
    <x v="5"/>
    <x v="1"/>
  </r>
  <r>
    <n v="10283"/>
    <x v="11"/>
    <n v="27.2"/>
    <n v="35"/>
    <n v="0"/>
    <n v="952"/>
    <x v="0"/>
    <n v="4"/>
    <x v="5"/>
    <x v="1"/>
  </r>
  <r>
    <n v="10283"/>
    <x v="2"/>
    <n v="27.8"/>
    <n v="3"/>
    <n v="0"/>
    <n v="83.4"/>
    <x v="0"/>
    <n v="4"/>
    <x v="5"/>
    <x v="1"/>
  </r>
  <r>
    <n v="10284"/>
    <x v="24"/>
    <n v="35.1"/>
    <n v="15"/>
    <n v="0.25"/>
    <n v="394.875"/>
    <x v="5"/>
    <n v="3"/>
    <x v="1"/>
    <x v="1"/>
  </r>
  <r>
    <n v="10284"/>
    <x v="45"/>
    <n v="15.5"/>
    <n v="21"/>
    <n v="0"/>
    <n v="325.5"/>
    <x v="4"/>
    <n v="2"/>
    <x v="1"/>
    <x v="1"/>
  </r>
  <r>
    <n v="10284"/>
    <x v="11"/>
    <n v="27.2"/>
    <n v="20"/>
    <n v="0.25"/>
    <n v="408"/>
    <x v="0"/>
    <n v="4"/>
    <x v="1"/>
    <x v="1"/>
  </r>
  <r>
    <n v="10284"/>
    <x v="51"/>
    <n v="11.2"/>
    <n v="5"/>
    <n v="0.25"/>
    <n v="42"/>
    <x v="6"/>
    <n v="1"/>
    <x v="1"/>
    <x v="1"/>
  </r>
  <r>
    <n v="10285"/>
    <x v="52"/>
    <n v="14.4"/>
    <n v="45"/>
    <n v="0.2"/>
    <n v="518.4"/>
    <x v="6"/>
    <n v="1"/>
    <x v="1"/>
    <x v="1"/>
  </r>
  <r>
    <n v="10285"/>
    <x v="37"/>
    <n v="14.7"/>
    <n v="40"/>
    <n v="0.2"/>
    <n v="470.40000000000003"/>
    <x v="3"/>
    <n v="8"/>
    <x v="1"/>
    <x v="1"/>
  </r>
  <r>
    <n v="10285"/>
    <x v="22"/>
    <n v="26.2"/>
    <n v="36"/>
    <n v="0.2"/>
    <n v="754.56"/>
    <x v="7"/>
    <n v="6"/>
    <x v="1"/>
    <x v="1"/>
  </r>
  <r>
    <n v="10286"/>
    <x v="31"/>
    <n v="14.4"/>
    <n v="100"/>
    <n v="0"/>
    <n v="1440"/>
    <x v="6"/>
    <n v="1"/>
    <x v="1"/>
    <x v="1"/>
  </r>
  <r>
    <n v="10286"/>
    <x v="29"/>
    <n v="39.4"/>
    <n v="40"/>
    <n v="0"/>
    <n v="1576"/>
    <x v="5"/>
    <n v="3"/>
    <x v="1"/>
    <x v="1"/>
  </r>
  <r>
    <n v="10287"/>
    <x v="19"/>
    <n v="13.9"/>
    <n v="40"/>
    <n v="0.15"/>
    <n v="472.59999999999997"/>
    <x v="5"/>
    <n v="3"/>
    <x v="2"/>
    <x v="1"/>
  </r>
  <r>
    <n v="10287"/>
    <x v="53"/>
    <n v="11.2"/>
    <n v="20"/>
    <n v="0"/>
    <n v="224"/>
    <x v="6"/>
    <n v="1"/>
    <x v="2"/>
    <x v="1"/>
  </r>
  <r>
    <n v="10287"/>
    <x v="54"/>
    <n v="9.6"/>
    <n v="15"/>
    <n v="0.15"/>
    <n v="122.39999999999999"/>
    <x v="3"/>
    <n v="8"/>
    <x v="2"/>
    <x v="1"/>
  </r>
  <r>
    <n v="10288"/>
    <x v="55"/>
    <n v="5.9"/>
    <n v="10"/>
    <n v="0.1"/>
    <n v="53.1"/>
    <x v="7"/>
    <n v="6"/>
    <x v="11"/>
    <x v="1"/>
  </r>
  <r>
    <n v="10288"/>
    <x v="56"/>
    <n v="10"/>
    <n v="3"/>
    <n v="0.1"/>
    <n v="27"/>
    <x v="5"/>
    <n v="3"/>
    <x v="11"/>
    <x v="1"/>
  </r>
  <r>
    <n v="10289"/>
    <x v="57"/>
    <n v="8"/>
    <n v="30"/>
    <n v="0"/>
    <n v="240"/>
    <x v="4"/>
    <n v="2"/>
    <x v="13"/>
    <x v="1"/>
  </r>
  <r>
    <n v="10289"/>
    <x v="58"/>
    <n v="26.6"/>
    <n v="9"/>
    <n v="0"/>
    <n v="239.4"/>
    <x v="1"/>
    <n v="5"/>
    <x v="13"/>
    <x v="1"/>
  </r>
  <r>
    <n v="10290"/>
    <x v="25"/>
    <n v="17"/>
    <n v="20"/>
    <n v="0"/>
    <n v="340"/>
    <x v="4"/>
    <n v="2"/>
    <x v="2"/>
    <x v="1"/>
  </r>
  <r>
    <n v="10290"/>
    <x v="39"/>
    <n v="99"/>
    <n v="15"/>
    <n v="0"/>
    <n v="1485"/>
    <x v="7"/>
    <n v="6"/>
    <x v="2"/>
    <x v="1"/>
  </r>
  <r>
    <n v="10290"/>
    <x v="14"/>
    <n v="16"/>
    <n v="15"/>
    <n v="0"/>
    <n v="240"/>
    <x v="5"/>
    <n v="3"/>
    <x v="2"/>
    <x v="1"/>
  </r>
  <r>
    <n v="10290"/>
    <x v="23"/>
    <n v="10.4"/>
    <n v="10"/>
    <n v="0"/>
    <n v="104"/>
    <x v="4"/>
    <n v="2"/>
    <x v="2"/>
    <x v="1"/>
  </r>
  <r>
    <n v="10291"/>
    <x v="43"/>
    <n v="4.8"/>
    <n v="20"/>
    <n v="0.1"/>
    <n v="86.4"/>
    <x v="3"/>
    <n v="8"/>
    <x v="2"/>
    <x v="1"/>
  </r>
  <r>
    <n v="10291"/>
    <x v="45"/>
    <n v="15.5"/>
    <n v="24"/>
    <n v="0.1"/>
    <n v="334.8"/>
    <x v="4"/>
    <n v="2"/>
    <x v="2"/>
    <x v="1"/>
  </r>
  <r>
    <n v="10291"/>
    <x v="4"/>
    <n v="42.4"/>
    <n v="2"/>
    <n v="0.1"/>
    <n v="76.319999999999993"/>
    <x v="2"/>
    <n v="7"/>
    <x v="2"/>
    <x v="1"/>
  </r>
  <r>
    <n v="10292"/>
    <x v="9"/>
    <n v="64.8"/>
    <n v="20"/>
    <n v="0"/>
    <n v="1296"/>
    <x v="5"/>
    <n v="3"/>
    <x v="2"/>
    <x v="1"/>
  </r>
  <r>
    <n v="10293"/>
    <x v="59"/>
    <n v="50"/>
    <n v="12"/>
    <n v="0"/>
    <n v="600"/>
    <x v="3"/>
    <n v="8"/>
    <x v="7"/>
    <x v="1"/>
  </r>
  <r>
    <n v="10293"/>
    <x v="15"/>
    <n v="3.6"/>
    <n v="10"/>
    <n v="0"/>
    <n v="36"/>
    <x v="6"/>
    <n v="1"/>
    <x v="7"/>
    <x v="1"/>
  </r>
  <r>
    <n v="10293"/>
    <x v="46"/>
    <n v="35.1"/>
    <n v="5"/>
    <n v="0"/>
    <n v="175.5"/>
    <x v="4"/>
    <n v="2"/>
    <x v="7"/>
    <x v="1"/>
  </r>
  <r>
    <n v="10293"/>
    <x v="48"/>
    <n v="6.2"/>
    <n v="6"/>
    <n v="0"/>
    <n v="37.200000000000003"/>
    <x v="6"/>
    <n v="1"/>
    <x v="7"/>
    <x v="1"/>
  </r>
  <r>
    <n v="10294"/>
    <x v="52"/>
    <n v="14.4"/>
    <n v="18"/>
    <n v="0"/>
    <n v="259.2"/>
    <x v="6"/>
    <n v="1"/>
    <x v="8"/>
    <x v="1"/>
  </r>
  <r>
    <n v="10294"/>
    <x v="35"/>
    <n v="31.2"/>
    <n v="15"/>
    <n v="0"/>
    <n v="468"/>
    <x v="7"/>
    <n v="6"/>
    <x v="8"/>
    <x v="1"/>
  </r>
  <r>
    <n v="10294"/>
    <x v="40"/>
    <n v="36.799999999999997"/>
    <n v="15"/>
    <n v="0"/>
    <n v="552"/>
    <x v="6"/>
    <n v="1"/>
    <x v="8"/>
    <x v="1"/>
  </r>
  <r>
    <n v="10294"/>
    <x v="11"/>
    <n v="27.2"/>
    <n v="21"/>
    <n v="0"/>
    <n v="571.19999999999993"/>
    <x v="0"/>
    <n v="4"/>
    <x v="8"/>
    <x v="1"/>
  </r>
  <r>
    <n v="10294"/>
    <x v="48"/>
    <n v="6.2"/>
    <n v="6"/>
    <n v="0"/>
    <n v="37.200000000000003"/>
    <x v="6"/>
    <n v="1"/>
    <x v="8"/>
    <x v="1"/>
  </r>
  <r>
    <n v="10295"/>
    <x v="33"/>
    <n v="30.4"/>
    <n v="4"/>
    <n v="0"/>
    <n v="121.6"/>
    <x v="1"/>
    <n v="5"/>
    <x v="0"/>
    <x v="2"/>
  </r>
  <r>
    <n v="10296"/>
    <x v="0"/>
    <n v="16.8"/>
    <n v="12"/>
    <n v="0"/>
    <n v="201.60000000000002"/>
    <x v="0"/>
    <n v="4"/>
    <x v="5"/>
    <x v="2"/>
  </r>
  <r>
    <n v="10296"/>
    <x v="19"/>
    <n v="13.9"/>
    <n v="30"/>
    <n v="0"/>
    <n v="417"/>
    <x v="5"/>
    <n v="3"/>
    <x v="5"/>
    <x v="2"/>
  </r>
  <r>
    <n v="10296"/>
    <x v="60"/>
    <n v="28.8"/>
    <n v="15"/>
    <n v="0"/>
    <n v="432"/>
    <x v="0"/>
    <n v="4"/>
    <x v="5"/>
    <x v="2"/>
  </r>
  <r>
    <n v="10297"/>
    <x v="13"/>
    <n v="14.4"/>
    <n v="60"/>
    <n v="0"/>
    <n v="864"/>
    <x v="6"/>
    <n v="1"/>
    <x v="0"/>
    <x v="2"/>
  </r>
  <r>
    <n v="10297"/>
    <x v="2"/>
    <n v="27.8"/>
    <n v="20"/>
    <n v="0"/>
    <n v="556"/>
    <x v="0"/>
    <n v="4"/>
    <x v="0"/>
    <x v="2"/>
  </r>
  <r>
    <n v="10298"/>
    <x v="18"/>
    <n v="15.2"/>
    <n v="40"/>
    <n v="0"/>
    <n v="608"/>
    <x v="6"/>
    <n v="1"/>
    <x v="14"/>
    <x v="2"/>
  </r>
  <r>
    <n v="10298"/>
    <x v="20"/>
    <n v="15.2"/>
    <n v="40"/>
    <n v="0.25"/>
    <n v="456"/>
    <x v="3"/>
    <n v="8"/>
    <x v="14"/>
    <x v="2"/>
  </r>
  <r>
    <n v="10298"/>
    <x v="21"/>
    <n v="44"/>
    <n v="30"/>
    <n v="0.25"/>
    <n v="990"/>
    <x v="0"/>
    <n v="4"/>
    <x v="14"/>
    <x v="2"/>
  </r>
  <r>
    <n v="10298"/>
    <x v="29"/>
    <n v="39.4"/>
    <n v="15"/>
    <n v="0"/>
    <n v="591"/>
    <x v="5"/>
    <n v="3"/>
    <x v="14"/>
    <x v="2"/>
  </r>
  <r>
    <n v="10299"/>
    <x v="49"/>
    <n v="7.3"/>
    <n v="15"/>
    <n v="0"/>
    <n v="109.5"/>
    <x v="5"/>
    <n v="3"/>
    <x v="2"/>
    <x v="2"/>
  </r>
  <r>
    <n v="10299"/>
    <x v="30"/>
    <n v="12"/>
    <n v="20"/>
    <n v="0"/>
    <n v="240"/>
    <x v="6"/>
    <n v="1"/>
    <x v="2"/>
    <x v="2"/>
  </r>
  <r>
    <n v="10300"/>
    <x v="61"/>
    <n v="13.6"/>
    <n v="30"/>
    <n v="0"/>
    <n v="408"/>
    <x v="4"/>
    <n v="2"/>
    <x v="11"/>
    <x v="2"/>
  </r>
  <r>
    <n v="10300"/>
    <x v="56"/>
    <n v="10"/>
    <n v="20"/>
    <n v="0"/>
    <n v="200"/>
    <x v="5"/>
    <n v="3"/>
    <x v="11"/>
    <x v="2"/>
  </r>
  <r>
    <n v="10301"/>
    <x v="37"/>
    <n v="14.7"/>
    <n v="10"/>
    <n v="0"/>
    <n v="147"/>
    <x v="3"/>
    <n v="8"/>
    <x v="1"/>
    <x v="2"/>
  </r>
  <r>
    <n v="10301"/>
    <x v="33"/>
    <n v="30.4"/>
    <n v="20"/>
    <n v="0"/>
    <n v="608"/>
    <x v="1"/>
    <n v="5"/>
    <x v="1"/>
    <x v="2"/>
  </r>
  <r>
    <n v="10302"/>
    <x v="35"/>
    <n v="31.2"/>
    <n v="40"/>
    <n v="0"/>
    <n v="1248"/>
    <x v="7"/>
    <n v="6"/>
    <x v="3"/>
    <x v="2"/>
  </r>
  <r>
    <n v="10302"/>
    <x v="44"/>
    <n v="36.4"/>
    <n v="28"/>
    <n v="0"/>
    <n v="1019.1999999999999"/>
    <x v="2"/>
    <n v="7"/>
    <x v="3"/>
    <x v="2"/>
  </r>
  <r>
    <n v="10302"/>
    <x v="40"/>
    <n v="36.799999999999997"/>
    <n v="12"/>
    <n v="0"/>
    <n v="441.59999999999997"/>
    <x v="6"/>
    <n v="1"/>
    <x v="3"/>
    <x v="2"/>
  </r>
  <r>
    <n v="10303"/>
    <x v="37"/>
    <n v="14.7"/>
    <n v="40"/>
    <n v="0.1"/>
    <n v="529.20000000000005"/>
    <x v="3"/>
    <n v="8"/>
    <x v="12"/>
    <x v="2"/>
  </r>
  <r>
    <n v="10303"/>
    <x v="6"/>
    <n v="16.8"/>
    <n v="30"/>
    <n v="0.1"/>
    <n v="453.6"/>
    <x v="4"/>
    <n v="2"/>
    <x v="12"/>
    <x v="2"/>
  </r>
  <r>
    <n v="10303"/>
    <x v="56"/>
    <n v="10"/>
    <n v="15"/>
    <n v="0.1"/>
    <n v="135"/>
    <x v="5"/>
    <n v="3"/>
    <x v="12"/>
    <x v="2"/>
  </r>
  <r>
    <n v="10304"/>
    <x v="14"/>
    <n v="16"/>
    <n v="30"/>
    <n v="0"/>
    <n v="480"/>
    <x v="5"/>
    <n v="3"/>
    <x v="7"/>
    <x v="2"/>
  </r>
  <r>
    <n v="10304"/>
    <x v="21"/>
    <n v="44"/>
    <n v="10"/>
    <n v="0"/>
    <n v="440"/>
    <x v="0"/>
    <n v="4"/>
    <x v="7"/>
    <x v="2"/>
  </r>
  <r>
    <n v="10304"/>
    <x v="42"/>
    <n v="17.2"/>
    <n v="2"/>
    <n v="0"/>
    <n v="34.4"/>
    <x v="0"/>
    <n v="4"/>
    <x v="7"/>
    <x v="2"/>
  </r>
  <r>
    <n v="10305"/>
    <x v="59"/>
    <n v="50"/>
    <n v="25"/>
    <n v="0.1"/>
    <n v="1125"/>
    <x v="3"/>
    <n v="8"/>
    <x v="8"/>
    <x v="2"/>
  </r>
  <r>
    <n v="10305"/>
    <x v="39"/>
    <n v="99"/>
    <n v="25"/>
    <n v="0.1"/>
    <n v="2227.5"/>
    <x v="7"/>
    <n v="6"/>
    <x v="8"/>
    <x v="2"/>
  </r>
  <r>
    <n v="10305"/>
    <x v="13"/>
    <n v="14.4"/>
    <n v="30"/>
    <n v="0.1"/>
    <n v="388.8"/>
    <x v="6"/>
    <n v="1"/>
    <x v="8"/>
    <x v="2"/>
  </r>
  <r>
    <n v="10306"/>
    <x v="34"/>
    <n v="20.7"/>
    <n v="10"/>
    <n v="0"/>
    <n v="207"/>
    <x v="3"/>
    <n v="8"/>
    <x v="12"/>
    <x v="2"/>
  </r>
  <r>
    <n v="10306"/>
    <x v="22"/>
    <n v="26.2"/>
    <n v="10"/>
    <n v="0"/>
    <n v="262"/>
    <x v="7"/>
    <n v="6"/>
    <x v="12"/>
    <x v="2"/>
  </r>
  <r>
    <n v="10306"/>
    <x v="55"/>
    <n v="5.9"/>
    <n v="5"/>
    <n v="0"/>
    <n v="29.5"/>
    <x v="7"/>
    <n v="6"/>
    <x v="12"/>
    <x v="2"/>
  </r>
  <r>
    <n v="10307"/>
    <x v="29"/>
    <n v="39.4"/>
    <n v="10"/>
    <n v="0"/>
    <n v="394"/>
    <x v="5"/>
    <n v="3"/>
    <x v="8"/>
    <x v="2"/>
  </r>
  <r>
    <n v="10307"/>
    <x v="56"/>
    <n v="10"/>
    <n v="3"/>
    <n v="0"/>
    <n v="30"/>
    <x v="5"/>
    <n v="3"/>
    <x v="8"/>
    <x v="2"/>
  </r>
  <r>
    <n v="10308"/>
    <x v="60"/>
    <n v="28.8"/>
    <n v="1"/>
    <n v="0"/>
    <n v="28.8"/>
    <x v="0"/>
    <n v="4"/>
    <x v="7"/>
    <x v="2"/>
  </r>
  <r>
    <n v="10308"/>
    <x v="30"/>
    <n v="12"/>
    <n v="5"/>
    <n v="0"/>
    <n v="60"/>
    <x v="6"/>
    <n v="1"/>
    <x v="7"/>
    <x v="2"/>
  </r>
  <r>
    <n v="10309"/>
    <x v="62"/>
    <n v="17.600000000000001"/>
    <n v="20"/>
    <n v="0"/>
    <n v="352"/>
    <x v="4"/>
    <n v="2"/>
    <x v="14"/>
    <x v="2"/>
  </r>
  <r>
    <n v="10309"/>
    <x v="63"/>
    <n v="20"/>
    <n v="30"/>
    <n v="0"/>
    <n v="600"/>
    <x v="4"/>
    <n v="2"/>
    <x v="14"/>
    <x v="2"/>
  </r>
  <r>
    <n v="10309"/>
    <x v="1"/>
    <n v="11.2"/>
    <n v="2"/>
    <n v="0"/>
    <n v="22.4"/>
    <x v="1"/>
    <n v="5"/>
    <x v="14"/>
    <x v="2"/>
  </r>
  <r>
    <n v="10309"/>
    <x v="40"/>
    <n v="36.799999999999997"/>
    <n v="20"/>
    <n v="0"/>
    <n v="736"/>
    <x v="6"/>
    <n v="1"/>
    <x v="14"/>
    <x v="2"/>
  </r>
  <r>
    <n v="10309"/>
    <x v="42"/>
    <n v="17.2"/>
    <n v="3"/>
    <n v="0"/>
    <n v="51.599999999999994"/>
    <x v="0"/>
    <n v="4"/>
    <x v="14"/>
    <x v="2"/>
  </r>
  <r>
    <n v="10310"/>
    <x v="19"/>
    <n v="13.9"/>
    <n v="10"/>
    <n v="0"/>
    <n v="139"/>
    <x v="5"/>
    <n v="3"/>
    <x v="8"/>
    <x v="2"/>
  </r>
  <r>
    <n v="10310"/>
    <x v="29"/>
    <n v="39.4"/>
    <n v="5"/>
    <n v="0"/>
    <n v="197"/>
    <x v="5"/>
    <n v="3"/>
    <x v="8"/>
    <x v="2"/>
  </r>
  <r>
    <n v="10311"/>
    <x v="1"/>
    <n v="11.2"/>
    <n v="6"/>
    <n v="0"/>
    <n v="67.199999999999989"/>
    <x v="1"/>
    <n v="5"/>
    <x v="0"/>
    <x v="2"/>
  </r>
  <r>
    <n v="10311"/>
    <x v="60"/>
    <n v="28.8"/>
    <n v="7"/>
    <n v="0"/>
    <n v="201.6"/>
    <x v="0"/>
    <n v="4"/>
    <x v="0"/>
    <x v="2"/>
  </r>
  <r>
    <n v="10312"/>
    <x v="44"/>
    <n v="36.4"/>
    <n v="4"/>
    <n v="0"/>
    <n v="145.6"/>
    <x v="2"/>
    <n v="7"/>
    <x v="1"/>
    <x v="2"/>
  </r>
  <r>
    <n v="10312"/>
    <x v="40"/>
    <n v="36.799999999999997"/>
    <n v="24"/>
    <n v="0"/>
    <n v="883.19999999999993"/>
    <x v="6"/>
    <n v="1"/>
    <x v="1"/>
    <x v="2"/>
  </r>
  <r>
    <n v="10312"/>
    <x v="22"/>
    <n v="26.2"/>
    <n v="20"/>
    <n v="0"/>
    <n v="524"/>
    <x v="7"/>
    <n v="6"/>
    <x v="1"/>
    <x v="2"/>
  </r>
  <r>
    <n v="10312"/>
    <x v="48"/>
    <n v="6.2"/>
    <n v="10"/>
    <n v="0"/>
    <n v="62"/>
    <x v="6"/>
    <n v="1"/>
    <x v="1"/>
    <x v="2"/>
  </r>
  <r>
    <n v="10313"/>
    <x v="20"/>
    <n v="15.2"/>
    <n v="12"/>
    <n v="0"/>
    <n v="182.39999999999998"/>
    <x v="3"/>
    <n v="8"/>
    <x v="1"/>
    <x v="2"/>
  </r>
  <r>
    <n v="10314"/>
    <x v="26"/>
    <n v="25.6"/>
    <n v="40"/>
    <n v="0.1"/>
    <n v="921.6"/>
    <x v="0"/>
    <n v="4"/>
    <x v="8"/>
    <x v="2"/>
  </r>
  <r>
    <n v="10314"/>
    <x v="64"/>
    <n v="10.6"/>
    <n v="30"/>
    <n v="0.1"/>
    <n v="286.2"/>
    <x v="3"/>
    <n v="8"/>
    <x v="8"/>
    <x v="2"/>
  </r>
  <r>
    <n v="10314"/>
    <x v="29"/>
    <n v="39.4"/>
    <n v="25"/>
    <n v="0.1"/>
    <n v="886.5"/>
    <x v="5"/>
    <n v="3"/>
    <x v="8"/>
    <x v="2"/>
  </r>
  <r>
    <n v="10315"/>
    <x v="53"/>
    <n v="11.2"/>
    <n v="14"/>
    <n v="0"/>
    <n v="156.79999999999998"/>
    <x v="6"/>
    <n v="1"/>
    <x v="13"/>
    <x v="2"/>
  </r>
  <r>
    <n v="10315"/>
    <x v="30"/>
    <n v="12"/>
    <n v="30"/>
    <n v="0"/>
    <n v="360"/>
    <x v="6"/>
    <n v="1"/>
    <x v="13"/>
    <x v="2"/>
  </r>
  <r>
    <n v="10316"/>
    <x v="5"/>
    <n v="7.7"/>
    <n v="10"/>
    <n v="0"/>
    <n v="77"/>
    <x v="3"/>
    <n v="8"/>
    <x v="8"/>
    <x v="2"/>
  </r>
  <r>
    <n v="10316"/>
    <x v="29"/>
    <n v="39.4"/>
    <n v="70"/>
    <n v="0"/>
    <n v="2758"/>
    <x v="5"/>
    <n v="3"/>
    <x v="8"/>
    <x v="2"/>
  </r>
  <r>
    <n v="10317"/>
    <x v="52"/>
    <n v="14.4"/>
    <n v="20"/>
    <n v="0"/>
    <n v="288"/>
    <x v="6"/>
    <n v="1"/>
    <x v="8"/>
    <x v="2"/>
  </r>
  <r>
    <n v="10318"/>
    <x v="5"/>
    <n v="7.7"/>
    <n v="20"/>
    <n v="0"/>
    <n v="154"/>
    <x v="3"/>
    <n v="8"/>
    <x v="13"/>
    <x v="3"/>
  </r>
  <r>
    <n v="10318"/>
    <x v="38"/>
    <n v="14.4"/>
    <n v="6"/>
    <n v="0"/>
    <n v="86.4"/>
    <x v="6"/>
    <n v="1"/>
    <x v="13"/>
    <x v="3"/>
  </r>
  <r>
    <n v="10319"/>
    <x v="35"/>
    <n v="31.2"/>
    <n v="8"/>
    <n v="0"/>
    <n v="249.6"/>
    <x v="7"/>
    <n v="6"/>
    <x v="7"/>
    <x v="3"/>
  </r>
  <r>
    <n v="10319"/>
    <x v="44"/>
    <n v="36.4"/>
    <n v="14"/>
    <n v="0"/>
    <n v="509.59999999999997"/>
    <x v="2"/>
    <n v="7"/>
    <x v="7"/>
    <x v="3"/>
  </r>
  <r>
    <n v="10319"/>
    <x v="38"/>
    <n v="14.4"/>
    <n v="30"/>
    <n v="0"/>
    <n v="432"/>
    <x v="6"/>
    <n v="1"/>
    <x v="7"/>
    <x v="3"/>
  </r>
  <r>
    <n v="10320"/>
    <x v="42"/>
    <n v="17.2"/>
    <n v="30"/>
    <n v="0"/>
    <n v="516"/>
    <x v="0"/>
    <n v="4"/>
    <x v="10"/>
    <x v="3"/>
  </r>
  <r>
    <n v="10321"/>
    <x v="31"/>
    <n v="14.4"/>
    <n v="10"/>
    <n v="0"/>
    <n v="144"/>
    <x v="6"/>
    <n v="1"/>
    <x v="13"/>
    <x v="3"/>
  </r>
  <r>
    <n v="10322"/>
    <x v="65"/>
    <n v="5.6"/>
    <n v="20"/>
    <n v="0"/>
    <n v="112"/>
    <x v="1"/>
    <n v="5"/>
    <x v="7"/>
    <x v="3"/>
  </r>
  <r>
    <n v="10323"/>
    <x v="50"/>
    <n v="12.4"/>
    <n v="5"/>
    <n v="0"/>
    <n v="62"/>
    <x v="4"/>
    <n v="2"/>
    <x v="1"/>
    <x v="3"/>
  </r>
  <r>
    <n v="10323"/>
    <x v="66"/>
    <n v="11.2"/>
    <n v="4"/>
    <n v="0"/>
    <n v="44.8"/>
    <x v="5"/>
    <n v="3"/>
    <x v="1"/>
    <x v="3"/>
  </r>
  <r>
    <n v="10323"/>
    <x v="13"/>
    <n v="14.4"/>
    <n v="4"/>
    <n v="0"/>
    <n v="57.6"/>
    <x v="6"/>
    <n v="1"/>
    <x v="1"/>
    <x v="3"/>
  </r>
  <r>
    <n v="10324"/>
    <x v="19"/>
    <n v="13.9"/>
    <n v="21"/>
    <n v="0.15"/>
    <n v="248.11500000000001"/>
    <x v="5"/>
    <n v="3"/>
    <x v="8"/>
    <x v="3"/>
  </r>
  <r>
    <n v="10324"/>
    <x v="31"/>
    <n v="14.4"/>
    <n v="70"/>
    <n v="0.15"/>
    <n v="856.8"/>
    <x v="6"/>
    <n v="1"/>
    <x v="8"/>
    <x v="3"/>
  </r>
  <r>
    <n v="10324"/>
    <x v="54"/>
    <n v="9.6"/>
    <n v="30"/>
    <n v="0"/>
    <n v="288"/>
    <x v="3"/>
    <n v="8"/>
    <x v="8"/>
    <x v="3"/>
  </r>
  <r>
    <n v="10324"/>
    <x v="21"/>
    <n v="44"/>
    <n v="40"/>
    <n v="0.15"/>
    <n v="1496"/>
    <x v="0"/>
    <n v="4"/>
    <x v="8"/>
    <x v="3"/>
  </r>
  <r>
    <n v="10324"/>
    <x v="46"/>
    <n v="35.1"/>
    <n v="80"/>
    <n v="0.15"/>
    <n v="2386.7999999999997"/>
    <x v="4"/>
    <n v="2"/>
    <x v="8"/>
    <x v="3"/>
  </r>
  <r>
    <n v="10325"/>
    <x v="63"/>
    <n v="20"/>
    <n v="6"/>
    <n v="0"/>
    <n v="120"/>
    <x v="4"/>
    <n v="2"/>
    <x v="1"/>
    <x v="3"/>
  </r>
  <r>
    <n v="10325"/>
    <x v="43"/>
    <n v="4.8"/>
    <n v="12"/>
    <n v="0"/>
    <n v="57.599999999999994"/>
    <x v="3"/>
    <n v="8"/>
    <x v="1"/>
    <x v="3"/>
  </r>
  <r>
    <n v="10325"/>
    <x v="3"/>
    <n v="18.600000000000001"/>
    <n v="9"/>
    <n v="0"/>
    <n v="167.4"/>
    <x v="2"/>
    <n v="7"/>
    <x v="1"/>
    <x v="3"/>
  </r>
  <r>
    <n v="10325"/>
    <x v="12"/>
    <n v="10"/>
    <n v="4"/>
    <n v="0"/>
    <n v="40"/>
    <x v="0"/>
    <n v="4"/>
    <x v="1"/>
    <x v="3"/>
  </r>
  <r>
    <n v="10325"/>
    <x v="2"/>
    <n v="27.8"/>
    <n v="40"/>
    <n v="0"/>
    <n v="1112"/>
    <x v="0"/>
    <n v="4"/>
    <x v="1"/>
    <x v="3"/>
  </r>
  <r>
    <n v="10326"/>
    <x v="62"/>
    <n v="17.600000000000001"/>
    <n v="24"/>
    <n v="0"/>
    <n v="422.40000000000003"/>
    <x v="4"/>
    <n v="2"/>
    <x v="12"/>
    <x v="3"/>
  </r>
  <r>
    <n v="10326"/>
    <x v="8"/>
    <n v="15.6"/>
    <n v="16"/>
    <n v="0"/>
    <n v="249.6"/>
    <x v="1"/>
    <n v="5"/>
    <x v="12"/>
    <x v="3"/>
  </r>
  <r>
    <n v="10326"/>
    <x v="48"/>
    <n v="6.2"/>
    <n v="50"/>
    <n v="0"/>
    <n v="310"/>
    <x v="6"/>
    <n v="1"/>
    <x v="12"/>
    <x v="3"/>
  </r>
  <r>
    <n v="10327"/>
    <x v="18"/>
    <n v="15.2"/>
    <n v="25"/>
    <n v="0.2"/>
    <n v="304"/>
    <x v="6"/>
    <n v="1"/>
    <x v="9"/>
    <x v="3"/>
  </r>
  <r>
    <n v="10327"/>
    <x v="0"/>
    <n v="16.8"/>
    <n v="50"/>
    <n v="0.2"/>
    <n v="672"/>
    <x v="0"/>
    <n v="4"/>
    <x v="9"/>
    <x v="3"/>
  </r>
  <r>
    <n v="10327"/>
    <x v="34"/>
    <n v="20.7"/>
    <n v="35"/>
    <n v="0.2"/>
    <n v="579.6"/>
    <x v="3"/>
    <n v="8"/>
    <x v="9"/>
    <x v="3"/>
  </r>
  <r>
    <n v="10327"/>
    <x v="64"/>
    <n v="10.6"/>
    <n v="30"/>
    <n v="0.2"/>
    <n v="254.4"/>
    <x v="3"/>
    <n v="8"/>
    <x v="9"/>
    <x v="3"/>
  </r>
  <r>
    <n v="10328"/>
    <x v="21"/>
    <n v="44"/>
    <n v="9"/>
    <n v="0"/>
    <n v="396"/>
    <x v="0"/>
    <n v="4"/>
    <x v="15"/>
    <x v="3"/>
  </r>
  <r>
    <n v="10328"/>
    <x v="6"/>
    <n v="16.8"/>
    <n v="40"/>
    <n v="0"/>
    <n v="672"/>
    <x v="4"/>
    <n v="2"/>
    <x v="15"/>
    <x v="3"/>
  </r>
  <r>
    <n v="10328"/>
    <x v="56"/>
    <n v="10"/>
    <n v="10"/>
    <n v="0"/>
    <n v="100"/>
    <x v="5"/>
    <n v="3"/>
    <x v="15"/>
    <x v="3"/>
  </r>
  <r>
    <n v="10329"/>
    <x v="49"/>
    <n v="7.3"/>
    <n v="10"/>
    <n v="0.05"/>
    <n v="69.349999999999994"/>
    <x v="5"/>
    <n v="3"/>
    <x v="8"/>
    <x v="3"/>
  </r>
  <r>
    <n v="10329"/>
    <x v="34"/>
    <n v="20.7"/>
    <n v="8"/>
    <n v="0.05"/>
    <n v="157.32"/>
    <x v="3"/>
    <n v="8"/>
    <x v="8"/>
    <x v="3"/>
  </r>
  <r>
    <n v="10329"/>
    <x v="67"/>
    <n v="210.8"/>
    <n v="20"/>
    <n v="0.05"/>
    <n v="4005.2"/>
    <x v="6"/>
    <n v="1"/>
    <x v="8"/>
    <x v="3"/>
  </r>
  <r>
    <n v="10329"/>
    <x v="33"/>
    <n v="30.4"/>
    <n v="12"/>
    <n v="0.05"/>
    <n v="346.55999999999995"/>
    <x v="1"/>
    <n v="5"/>
    <x v="8"/>
    <x v="3"/>
  </r>
  <r>
    <n v="10330"/>
    <x v="68"/>
    <n v="24.9"/>
    <n v="50"/>
    <n v="0.15"/>
    <n v="1058.25"/>
    <x v="5"/>
    <n v="3"/>
    <x v="5"/>
    <x v="3"/>
  </r>
  <r>
    <n v="10330"/>
    <x v="2"/>
    <n v="27.8"/>
    <n v="25"/>
    <n v="0.15"/>
    <n v="590.75"/>
    <x v="0"/>
    <n v="4"/>
    <x v="5"/>
    <x v="3"/>
  </r>
  <r>
    <n v="10331"/>
    <x v="55"/>
    <n v="5.9"/>
    <n v="15"/>
    <n v="0"/>
    <n v="88.5"/>
    <x v="7"/>
    <n v="6"/>
    <x v="0"/>
    <x v="3"/>
  </r>
  <r>
    <n v="10332"/>
    <x v="59"/>
    <n v="50"/>
    <n v="40"/>
    <n v="0.2"/>
    <n v="1600"/>
    <x v="3"/>
    <n v="8"/>
    <x v="16"/>
    <x v="3"/>
  </r>
  <r>
    <n v="10332"/>
    <x v="1"/>
    <n v="11.2"/>
    <n v="10"/>
    <n v="0.2"/>
    <n v="89.600000000000009"/>
    <x v="1"/>
    <n v="5"/>
    <x v="16"/>
    <x v="3"/>
  </r>
  <r>
    <n v="10332"/>
    <x v="69"/>
    <n v="7.6"/>
    <n v="16"/>
    <n v="0.2"/>
    <n v="97.28"/>
    <x v="5"/>
    <n v="3"/>
    <x v="16"/>
    <x v="3"/>
  </r>
  <r>
    <n v="10333"/>
    <x v="3"/>
    <n v="18.600000000000001"/>
    <n v="10"/>
    <n v="0"/>
    <n v="186"/>
    <x v="2"/>
    <n v="7"/>
    <x v="10"/>
    <x v="3"/>
  </r>
  <r>
    <n v="10333"/>
    <x v="27"/>
    <n v="8"/>
    <n v="10"/>
    <n v="0.1"/>
    <n v="72"/>
    <x v="5"/>
    <n v="3"/>
    <x v="10"/>
    <x v="3"/>
  </r>
  <r>
    <n v="10333"/>
    <x v="42"/>
    <n v="17.2"/>
    <n v="40"/>
    <n v="0.1"/>
    <n v="619.20000000000005"/>
    <x v="0"/>
    <n v="4"/>
    <x v="10"/>
    <x v="3"/>
  </r>
  <r>
    <n v="10334"/>
    <x v="65"/>
    <n v="5.6"/>
    <n v="8"/>
    <n v="0"/>
    <n v="44.8"/>
    <x v="1"/>
    <n v="5"/>
    <x v="0"/>
    <x v="3"/>
  </r>
  <r>
    <n v="10334"/>
    <x v="56"/>
    <n v="10"/>
    <n v="10"/>
    <n v="0"/>
    <n v="100"/>
    <x v="5"/>
    <n v="3"/>
    <x v="0"/>
    <x v="3"/>
  </r>
  <r>
    <n v="10335"/>
    <x v="18"/>
    <n v="15.2"/>
    <n v="7"/>
    <n v="0.2"/>
    <n v="85.12"/>
    <x v="6"/>
    <n v="1"/>
    <x v="14"/>
    <x v="3"/>
  </r>
  <r>
    <n v="10335"/>
    <x v="12"/>
    <n v="10"/>
    <n v="25"/>
    <n v="0.2"/>
    <n v="200"/>
    <x v="0"/>
    <n v="4"/>
    <x v="14"/>
    <x v="3"/>
  </r>
  <r>
    <n v="10335"/>
    <x v="26"/>
    <n v="25.6"/>
    <n v="6"/>
    <n v="0.2"/>
    <n v="122.88000000000002"/>
    <x v="0"/>
    <n v="4"/>
    <x v="14"/>
    <x v="3"/>
  </r>
  <r>
    <n v="10335"/>
    <x v="4"/>
    <n v="42.4"/>
    <n v="48"/>
    <n v="0.2"/>
    <n v="1628.1599999999999"/>
    <x v="2"/>
    <n v="7"/>
    <x v="14"/>
    <x v="3"/>
  </r>
  <r>
    <n v="10336"/>
    <x v="62"/>
    <n v="17.600000000000001"/>
    <n v="18"/>
    <n v="0.1"/>
    <n v="285.12"/>
    <x v="4"/>
    <n v="2"/>
    <x v="15"/>
    <x v="3"/>
  </r>
  <r>
    <n v="10337"/>
    <x v="70"/>
    <n v="7.2"/>
    <n v="40"/>
    <n v="0"/>
    <n v="288"/>
    <x v="1"/>
    <n v="5"/>
    <x v="1"/>
    <x v="3"/>
  </r>
  <r>
    <n v="10337"/>
    <x v="68"/>
    <n v="24.9"/>
    <n v="24"/>
    <n v="0"/>
    <n v="597.59999999999991"/>
    <x v="5"/>
    <n v="3"/>
    <x v="1"/>
    <x v="3"/>
  </r>
  <r>
    <n v="10337"/>
    <x v="20"/>
    <n v="15.2"/>
    <n v="20"/>
    <n v="0"/>
    <n v="304"/>
    <x v="3"/>
    <n v="8"/>
    <x v="1"/>
    <x v="3"/>
  </r>
  <r>
    <n v="10337"/>
    <x v="28"/>
    <n v="20.8"/>
    <n v="28"/>
    <n v="0"/>
    <n v="582.4"/>
    <x v="3"/>
    <n v="8"/>
    <x v="1"/>
    <x v="3"/>
  </r>
  <r>
    <n v="10337"/>
    <x v="2"/>
    <n v="27.8"/>
    <n v="25"/>
    <n v="0"/>
    <n v="695"/>
    <x v="0"/>
    <n v="4"/>
    <x v="1"/>
    <x v="3"/>
  </r>
  <r>
    <n v="10338"/>
    <x v="35"/>
    <n v="31.2"/>
    <n v="20"/>
    <n v="0"/>
    <n v="624"/>
    <x v="7"/>
    <n v="6"/>
    <x v="8"/>
    <x v="3"/>
  </r>
  <r>
    <n v="10338"/>
    <x v="34"/>
    <n v="20.7"/>
    <n v="15"/>
    <n v="0"/>
    <n v="310.5"/>
    <x v="3"/>
    <n v="8"/>
    <x v="8"/>
    <x v="3"/>
  </r>
  <r>
    <n v="10339"/>
    <x v="62"/>
    <n v="17.600000000000001"/>
    <n v="10"/>
    <n v="0"/>
    <n v="176"/>
    <x v="4"/>
    <n v="2"/>
    <x v="16"/>
    <x v="3"/>
  </r>
  <r>
    <n v="10339"/>
    <x v="35"/>
    <n v="31.2"/>
    <n v="70"/>
    <n v="0.05"/>
    <n v="2074.7999999999997"/>
    <x v="7"/>
    <n v="6"/>
    <x v="16"/>
    <x v="3"/>
  </r>
  <r>
    <n v="10339"/>
    <x v="29"/>
    <n v="39.4"/>
    <n v="28"/>
    <n v="0"/>
    <n v="1103.2"/>
    <x v="5"/>
    <n v="3"/>
    <x v="16"/>
    <x v="3"/>
  </r>
  <r>
    <n v="10340"/>
    <x v="59"/>
    <n v="50"/>
    <n v="20"/>
    <n v="0.05"/>
    <n v="950"/>
    <x v="3"/>
    <n v="8"/>
    <x v="0"/>
    <x v="3"/>
  </r>
  <r>
    <n v="10340"/>
    <x v="5"/>
    <n v="7.7"/>
    <n v="12"/>
    <n v="0.05"/>
    <n v="87.78"/>
    <x v="3"/>
    <n v="8"/>
    <x v="0"/>
    <x v="3"/>
  </r>
  <r>
    <n v="10340"/>
    <x v="40"/>
    <n v="36.799999999999997"/>
    <n v="40"/>
    <n v="0.05"/>
    <n v="1398.3999999999999"/>
    <x v="6"/>
    <n v="1"/>
    <x v="0"/>
    <x v="3"/>
  </r>
  <r>
    <n v="10341"/>
    <x v="10"/>
    <n v="2"/>
    <n v="8"/>
    <n v="0"/>
    <n v="16"/>
    <x v="0"/>
    <n v="4"/>
    <x v="17"/>
    <x v="3"/>
  </r>
  <r>
    <n v="10341"/>
    <x v="21"/>
    <n v="44"/>
    <n v="9"/>
    <n v="0.15"/>
    <n v="336.59999999999997"/>
    <x v="0"/>
    <n v="4"/>
    <x v="17"/>
    <x v="3"/>
  </r>
  <r>
    <n v="10342"/>
    <x v="18"/>
    <n v="15.2"/>
    <n v="24"/>
    <n v="0.2"/>
    <n v="291.83999999999997"/>
    <x v="6"/>
    <n v="1"/>
    <x v="1"/>
    <x v="3"/>
  </r>
  <r>
    <n v="10342"/>
    <x v="12"/>
    <n v="10"/>
    <n v="56"/>
    <n v="0.2"/>
    <n v="448"/>
    <x v="0"/>
    <n v="4"/>
    <x v="1"/>
    <x v="3"/>
  </r>
  <r>
    <n v="10342"/>
    <x v="20"/>
    <n v="15.2"/>
    <n v="40"/>
    <n v="0.2"/>
    <n v="486.40000000000003"/>
    <x v="3"/>
    <n v="8"/>
    <x v="1"/>
    <x v="3"/>
  </r>
  <r>
    <n v="10342"/>
    <x v="16"/>
    <n v="19.2"/>
    <n v="40"/>
    <n v="0.2"/>
    <n v="614.40000000000009"/>
    <x v="7"/>
    <n v="6"/>
    <x v="1"/>
    <x v="3"/>
  </r>
  <r>
    <n v="10343"/>
    <x v="58"/>
    <n v="26.6"/>
    <n v="50"/>
    <n v="0"/>
    <n v="1330"/>
    <x v="1"/>
    <n v="5"/>
    <x v="1"/>
    <x v="4"/>
  </r>
  <r>
    <n v="10343"/>
    <x v="56"/>
    <n v="10"/>
    <n v="4"/>
    <n v="0.05"/>
    <n v="38"/>
    <x v="5"/>
    <n v="3"/>
    <x v="1"/>
    <x v="4"/>
  </r>
  <r>
    <n v="10343"/>
    <x v="38"/>
    <n v="14.4"/>
    <n v="15"/>
    <n v="0"/>
    <n v="216"/>
    <x v="6"/>
    <n v="1"/>
    <x v="1"/>
    <x v="4"/>
  </r>
  <r>
    <n v="10344"/>
    <x v="62"/>
    <n v="17.600000000000001"/>
    <n v="35"/>
    <n v="0"/>
    <n v="616"/>
    <x v="4"/>
    <n v="2"/>
    <x v="8"/>
    <x v="4"/>
  </r>
  <r>
    <n v="10344"/>
    <x v="71"/>
    <n v="32"/>
    <n v="70"/>
    <n v="0.25"/>
    <n v="1680"/>
    <x v="4"/>
    <n v="2"/>
    <x v="8"/>
    <x v="4"/>
  </r>
  <r>
    <n v="10345"/>
    <x v="71"/>
    <n v="32"/>
    <n v="70"/>
    <n v="0"/>
    <n v="2240"/>
    <x v="4"/>
    <n v="2"/>
    <x v="1"/>
    <x v="4"/>
  </r>
  <r>
    <n v="10345"/>
    <x v="49"/>
    <n v="7.3"/>
    <n v="80"/>
    <n v="0"/>
    <n v="584"/>
    <x v="5"/>
    <n v="3"/>
    <x v="1"/>
    <x v="4"/>
  </r>
  <r>
    <n v="10345"/>
    <x v="1"/>
    <n v="11.2"/>
    <n v="9"/>
    <n v="0"/>
    <n v="100.8"/>
    <x v="1"/>
    <n v="5"/>
    <x v="1"/>
    <x v="4"/>
  </r>
  <r>
    <n v="10346"/>
    <x v="35"/>
    <n v="31.2"/>
    <n v="36"/>
    <n v="0.1"/>
    <n v="1010.8800000000001"/>
    <x v="7"/>
    <n v="6"/>
    <x v="8"/>
    <x v="4"/>
  </r>
  <r>
    <n v="10346"/>
    <x v="33"/>
    <n v="30.4"/>
    <n v="20"/>
    <n v="0"/>
    <n v="608"/>
    <x v="1"/>
    <n v="5"/>
    <x v="8"/>
    <x v="4"/>
  </r>
  <r>
    <n v="10347"/>
    <x v="66"/>
    <n v="11.2"/>
    <n v="10"/>
    <n v="0"/>
    <n v="112"/>
    <x v="5"/>
    <n v="3"/>
    <x v="2"/>
    <x v="4"/>
  </r>
  <r>
    <n v="10347"/>
    <x v="13"/>
    <n v="14.4"/>
    <n v="50"/>
    <n v="0.15"/>
    <n v="612"/>
    <x v="6"/>
    <n v="1"/>
    <x v="2"/>
    <x v="4"/>
  </r>
  <r>
    <n v="10347"/>
    <x v="37"/>
    <n v="14.7"/>
    <n v="4"/>
    <n v="0"/>
    <n v="58.8"/>
    <x v="3"/>
    <n v="8"/>
    <x v="2"/>
    <x v="4"/>
  </r>
  <r>
    <n v="10347"/>
    <x v="48"/>
    <n v="6.2"/>
    <n v="6"/>
    <n v="0.15"/>
    <n v="31.62"/>
    <x v="6"/>
    <n v="1"/>
    <x v="2"/>
    <x v="4"/>
  </r>
  <r>
    <n v="10348"/>
    <x v="52"/>
    <n v="14.4"/>
    <n v="15"/>
    <n v="0.15"/>
    <n v="183.6"/>
    <x v="6"/>
    <n v="1"/>
    <x v="1"/>
    <x v="4"/>
  </r>
  <r>
    <n v="10348"/>
    <x v="70"/>
    <n v="7.2"/>
    <n v="25"/>
    <n v="0"/>
    <n v="180"/>
    <x v="1"/>
    <n v="5"/>
    <x v="1"/>
    <x v="4"/>
  </r>
  <r>
    <n v="10349"/>
    <x v="55"/>
    <n v="5.9"/>
    <n v="24"/>
    <n v="0"/>
    <n v="141.60000000000002"/>
    <x v="7"/>
    <n v="6"/>
    <x v="8"/>
    <x v="4"/>
  </r>
  <r>
    <n v="10350"/>
    <x v="72"/>
    <n v="13"/>
    <n v="15"/>
    <n v="0.1"/>
    <n v="175.5"/>
    <x v="5"/>
    <n v="3"/>
    <x v="0"/>
    <x v="4"/>
  </r>
  <r>
    <n v="10350"/>
    <x v="60"/>
    <n v="28.8"/>
    <n v="18"/>
    <n v="0.1"/>
    <n v="466.56"/>
    <x v="0"/>
    <n v="4"/>
    <x v="0"/>
    <x v="4"/>
  </r>
  <r>
    <n v="10351"/>
    <x v="67"/>
    <n v="210.8"/>
    <n v="20"/>
    <n v="0.05"/>
    <n v="4005.2"/>
    <x v="6"/>
    <n v="1"/>
    <x v="6"/>
    <x v="4"/>
  </r>
  <r>
    <n v="10351"/>
    <x v="5"/>
    <n v="7.7"/>
    <n v="13"/>
    <n v="0"/>
    <n v="100.10000000000001"/>
    <x v="3"/>
    <n v="8"/>
    <x v="6"/>
    <x v="4"/>
  </r>
  <r>
    <n v="10351"/>
    <x v="45"/>
    <n v="15.5"/>
    <n v="77"/>
    <n v="0.05"/>
    <n v="1133.825"/>
    <x v="4"/>
    <n v="2"/>
    <x v="6"/>
    <x v="4"/>
  </r>
  <r>
    <n v="10351"/>
    <x v="6"/>
    <n v="16.8"/>
    <n v="10"/>
    <n v="0.05"/>
    <n v="159.6"/>
    <x v="4"/>
    <n v="2"/>
    <x v="6"/>
    <x v="4"/>
  </r>
  <r>
    <n v="10352"/>
    <x v="15"/>
    <n v="3.6"/>
    <n v="10"/>
    <n v="0"/>
    <n v="36"/>
    <x v="6"/>
    <n v="1"/>
    <x v="15"/>
    <x v="4"/>
  </r>
  <r>
    <n v="10352"/>
    <x v="55"/>
    <n v="5.9"/>
    <n v="20"/>
    <n v="0.15"/>
    <n v="100.3"/>
    <x v="7"/>
    <n v="6"/>
    <x v="15"/>
    <x v="4"/>
  </r>
  <r>
    <n v="10353"/>
    <x v="0"/>
    <n v="16.8"/>
    <n v="12"/>
    <n v="0.2"/>
    <n v="161.28000000000003"/>
    <x v="0"/>
    <n v="4"/>
    <x v="6"/>
    <x v="4"/>
  </r>
  <r>
    <n v="10353"/>
    <x v="67"/>
    <n v="210.8"/>
    <n v="50"/>
    <n v="0.2"/>
    <n v="8432"/>
    <x v="6"/>
    <n v="1"/>
    <x v="6"/>
    <x v="4"/>
  </r>
  <r>
    <n v="10354"/>
    <x v="52"/>
    <n v="14.4"/>
    <n v="12"/>
    <n v="0"/>
    <n v="172.8"/>
    <x v="6"/>
    <n v="1"/>
    <x v="7"/>
    <x v="4"/>
  </r>
  <r>
    <n v="10354"/>
    <x v="39"/>
    <n v="99"/>
    <n v="4"/>
    <n v="0"/>
    <n v="396"/>
    <x v="7"/>
    <n v="6"/>
    <x v="7"/>
    <x v="4"/>
  </r>
  <r>
    <n v="10355"/>
    <x v="15"/>
    <n v="3.6"/>
    <n v="25"/>
    <n v="0"/>
    <n v="90"/>
    <x v="6"/>
    <n v="1"/>
    <x v="13"/>
    <x v="4"/>
  </r>
  <r>
    <n v="10355"/>
    <x v="8"/>
    <n v="15.6"/>
    <n v="25"/>
    <n v="0"/>
    <n v="390"/>
    <x v="1"/>
    <n v="5"/>
    <x v="13"/>
    <x v="4"/>
  </r>
  <r>
    <n v="10356"/>
    <x v="12"/>
    <n v="10"/>
    <n v="30"/>
    <n v="0"/>
    <n v="300"/>
    <x v="0"/>
    <n v="4"/>
    <x v="1"/>
    <x v="4"/>
  </r>
  <r>
    <n v="10356"/>
    <x v="16"/>
    <n v="19.2"/>
    <n v="12"/>
    <n v="0"/>
    <n v="230.39999999999998"/>
    <x v="7"/>
    <n v="6"/>
    <x v="1"/>
    <x v="4"/>
  </r>
  <r>
    <n v="10356"/>
    <x v="60"/>
    <n v="28.8"/>
    <n v="20"/>
    <n v="0"/>
    <n v="576"/>
    <x v="0"/>
    <n v="4"/>
    <x v="1"/>
    <x v="4"/>
  </r>
  <r>
    <n v="10357"/>
    <x v="41"/>
    <n v="24.8"/>
    <n v="30"/>
    <n v="0.2"/>
    <n v="595.20000000000005"/>
    <x v="3"/>
    <n v="8"/>
    <x v="5"/>
    <x v="4"/>
  </r>
  <r>
    <n v="10357"/>
    <x v="68"/>
    <n v="24.9"/>
    <n v="16"/>
    <n v="0"/>
    <n v="398.4"/>
    <x v="5"/>
    <n v="3"/>
    <x v="5"/>
    <x v="4"/>
  </r>
  <r>
    <n v="10357"/>
    <x v="11"/>
    <n v="27.2"/>
    <n v="8"/>
    <n v="0.2"/>
    <n v="174.08"/>
    <x v="0"/>
    <n v="4"/>
    <x v="5"/>
    <x v="4"/>
  </r>
  <r>
    <n v="10358"/>
    <x v="15"/>
    <n v="3.6"/>
    <n v="10"/>
    <n v="0.05"/>
    <n v="34.199999999999996"/>
    <x v="6"/>
    <n v="1"/>
    <x v="0"/>
    <x v="4"/>
  </r>
  <r>
    <n v="10358"/>
    <x v="53"/>
    <n v="11.2"/>
    <n v="10"/>
    <n v="0.05"/>
    <n v="106.39999999999999"/>
    <x v="6"/>
    <n v="1"/>
    <x v="0"/>
    <x v="4"/>
  </r>
  <r>
    <n v="10358"/>
    <x v="20"/>
    <n v="15.2"/>
    <n v="20"/>
    <n v="0.05"/>
    <n v="288.8"/>
    <x v="3"/>
    <n v="8"/>
    <x v="0"/>
    <x v="4"/>
  </r>
  <r>
    <n v="10359"/>
    <x v="19"/>
    <n v="13.9"/>
    <n v="56"/>
    <n v="0.05"/>
    <n v="739.4799999999999"/>
    <x v="5"/>
    <n v="3"/>
    <x v="13"/>
    <x v="4"/>
  </r>
  <r>
    <n v="10359"/>
    <x v="12"/>
    <n v="10"/>
    <n v="70"/>
    <n v="0.05"/>
    <n v="665"/>
    <x v="0"/>
    <n v="4"/>
    <x v="13"/>
    <x v="4"/>
  </r>
  <r>
    <n v="10359"/>
    <x v="11"/>
    <n v="27.2"/>
    <n v="80"/>
    <n v="0.05"/>
    <n v="2067.1999999999998"/>
    <x v="0"/>
    <n v="4"/>
    <x v="13"/>
    <x v="4"/>
  </r>
  <r>
    <n v="10360"/>
    <x v="44"/>
    <n v="36.4"/>
    <n v="30"/>
    <n v="0"/>
    <n v="1092"/>
    <x v="2"/>
    <n v="7"/>
    <x v="0"/>
    <x v="4"/>
  </r>
  <r>
    <n v="10360"/>
    <x v="39"/>
    <n v="99"/>
    <n v="35"/>
    <n v="0"/>
    <n v="3465"/>
    <x v="7"/>
    <n v="6"/>
    <x v="0"/>
    <x v="4"/>
  </r>
  <r>
    <n v="10360"/>
    <x v="67"/>
    <n v="210.8"/>
    <n v="10"/>
    <n v="0"/>
    <n v="2108"/>
    <x v="6"/>
    <n v="1"/>
    <x v="0"/>
    <x v="4"/>
  </r>
  <r>
    <n v="10360"/>
    <x v="14"/>
    <n v="16"/>
    <n v="35"/>
    <n v="0"/>
    <n v="560"/>
    <x v="5"/>
    <n v="3"/>
    <x v="0"/>
    <x v="4"/>
  </r>
  <r>
    <n v="10360"/>
    <x v="55"/>
    <n v="5.9"/>
    <n v="28"/>
    <n v="0"/>
    <n v="165.20000000000002"/>
    <x v="7"/>
    <n v="6"/>
    <x v="0"/>
    <x v="4"/>
  </r>
  <r>
    <n v="10361"/>
    <x v="13"/>
    <n v="14.4"/>
    <n v="54"/>
    <n v="0.1"/>
    <n v="699.84"/>
    <x v="6"/>
    <n v="1"/>
    <x v="1"/>
    <x v="4"/>
  </r>
  <r>
    <n v="10361"/>
    <x v="11"/>
    <n v="27.2"/>
    <n v="55"/>
    <n v="0.1"/>
    <n v="1346.4"/>
    <x v="0"/>
    <n v="4"/>
    <x v="1"/>
    <x v="4"/>
  </r>
  <r>
    <n v="10362"/>
    <x v="66"/>
    <n v="11.2"/>
    <n v="50"/>
    <n v="0"/>
    <n v="560"/>
    <x v="5"/>
    <n v="3"/>
    <x v="0"/>
    <x v="4"/>
  </r>
  <r>
    <n v="10362"/>
    <x v="4"/>
    <n v="42.4"/>
    <n v="20"/>
    <n v="0"/>
    <n v="848"/>
    <x v="2"/>
    <n v="7"/>
    <x v="0"/>
    <x v="4"/>
  </r>
  <r>
    <n v="10362"/>
    <x v="55"/>
    <n v="5.9"/>
    <n v="24"/>
    <n v="0"/>
    <n v="141.60000000000002"/>
    <x v="7"/>
    <n v="6"/>
    <x v="0"/>
    <x v="4"/>
  </r>
  <r>
    <n v="10363"/>
    <x v="12"/>
    <n v="10"/>
    <n v="20"/>
    <n v="0"/>
    <n v="200"/>
    <x v="0"/>
    <n v="4"/>
    <x v="1"/>
    <x v="4"/>
  </r>
  <r>
    <n v="10363"/>
    <x v="48"/>
    <n v="6.2"/>
    <n v="12"/>
    <n v="0"/>
    <n v="74.400000000000006"/>
    <x v="6"/>
    <n v="1"/>
    <x v="1"/>
    <x v="4"/>
  </r>
  <r>
    <n v="10363"/>
    <x v="38"/>
    <n v="14.4"/>
    <n v="12"/>
    <n v="0"/>
    <n v="172.8"/>
    <x v="6"/>
    <n v="1"/>
    <x v="1"/>
    <x v="4"/>
  </r>
  <r>
    <n v="10364"/>
    <x v="60"/>
    <n v="28.8"/>
    <n v="30"/>
    <n v="0"/>
    <n v="864"/>
    <x v="0"/>
    <n v="4"/>
    <x v="13"/>
    <x v="4"/>
  </r>
  <r>
    <n v="10364"/>
    <x v="42"/>
    <n v="17.2"/>
    <n v="5"/>
    <n v="0"/>
    <n v="86"/>
    <x v="0"/>
    <n v="4"/>
    <x v="13"/>
    <x v="4"/>
  </r>
  <r>
    <n v="10365"/>
    <x v="0"/>
    <n v="16.8"/>
    <n v="24"/>
    <n v="0"/>
    <n v="403.20000000000005"/>
    <x v="0"/>
    <n v="4"/>
    <x v="7"/>
    <x v="4"/>
  </r>
  <r>
    <n v="10366"/>
    <x v="6"/>
    <n v="16.8"/>
    <n v="5"/>
    <n v="0"/>
    <n v="84"/>
    <x v="4"/>
    <n v="2"/>
    <x v="12"/>
    <x v="4"/>
  </r>
  <r>
    <n v="10366"/>
    <x v="23"/>
    <n v="10.4"/>
    <n v="5"/>
    <n v="0"/>
    <n v="52"/>
    <x v="4"/>
    <n v="2"/>
    <x v="12"/>
    <x v="4"/>
  </r>
  <r>
    <n v="10367"/>
    <x v="53"/>
    <n v="11.2"/>
    <n v="36"/>
    <n v="0"/>
    <n v="403.2"/>
    <x v="6"/>
    <n v="1"/>
    <x v="17"/>
    <x v="4"/>
  </r>
  <r>
    <n v="10367"/>
    <x v="55"/>
    <n v="5.9"/>
    <n v="18"/>
    <n v="0"/>
    <n v="106.2"/>
    <x v="7"/>
    <n v="6"/>
    <x v="17"/>
    <x v="4"/>
  </r>
  <r>
    <n v="10367"/>
    <x v="6"/>
    <n v="16.8"/>
    <n v="15"/>
    <n v="0"/>
    <n v="252"/>
    <x v="4"/>
    <n v="2"/>
    <x v="17"/>
    <x v="4"/>
  </r>
  <r>
    <n v="10367"/>
    <x v="23"/>
    <n v="10.4"/>
    <n v="7"/>
    <n v="0"/>
    <n v="72.8"/>
    <x v="4"/>
    <n v="2"/>
    <x v="17"/>
    <x v="4"/>
  </r>
  <r>
    <n v="10368"/>
    <x v="27"/>
    <n v="8"/>
    <n v="5"/>
    <n v="0.1"/>
    <n v="36"/>
    <x v="5"/>
    <n v="3"/>
    <x v="6"/>
    <x v="4"/>
  </r>
  <r>
    <n v="10368"/>
    <x v="44"/>
    <n v="36.4"/>
    <n v="13"/>
    <n v="0.1"/>
    <n v="425.88"/>
    <x v="2"/>
    <n v="7"/>
    <x v="6"/>
    <x v="4"/>
  </r>
  <r>
    <n v="10368"/>
    <x v="8"/>
    <n v="15.6"/>
    <n v="25"/>
    <n v="0"/>
    <n v="390"/>
    <x v="1"/>
    <n v="5"/>
    <x v="6"/>
    <x v="4"/>
  </r>
  <r>
    <n v="10368"/>
    <x v="58"/>
    <n v="26.6"/>
    <n v="35"/>
    <n v="0.1"/>
    <n v="837.9"/>
    <x v="1"/>
    <n v="5"/>
    <x v="6"/>
    <x v="4"/>
  </r>
  <r>
    <n v="10369"/>
    <x v="39"/>
    <n v="99"/>
    <n v="20"/>
    <n v="0"/>
    <n v="1980"/>
    <x v="7"/>
    <n v="6"/>
    <x v="8"/>
    <x v="5"/>
  </r>
  <r>
    <n v="10369"/>
    <x v="33"/>
    <n v="30.4"/>
    <n v="18"/>
    <n v="0.25"/>
    <n v="410.4"/>
    <x v="1"/>
    <n v="5"/>
    <x v="8"/>
    <x v="5"/>
  </r>
  <r>
    <n v="10370"/>
    <x v="52"/>
    <n v="14.4"/>
    <n v="15"/>
    <n v="0.15"/>
    <n v="183.6"/>
    <x v="6"/>
    <n v="1"/>
    <x v="4"/>
    <x v="5"/>
  </r>
  <r>
    <n v="10370"/>
    <x v="58"/>
    <n v="26.6"/>
    <n v="30"/>
    <n v="0"/>
    <n v="798"/>
    <x v="1"/>
    <n v="5"/>
    <x v="4"/>
    <x v="5"/>
  </r>
  <r>
    <n v="10370"/>
    <x v="17"/>
    <n v="8"/>
    <n v="20"/>
    <n v="0.15"/>
    <n v="136"/>
    <x v="2"/>
    <n v="7"/>
    <x v="4"/>
    <x v="5"/>
  </r>
  <r>
    <n v="10371"/>
    <x v="20"/>
    <n v="15.2"/>
    <n v="6"/>
    <n v="0.2"/>
    <n v="72.959999999999994"/>
    <x v="3"/>
    <n v="8"/>
    <x v="0"/>
    <x v="5"/>
  </r>
  <r>
    <n v="10372"/>
    <x v="9"/>
    <n v="64.8"/>
    <n v="12"/>
    <n v="0.25"/>
    <n v="583.19999999999993"/>
    <x v="5"/>
    <n v="3"/>
    <x v="2"/>
    <x v="5"/>
  </r>
  <r>
    <n v="10372"/>
    <x v="67"/>
    <n v="210.8"/>
    <n v="40"/>
    <n v="0.25"/>
    <n v="6324"/>
    <x v="6"/>
    <n v="1"/>
    <x v="2"/>
    <x v="5"/>
  </r>
  <r>
    <n v="10372"/>
    <x v="11"/>
    <n v="27.2"/>
    <n v="70"/>
    <n v="0.25"/>
    <n v="1428"/>
    <x v="0"/>
    <n v="4"/>
    <x v="2"/>
    <x v="5"/>
  </r>
  <r>
    <n v="10372"/>
    <x v="2"/>
    <n v="27.8"/>
    <n v="42"/>
    <n v="0.25"/>
    <n v="875.7"/>
    <x v="0"/>
    <n v="4"/>
    <x v="2"/>
    <x v="5"/>
  </r>
  <r>
    <n v="10373"/>
    <x v="64"/>
    <n v="10.6"/>
    <n v="80"/>
    <n v="0.2"/>
    <n v="678.40000000000009"/>
    <x v="3"/>
    <n v="8"/>
    <x v="14"/>
    <x v="5"/>
  </r>
  <r>
    <n v="10373"/>
    <x v="42"/>
    <n v="17.2"/>
    <n v="50"/>
    <n v="0.2"/>
    <n v="688"/>
    <x v="0"/>
    <n v="4"/>
    <x v="14"/>
    <x v="5"/>
  </r>
  <r>
    <n v="10374"/>
    <x v="12"/>
    <n v="10"/>
    <n v="30"/>
    <n v="0"/>
    <n v="300"/>
    <x v="0"/>
    <n v="4"/>
    <x v="18"/>
    <x v="5"/>
  </r>
  <r>
    <n v="10374"/>
    <x v="64"/>
    <n v="10.6"/>
    <n v="15"/>
    <n v="0"/>
    <n v="159"/>
    <x v="3"/>
    <n v="8"/>
    <x v="18"/>
    <x v="5"/>
  </r>
  <r>
    <n v="10375"/>
    <x v="3"/>
    <n v="18.600000000000001"/>
    <n v="15"/>
    <n v="0"/>
    <n v="279"/>
    <x v="2"/>
    <n v="7"/>
    <x v="8"/>
    <x v="5"/>
  </r>
  <r>
    <n v="10375"/>
    <x v="55"/>
    <n v="5.9"/>
    <n v="10"/>
    <n v="0"/>
    <n v="59"/>
    <x v="7"/>
    <n v="6"/>
    <x v="8"/>
    <x v="5"/>
  </r>
  <r>
    <n v="10376"/>
    <x v="12"/>
    <n v="10"/>
    <n v="42"/>
    <n v="0.05"/>
    <n v="399"/>
    <x v="0"/>
    <n v="4"/>
    <x v="16"/>
    <x v="5"/>
  </r>
  <r>
    <n v="10377"/>
    <x v="44"/>
    <n v="36.4"/>
    <n v="20"/>
    <n v="0.15"/>
    <n v="618.79999999999995"/>
    <x v="2"/>
    <n v="7"/>
    <x v="13"/>
    <x v="5"/>
  </r>
  <r>
    <n v="10377"/>
    <x v="13"/>
    <n v="14.4"/>
    <n v="20"/>
    <n v="0.15"/>
    <n v="244.79999999999998"/>
    <x v="6"/>
    <n v="1"/>
    <x v="13"/>
    <x v="5"/>
  </r>
  <r>
    <n v="10378"/>
    <x v="42"/>
    <n v="17.2"/>
    <n v="6"/>
    <n v="0"/>
    <n v="103.19999999999999"/>
    <x v="0"/>
    <n v="4"/>
    <x v="9"/>
    <x v="5"/>
  </r>
  <r>
    <n v="10379"/>
    <x v="5"/>
    <n v="7.7"/>
    <n v="8"/>
    <n v="0.1"/>
    <n v="55.440000000000005"/>
    <x v="3"/>
    <n v="8"/>
    <x v="2"/>
    <x v="5"/>
  </r>
  <r>
    <n v="10379"/>
    <x v="46"/>
    <n v="35.1"/>
    <n v="16"/>
    <n v="0.1"/>
    <n v="505.44000000000005"/>
    <x v="4"/>
    <n v="2"/>
    <x v="2"/>
    <x v="5"/>
  </r>
  <r>
    <n v="10379"/>
    <x v="6"/>
    <n v="16.8"/>
    <n v="20"/>
    <n v="0.1"/>
    <n v="302.40000000000003"/>
    <x v="4"/>
    <n v="2"/>
    <x v="2"/>
    <x v="5"/>
  </r>
  <r>
    <n v="10380"/>
    <x v="34"/>
    <n v="20.7"/>
    <n v="18"/>
    <n v="0.1"/>
    <n v="335.34"/>
    <x v="3"/>
    <n v="8"/>
    <x v="14"/>
    <x v="5"/>
  </r>
  <r>
    <n v="10380"/>
    <x v="22"/>
    <n v="26.2"/>
    <n v="20"/>
    <n v="0.1"/>
    <n v="471.6"/>
    <x v="7"/>
    <n v="6"/>
    <x v="14"/>
    <x v="5"/>
  </r>
  <r>
    <n v="10380"/>
    <x v="11"/>
    <n v="27.2"/>
    <n v="6"/>
    <n v="0.1"/>
    <n v="146.88"/>
    <x v="0"/>
    <n v="4"/>
    <x v="14"/>
    <x v="5"/>
  </r>
  <r>
    <n v="10380"/>
    <x v="30"/>
    <n v="12"/>
    <n v="30"/>
    <n v="0"/>
    <n v="360"/>
    <x v="6"/>
    <n v="1"/>
    <x v="14"/>
    <x v="5"/>
  </r>
  <r>
    <n v="10381"/>
    <x v="17"/>
    <n v="8"/>
    <n v="14"/>
    <n v="0"/>
    <n v="112"/>
    <x v="2"/>
    <n v="7"/>
    <x v="5"/>
    <x v="5"/>
  </r>
  <r>
    <n v="10382"/>
    <x v="25"/>
    <n v="17"/>
    <n v="32"/>
    <n v="0"/>
    <n v="544"/>
    <x v="4"/>
    <n v="2"/>
    <x v="6"/>
    <x v="5"/>
  </r>
  <r>
    <n v="10382"/>
    <x v="59"/>
    <n v="50"/>
    <n v="9"/>
    <n v="0"/>
    <n v="450"/>
    <x v="3"/>
    <n v="8"/>
    <x v="6"/>
    <x v="5"/>
  </r>
  <r>
    <n v="10382"/>
    <x v="39"/>
    <n v="99"/>
    <n v="14"/>
    <n v="0"/>
    <n v="1386"/>
    <x v="7"/>
    <n v="6"/>
    <x v="6"/>
    <x v="5"/>
  </r>
  <r>
    <n v="10382"/>
    <x v="10"/>
    <n v="2"/>
    <n v="60"/>
    <n v="0"/>
    <n v="120"/>
    <x v="0"/>
    <n v="4"/>
    <x v="6"/>
    <x v="5"/>
  </r>
  <r>
    <n v="10382"/>
    <x v="17"/>
    <n v="8"/>
    <n v="50"/>
    <n v="0"/>
    <n v="400"/>
    <x v="2"/>
    <n v="7"/>
    <x v="6"/>
    <x v="5"/>
  </r>
  <r>
    <n v="10383"/>
    <x v="43"/>
    <n v="4.8"/>
    <n v="20"/>
    <n v="0"/>
    <n v="96"/>
    <x v="3"/>
    <n v="8"/>
    <x v="13"/>
    <x v="5"/>
  </r>
  <r>
    <n v="10383"/>
    <x v="72"/>
    <n v="13"/>
    <n v="15"/>
    <n v="0"/>
    <n v="195"/>
    <x v="5"/>
    <n v="3"/>
    <x v="13"/>
    <x v="5"/>
  </r>
  <r>
    <n v="10383"/>
    <x v="33"/>
    <n v="30.4"/>
    <n v="20"/>
    <n v="0"/>
    <n v="608"/>
    <x v="1"/>
    <n v="5"/>
    <x v="13"/>
    <x v="5"/>
  </r>
  <r>
    <n v="10384"/>
    <x v="9"/>
    <n v="64.8"/>
    <n v="28"/>
    <n v="0"/>
    <n v="1814.3999999999999"/>
    <x v="5"/>
    <n v="3"/>
    <x v="9"/>
    <x v="5"/>
  </r>
  <r>
    <n v="10384"/>
    <x v="11"/>
    <n v="27.2"/>
    <n v="15"/>
    <n v="0"/>
    <n v="408"/>
    <x v="0"/>
    <n v="4"/>
    <x v="9"/>
    <x v="5"/>
  </r>
  <r>
    <n v="10385"/>
    <x v="32"/>
    <n v="24"/>
    <n v="10"/>
    <n v="0.2"/>
    <n v="192"/>
    <x v="2"/>
    <n v="7"/>
    <x v="8"/>
    <x v="5"/>
  </r>
  <r>
    <n v="10385"/>
    <x v="11"/>
    <n v="27.2"/>
    <n v="20"/>
    <n v="0.2"/>
    <n v="435.20000000000005"/>
    <x v="0"/>
    <n v="4"/>
    <x v="8"/>
    <x v="5"/>
  </r>
  <r>
    <n v="10385"/>
    <x v="56"/>
    <n v="10"/>
    <n v="8"/>
    <n v="0.2"/>
    <n v="64"/>
    <x v="5"/>
    <n v="3"/>
    <x v="8"/>
    <x v="5"/>
  </r>
  <r>
    <n v="10386"/>
    <x v="15"/>
    <n v="3.6"/>
    <n v="15"/>
    <n v="0"/>
    <n v="54"/>
    <x v="6"/>
    <n v="1"/>
    <x v="2"/>
    <x v="5"/>
  </r>
  <r>
    <n v="10386"/>
    <x v="53"/>
    <n v="11.2"/>
    <n v="10"/>
    <n v="0"/>
    <n v="112"/>
    <x v="6"/>
    <n v="1"/>
    <x v="2"/>
    <x v="5"/>
  </r>
  <r>
    <n v="10387"/>
    <x v="15"/>
    <n v="3.6"/>
    <n v="15"/>
    <n v="0"/>
    <n v="54"/>
    <x v="6"/>
    <n v="1"/>
    <x v="19"/>
    <x v="5"/>
  </r>
  <r>
    <n v="10387"/>
    <x v="44"/>
    <n v="36.4"/>
    <n v="6"/>
    <n v="0"/>
    <n v="218.39999999999998"/>
    <x v="2"/>
    <n v="7"/>
    <x v="19"/>
    <x v="5"/>
  </r>
  <r>
    <n v="10387"/>
    <x v="21"/>
    <n v="44"/>
    <n v="12"/>
    <n v="0"/>
    <n v="528"/>
    <x v="0"/>
    <n v="4"/>
    <x v="19"/>
    <x v="5"/>
  </r>
  <r>
    <n v="10387"/>
    <x v="42"/>
    <n v="17.2"/>
    <n v="15"/>
    <n v="0"/>
    <n v="258"/>
    <x v="0"/>
    <n v="4"/>
    <x v="19"/>
    <x v="5"/>
  </r>
  <r>
    <n v="10388"/>
    <x v="73"/>
    <n v="7.6"/>
    <n v="15"/>
    <n v="0.2"/>
    <n v="91.2"/>
    <x v="3"/>
    <n v="8"/>
    <x v="13"/>
    <x v="5"/>
  </r>
  <r>
    <n v="10388"/>
    <x v="65"/>
    <n v="5.6"/>
    <n v="20"/>
    <n v="0.2"/>
    <n v="89.600000000000009"/>
    <x v="1"/>
    <n v="5"/>
    <x v="13"/>
    <x v="5"/>
  </r>
  <r>
    <n v="10388"/>
    <x v="22"/>
    <n v="26.2"/>
    <n v="40"/>
    <n v="0"/>
    <n v="1048"/>
    <x v="7"/>
    <n v="6"/>
    <x v="13"/>
    <x v="5"/>
  </r>
  <r>
    <n v="10389"/>
    <x v="41"/>
    <n v="24.8"/>
    <n v="16"/>
    <n v="0"/>
    <n v="396.8"/>
    <x v="3"/>
    <n v="8"/>
    <x v="16"/>
    <x v="5"/>
  </r>
  <r>
    <n v="10389"/>
    <x v="16"/>
    <n v="19.2"/>
    <n v="15"/>
    <n v="0"/>
    <n v="288"/>
    <x v="7"/>
    <n v="6"/>
    <x v="16"/>
    <x v="5"/>
  </r>
  <r>
    <n v="10389"/>
    <x v="29"/>
    <n v="39.4"/>
    <n v="20"/>
    <n v="0"/>
    <n v="788"/>
    <x v="5"/>
    <n v="3"/>
    <x v="16"/>
    <x v="5"/>
  </r>
  <r>
    <n v="10389"/>
    <x v="30"/>
    <n v="12"/>
    <n v="30"/>
    <n v="0"/>
    <n v="360"/>
    <x v="6"/>
    <n v="1"/>
    <x v="16"/>
    <x v="5"/>
  </r>
  <r>
    <n v="10390"/>
    <x v="12"/>
    <n v="10"/>
    <n v="60"/>
    <n v="0.1"/>
    <n v="540"/>
    <x v="0"/>
    <n v="4"/>
    <x v="6"/>
    <x v="5"/>
  </r>
  <r>
    <n v="10390"/>
    <x v="31"/>
    <n v="14.4"/>
    <n v="40"/>
    <n v="0.1"/>
    <n v="518.4"/>
    <x v="6"/>
    <n v="1"/>
    <x v="6"/>
    <x v="5"/>
  </r>
  <r>
    <n v="10390"/>
    <x v="54"/>
    <n v="9.6"/>
    <n v="45"/>
    <n v="0"/>
    <n v="432"/>
    <x v="3"/>
    <n v="8"/>
    <x v="6"/>
    <x v="5"/>
  </r>
  <r>
    <n v="10390"/>
    <x v="2"/>
    <n v="27.8"/>
    <n v="24"/>
    <n v="0.1"/>
    <n v="600.48"/>
    <x v="0"/>
    <n v="4"/>
    <x v="6"/>
    <x v="5"/>
  </r>
  <r>
    <n v="10391"/>
    <x v="43"/>
    <n v="4.8"/>
    <n v="18"/>
    <n v="0"/>
    <n v="86.399999999999991"/>
    <x v="3"/>
    <n v="8"/>
    <x v="1"/>
    <x v="5"/>
  </r>
  <r>
    <n v="10392"/>
    <x v="60"/>
    <n v="28.8"/>
    <n v="50"/>
    <n v="0"/>
    <n v="1440"/>
    <x v="0"/>
    <n v="4"/>
    <x v="6"/>
    <x v="5"/>
  </r>
  <r>
    <n v="10393"/>
    <x v="18"/>
    <n v="15.2"/>
    <n v="25"/>
    <n v="0.25"/>
    <n v="285"/>
    <x v="6"/>
    <n v="1"/>
    <x v="8"/>
    <x v="5"/>
  </r>
  <r>
    <n v="10393"/>
    <x v="3"/>
    <n v="18.600000000000001"/>
    <n v="42"/>
    <n v="0.25"/>
    <n v="585.90000000000009"/>
    <x v="2"/>
    <n v="7"/>
    <x v="8"/>
    <x v="5"/>
  </r>
  <r>
    <n v="10393"/>
    <x v="66"/>
    <n v="11.2"/>
    <n v="7"/>
    <n v="0.25"/>
    <n v="58.8"/>
    <x v="5"/>
    <n v="3"/>
    <x v="8"/>
    <x v="5"/>
  </r>
  <r>
    <n v="10393"/>
    <x v="68"/>
    <n v="24.9"/>
    <n v="70"/>
    <n v="0.25"/>
    <n v="1307.25"/>
    <x v="5"/>
    <n v="3"/>
    <x v="8"/>
    <x v="5"/>
  </r>
  <r>
    <n v="10393"/>
    <x v="12"/>
    <n v="10"/>
    <n v="32"/>
    <n v="0"/>
    <n v="320"/>
    <x v="0"/>
    <n v="4"/>
    <x v="8"/>
    <x v="5"/>
  </r>
  <r>
    <n v="10394"/>
    <x v="43"/>
    <n v="4.8"/>
    <n v="10"/>
    <n v="0"/>
    <n v="48"/>
    <x v="3"/>
    <n v="8"/>
    <x v="8"/>
    <x v="5"/>
  </r>
  <r>
    <n v="10394"/>
    <x v="29"/>
    <n v="39.4"/>
    <n v="10"/>
    <n v="0"/>
    <n v="394"/>
    <x v="5"/>
    <n v="3"/>
    <x v="8"/>
    <x v="5"/>
  </r>
  <r>
    <n v="10395"/>
    <x v="54"/>
    <n v="9.6"/>
    <n v="28"/>
    <n v="0.1"/>
    <n v="241.92000000000002"/>
    <x v="3"/>
    <n v="8"/>
    <x v="5"/>
    <x v="5"/>
  </r>
  <r>
    <n v="10395"/>
    <x v="22"/>
    <n v="26.2"/>
    <n v="70"/>
    <n v="0.1"/>
    <n v="1650.6000000000001"/>
    <x v="7"/>
    <n v="6"/>
    <x v="5"/>
    <x v="5"/>
  </r>
  <r>
    <n v="10395"/>
    <x v="60"/>
    <n v="28.8"/>
    <n v="8"/>
    <n v="0"/>
    <n v="230.4"/>
    <x v="0"/>
    <n v="4"/>
    <x v="5"/>
    <x v="5"/>
  </r>
  <r>
    <n v="10396"/>
    <x v="70"/>
    <n v="7.2"/>
    <n v="40"/>
    <n v="0"/>
    <n v="288"/>
    <x v="1"/>
    <n v="5"/>
    <x v="1"/>
    <x v="5"/>
  </r>
  <r>
    <n v="10396"/>
    <x v="42"/>
    <n v="17.2"/>
    <n v="60"/>
    <n v="0"/>
    <n v="1032"/>
    <x v="0"/>
    <n v="4"/>
    <x v="1"/>
    <x v="5"/>
  </r>
  <r>
    <n v="10396"/>
    <x v="2"/>
    <n v="27.8"/>
    <n v="21"/>
    <n v="0"/>
    <n v="583.80000000000007"/>
    <x v="0"/>
    <n v="4"/>
    <x v="1"/>
    <x v="5"/>
  </r>
  <r>
    <n v="10397"/>
    <x v="27"/>
    <n v="8"/>
    <n v="10"/>
    <n v="0.15"/>
    <n v="68"/>
    <x v="5"/>
    <n v="3"/>
    <x v="15"/>
    <x v="5"/>
  </r>
  <r>
    <n v="10397"/>
    <x v="4"/>
    <n v="42.4"/>
    <n v="18"/>
    <n v="0.15"/>
    <n v="648.71999999999991"/>
    <x v="2"/>
    <n v="7"/>
    <x v="15"/>
    <x v="5"/>
  </r>
  <r>
    <n v="10398"/>
    <x v="31"/>
    <n v="14.4"/>
    <n v="30"/>
    <n v="0"/>
    <n v="432"/>
    <x v="6"/>
    <n v="1"/>
    <x v="8"/>
    <x v="5"/>
  </r>
  <r>
    <n v="10398"/>
    <x v="16"/>
    <n v="19.2"/>
    <n v="120"/>
    <n v="0.1"/>
    <n v="2073.6"/>
    <x v="7"/>
    <n v="6"/>
    <x v="8"/>
    <x v="5"/>
  </r>
  <r>
    <n v="10399"/>
    <x v="56"/>
    <n v="10"/>
    <n v="60"/>
    <n v="0"/>
    <n v="600"/>
    <x v="5"/>
    <n v="3"/>
    <x v="17"/>
    <x v="5"/>
  </r>
  <r>
    <n v="10399"/>
    <x v="42"/>
    <n v="17.2"/>
    <n v="30"/>
    <n v="0"/>
    <n v="516"/>
    <x v="0"/>
    <n v="4"/>
    <x v="17"/>
    <x v="5"/>
  </r>
  <r>
    <n v="10399"/>
    <x v="38"/>
    <n v="14.4"/>
    <n v="35"/>
    <n v="0"/>
    <n v="504"/>
    <x v="6"/>
    <n v="1"/>
    <x v="17"/>
    <x v="5"/>
  </r>
  <r>
    <n v="10399"/>
    <x v="23"/>
    <n v="10.4"/>
    <n v="14"/>
    <n v="0"/>
    <n v="145.6"/>
    <x v="4"/>
    <n v="2"/>
    <x v="17"/>
    <x v="5"/>
  </r>
  <r>
    <n v="10400"/>
    <x v="39"/>
    <n v="99"/>
    <n v="21"/>
    <n v="0"/>
    <n v="2079"/>
    <x v="7"/>
    <n v="6"/>
    <x v="13"/>
    <x v="6"/>
  </r>
  <r>
    <n v="10400"/>
    <x v="31"/>
    <n v="14.4"/>
    <n v="35"/>
    <n v="0"/>
    <n v="504"/>
    <x v="6"/>
    <n v="1"/>
    <x v="13"/>
    <x v="6"/>
  </r>
  <r>
    <n v="10400"/>
    <x v="14"/>
    <n v="16"/>
    <n v="30"/>
    <n v="0"/>
    <n v="480"/>
    <x v="5"/>
    <n v="3"/>
    <x v="13"/>
    <x v="6"/>
  </r>
  <r>
    <n v="10401"/>
    <x v="34"/>
    <n v="20.7"/>
    <n v="18"/>
    <n v="0"/>
    <n v="372.59999999999997"/>
    <x v="3"/>
    <n v="8"/>
    <x v="8"/>
    <x v="6"/>
  </r>
  <r>
    <n v="10401"/>
    <x v="33"/>
    <n v="30.4"/>
    <n v="70"/>
    <n v="0"/>
    <n v="2128"/>
    <x v="1"/>
    <n v="5"/>
    <x v="8"/>
    <x v="6"/>
  </r>
  <r>
    <n v="10401"/>
    <x v="6"/>
    <n v="16.8"/>
    <n v="20"/>
    <n v="0"/>
    <n v="336"/>
    <x v="4"/>
    <n v="2"/>
    <x v="8"/>
    <x v="6"/>
  </r>
  <r>
    <n v="10401"/>
    <x v="42"/>
    <n v="17.2"/>
    <n v="60"/>
    <n v="0"/>
    <n v="1032"/>
    <x v="0"/>
    <n v="4"/>
    <x v="8"/>
    <x v="6"/>
  </r>
  <r>
    <n v="10402"/>
    <x v="70"/>
    <n v="7.2"/>
    <n v="60"/>
    <n v="0"/>
    <n v="432"/>
    <x v="1"/>
    <n v="5"/>
    <x v="6"/>
    <x v="6"/>
  </r>
  <r>
    <n v="10402"/>
    <x v="46"/>
    <n v="35.1"/>
    <n v="65"/>
    <n v="0"/>
    <n v="2281.5"/>
    <x v="4"/>
    <n v="2"/>
    <x v="6"/>
    <x v="6"/>
  </r>
  <r>
    <n v="10403"/>
    <x v="19"/>
    <n v="13.9"/>
    <n v="21"/>
    <n v="0.15"/>
    <n v="248.11500000000001"/>
    <x v="5"/>
    <n v="3"/>
    <x v="6"/>
    <x v="6"/>
  </r>
  <r>
    <n v="10403"/>
    <x v="74"/>
    <n v="10.199999999999999"/>
    <n v="70"/>
    <n v="0.15"/>
    <n v="606.9"/>
    <x v="5"/>
    <n v="3"/>
    <x v="6"/>
    <x v="6"/>
  </r>
  <r>
    <n v="10404"/>
    <x v="68"/>
    <n v="24.9"/>
    <n v="30"/>
    <n v="0.05"/>
    <n v="709.65"/>
    <x v="5"/>
    <n v="3"/>
    <x v="11"/>
    <x v="6"/>
  </r>
  <r>
    <n v="10404"/>
    <x v="1"/>
    <n v="11.2"/>
    <n v="40"/>
    <n v="0.05"/>
    <n v="425.59999999999997"/>
    <x v="1"/>
    <n v="5"/>
    <x v="11"/>
    <x v="6"/>
  </r>
  <r>
    <n v="10404"/>
    <x v="14"/>
    <n v="16"/>
    <n v="30"/>
    <n v="0.05"/>
    <n v="456"/>
    <x v="5"/>
    <n v="3"/>
    <x v="11"/>
    <x v="6"/>
  </r>
  <r>
    <n v="10405"/>
    <x v="57"/>
    <n v="8"/>
    <n v="50"/>
    <n v="0"/>
    <n v="400"/>
    <x v="4"/>
    <n v="2"/>
    <x v="5"/>
    <x v="6"/>
  </r>
  <r>
    <n v="10406"/>
    <x v="52"/>
    <n v="14.4"/>
    <n v="10"/>
    <n v="0"/>
    <n v="144"/>
    <x v="6"/>
    <n v="1"/>
    <x v="2"/>
    <x v="6"/>
  </r>
  <r>
    <n v="10406"/>
    <x v="27"/>
    <n v="8"/>
    <n v="30"/>
    <n v="0.1"/>
    <n v="216"/>
    <x v="5"/>
    <n v="3"/>
    <x v="2"/>
    <x v="6"/>
  </r>
  <r>
    <n v="10406"/>
    <x v="44"/>
    <n v="36.4"/>
    <n v="42"/>
    <n v="0.1"/>
    <n v="1375.92"/>
    <x v="2"/>
    <n v="7"/>
    <x v="2"/>
    <x v="6"/>
  </r>
  <r>
    <n v="10406"/>
    <x v="20"/>
    <n v="15.2"/>
    <n v="5"/>
    <n v="0.1"/>
    <n v="68.400000000000006"/>
    <x v="3"/>
    <n v="8"/>
    <x v="2"/>
    <x v="6"/>
  </r>
  <r>
    <n v="10406"/>
    <x v="37"/>
    <n v="14.7"/>
    <n v="2"/>
    <n v="0.1"/>
    <n v="26.46"/>
    <x v="3"/>
    <n v="8"/>
    <x v="2"/>
    <x v="6"/>
  </r>
  <r>
    <n v="10407"/>
    <x v="0"/>
    <n v="16.8"/>
    <n v="30"/>
    <n v="0"/>
    <n v="504"/>
    <x v="0"/>
    <n v="4"/>
    <x v="1"/>
    <x v="6"/>
  </r>
  <r>
    <n v="10407"/>
    <x v="60"/>
    <n v="28.8"/>
    <n v="15"/>
    <n v="0"/>
    <n v="432"/>
    <x v="0"/>
    <n v="4"/>
    <x v="1"/>
    <x v="6"/>
  </r>
  <r>
    <n v="10407"/>
    <x v="42"/>
    <n v="17.2"/>
    <n v="15"/>
    <n v="0"/>
    <n v="258"/>
    <x v="0"/>
    <n v="4"/>
    <x v="1"/>
    <x v="6"/>
  </r>
  <r>
    <n v="10408"/>
    <x v="28"/>
    <n v="20.8"/>
    <n v="10"/>
    <n v="0"/>
    <n v="208"/>
    <x v="3"/>
    <n v="8"/>
    <x v="0"/>
    <x v="6"/>
  </r>
  <r>
    <n v="10408"/>
    <x v="55"/>
    <n v="5.9"/>
    <n v="6"/>
    <n v="0"/>
    <n v="35.400000000000006"/>
    <x v="7"/>
    <n v="6"/>
    <x v="0"/>
    <x v="6"/>
  </r>
  <r>
    <n v="10408"/>
    <x v="29"/>
    <n v="39.4"/>
    <n v="35"/>
    <n v="0"/>
    <n v="1379"/>
    <x v="5"/>
    <n v="3"/>
    <x v="0"/>
    <x v="6"/>
  </r>
  <r>
    <n v="10409"/>
    <x v="3"/>
    <n v="18.600000000000001"/>
    <n v="12"/>
    <n v="0"/>
    <n v="223.20000000000002"/>
    <x v="2"/>
    <n v="7"/>
    <x v="20"/>
    <x v="6"/>
  </r>
  <r>
    <n v="10409"/>
    <x v="27"/>
    <n v="8"/>
    <n v="12"/>
    <n v="0"/>
    <n v="96"/>
    <x v="5"/>
    <n v="3"/>
    <x v="20"/>
    <x v="6"/>
  </r>
  <r>
    <n v="10410"/>
    <x v="10"/>
    <n v="2"/>
    <n v="49"/>
    <n v="0"/>
    <n v="98"/>
    <x v="0"/>
    <n v="4"/>
    <x v="16"/>
    <x v="6"/>
  </r>
  <r>
    <n v="10410"/>
    <x v="21"/>
    <n v="44"/>
    <n v="16"/>
    <n v="0"/>
    <n v="704"/>
    <x v="0"/>
    <n v="4"/>
    <x v="16"/>
    <x v="6"/>
  </r>
  <r>
    <n v="10411"/>
    <x v="5"/>
    <n v="7.7"/>
    <n v="25"/>
    <n v="0.2"/>
    <n v="154"/>
    <x v="3"/>
    <n v="8"/>
    <x v="16"/>
    <x v="6"/>
  </r>
  <r>
    <n v="10411"/>
    <x v="45"/>
    <n v="15.5"/>
    <n v="40"/>
    <n v="0.2"/>
    <n v="496"/>
    <x v="4"/>
    <n v="2"/>
    <x v="16"/>
    <x v="6"/>
  </r>
  <r>
    <n v="10411"/>
    <x v="21"/>
    <n v="44"/>
    <n v="9"/>
    <n v="0.2"/>
    <n v="316.8"/>
    <x v="0"/>
    <n v="4"/>
    <x v="16"/>
    <x v="6"/>
  </r>
  <r>
    <n v="10412"/>
    <x v="3"/>
    <n v="18.600000000000001"/>
    <n v="20"/>
    <n v="0.1"/>
    <n v="334.8"/>
    <x v="2"/>
    <n v="7"/>
    <x v="10"/>
    <x v="6"/>
  </r>
  <r>
    <n v="10413"/>
    <x v="52"/>
    <n v="14.4"/>
    <n v="24"/>
    <n v="0"/>
    <n v="345.6"/>
    <x v="6"/>
    <n v="1"/>
    <x v="0"/>
    <x v="6"/>
  </r>
  <r>
    <n v="10413"/>
    <x v="29"/>
    <n v="39.4"/>
    <n v="40"/>
    <n v="0"/>
    <n v="1576"/>
    <x v="5"/>
    <n v="3"/>
    <x v="0"/>
    <x v="6"/>
  </r>
  <r>
    <n v="10413"/>
    <x v="38"/>
    <n v="14.4"/>
    <n v="14"/>
    <n v="0"/>
    <n v="201.6"/>
    <x v="6"/>
    <n v="1"/>
    <x v="0"/>
    <x v="6"/>
  </r>
  <r>
    <n v="10414"/>
    <x v="49"/>
    <n v="7.3"/>
    <n v="18"/>
    <n v="0.05"/>
    <n v="124.83"/>
    <x v="5"/>
    <n v="3"/>
    <x v="2"/>
    <x v="6"/>
  </r>
  <r>
    <n v="10414"/>
    <x v="10"/>
    <n v="2"/>
    <n v="50"/>
    <n v="0"/>
    <n v="100"/>
    <x v="0"/>
    <n v="4"/>
    <x v="2"/>
    <x v="6"/>
  </r>
  <r>
    <n v="10415"/>
    <x v="35"/>
    <n v="31.2"/>
    <n v="2"/>
    <n v="0"/>
    <n v="62.4"/>
    <x v="7"/>
    <n v="6"/>
    <x v="8"/>
    <x v="6"/>
  </r>
  <r>
    <n v="10415"/>
    <x v="10"/>
    <n v="2"/>
    <n v="20"/>
    <n v="0"/>
    <n v="40"/>
    <x v="0"/>
    <n v="4"/>
    <x v="8"/>
    <x v="6"/>
  </r>
  <r>
    <n v="10416"/>
    <x v="49"/>
    <n v="7.3"/>
    <n v="20"/>
    <n v="0"/>
    <n v="146"/>
    <x v="5"/>
    <n v="3"/>
    <x v="10"/>
    <x v="6"/>
  </r>
  <r>
    <n v="10416"/>
    <x v="22"/>
    <n v="26.2"/>
    <n v="10"/>
    <n v="0"/>
    <n v="262"/>
    <x v="7"/>
    <n v="6"/>
    <x v="10"/>
    <x v="6"/>
  </r>
  <r>
    <n v="10416"/>
    <x v="8"/>
    <n v="15.6"/>
    <n v="20"/>
    <n v="0"/>
    <n v="312"/>
    <x v="1"/>
    <n v="5"/>
    <x v="10"/>
    <x v="6"/>
  </r>
  <r>
    <n v="10417"/>
    <x v="67"/>
    <n v="210.8"/>
    <n v="50"/>
    <n v="0"/>
    <n v="10540"/>
    <x v="6"/>
    <n v="1"/>
    <x v="17"/>
    <x v="6"/>
  </r>
  <r>
    <n v="10417"/>
    <x v="54"/>
    <n v="9.6"/>
    <n v="2"/>
    <n v="0.25"/>
    <n v="14.399999999999999"/>
    <x v="3"/>
    <n v="8"/>
    <x v="17"/>
    <x v="6"/>
  </r>
  <r>
    <n v="10417"/>
    <x v="56"/>
    <n v="10"/>
    <n v="36"/>
    <n v="0.25"/>
    <n v="270"/>
    <x v="5"/>
    <n v="3"/>
    <x v="17"/>
    <x v="6"/>
  </r>
  <r>
    <n v="10417"/>
    <x v="23"/>
    <n v="10.4"/>
    <n v="35"/>
    <n v="0"/>
    <n v="364"/>
    <x v="4"/>
    <n v="2"/>
    <x v="17"/>
    <x v="6"/>
  </r>
  <r>
    <n v="10418"/>
    <x v="18"/>
    <n v="15.2"/>
    <n v="60"/>
    <n v="0"/>
    <n v="912"/>
    <x v="6"/>
    <n v="1"/>
    <x v="1"/>
    <x v="6"/>
  </r>
  <r>
    <n v="10418"/>
    <x v="69"/>
    <n v="7.6"/>
    <n v="55"/>
    <n v="0"/>
    <n v="418"/>
    <x v="5"/>
    <n v="3"/>
    <x v="1"/>
    <x v="6"/>
  </r>
  <r>
    <n v="10418"/>
    <x v="75"/>
    <n v="22.8"/>
    <n v="16"/>
    <n v="0"/>
    <n v="364.8"/>
    <x v="4"/>
    <n v="2"/>
    <x v="1"/>
    <x v="6"/>
  </r>
  <r>
    <n v="10418"/>
    <x v="17"/>
    <n v="8"/>
    <n v="15"/>
    <n v="0"/>
    <n v="120"/>
    <x v="2"/>
    <n v="7"/>
    <x v="1"/>
    <x v="6"/>
  </r>
  <r>
    <n v="10419"/>
    <x v="11"/>
    <n v="27.2"/>
    <n v="60"/>
    <n v="0.05"/>
    <n v="1550.3999999999999"/>
    <x v="0"/>
    <n v="4"/>
    <x v="4"/>
    <x v="6"/>
  </r>
  <r>
    <n v="10419"/>
    <x v="60"/>
    <n v="28.8"/>
    <n v="20"/>
    <n v="0.05"/>
    <n v="547.19999999999993"/>
    <x v="0"/>
    <n v="4"/>
    <x v="4"/>
    <x v="6"/>
  </r>
  <r>
    <n v="10420"/>
    <x v="76"/>
    <n v="77.599999999999994"/>
    <n v="20"/>
    <n v="0.1"/>
    <n v="1396.8"/>
    <x v="7"/>
    <n v="6"/>
    <x v="2"/>
    <x v="6"/>
  </r>
  <r>
    <n v="10420"/>
    <x v="43"/>
    <n v="4.8"/>
    <n v="2"/>
    <n v="0.1"/>
    <n v="8.64"/>
    <x v="3"/>
    <n v="8"/>
    <x v="2"/>
    <x v="6"/>
  </r>
  <r>
    <n v="10420"/>
    <x v="30"/>
    <n v="12"/>
    <n v="8"/>
    <n v="0.1"/>
    <n v="86.4"/>
    <x v="6"/>
    <n v="1"/>
    <x v="2"/>
    <x v="6"/>
  </r>
  <r>
    <n v="10420"/>
    <x v="47"/>
    <n v="12"/>
    <n v="20"/>
    <n v="0.1"/>
    <n v="216"/>
    <x v="3"/>
    <n v="8"/>
    <x v="2"/>
    <x v="6"/>
  </r>
  <r>
    <n v="10421"/>
    <x v="49"/>
    <n v="7.3"/>
    <n v="4"/>
    <n v="0.15"/>
    <n v="24.82"/>
    <x v="5"/>
    <n v="3"/>
    <x v="2"/>
    <x v="6"/>
  </r>
  <r>
    <n v="10421"/>
    <x v="68"/>
    <n v="24.9"/>
    <n v="30"/>
    <n v="0"/>
    <n v="747"/>
    <x v="5"/>
    <n v="3"/>
    <x v="2"/>
    <x v="6"/>
  </r>
  <r>
    <n v="10421"/>
    <x v="22"/>
    <n v="26.2"/>
    <n v="15"/>
    <n v="0.15"/>
    <n v="334.05"/>
    <x v="7"/>
    <n v="6"/>
    <x v="2"/>
    <x v="6"/>
  </r>
  <r>
    <n v="10421"/>
    <x v="23"/>
    <n v="10.4"/>
    <n v="10"/>
    <n v="0.15"/>
    <n v="88.399999999999991"/>
    <x v="4"/>
    <n v="2"/>
    <x v="2"/>
    <x v="6"/>
  </r>
  <r>
    <n v="10422"/>
    <x v="68"/>
    <n v="24.9"/>
    <n v="2"/>
    <n v="0"/>
    <n v="49.8"/>
    <x v="5"/>
    <n v="3"/>
    <x v="11"/>
    <x v="6"/>
  </r>
  <r>
    <n v="10423"/>
    <x v="12"/>
    <n v="10"/>
    <n v="14"/>
    <n v="0"/>
    <n v="140"/>
    <x v="0"/>
    <n v="4"/>
    <x v="2"/>
    <x v="6"/>
  </r>
  <r>
    <n v="10423"/>
    <x v="21"/>
    <n v="44"/>
    <n v="20"/>
    <n v="0"/>
    <n v="880"/>
    <x v="0"/>
    <n v="4"/>
    <x v="2"/>
    <x v="6"/>
  </r>
  <r>
    <n v="10424"/>
    <x v="31"/>
    <n v="14.4"/>
    <n v="60"/>
    <n v="0.2"/>
    <n v="691.2"/>
    <x v="6"/>
    <n v="1"/>
    <x v="16"/>
    <x v="6"/>
  </r>
  <r>
    <n v="10424"/>
    <x v="67"/>
    <n v="210.8"/>
    <n v="49"/>
    <n v="0.2"/>
    <n v="8263.36"/>
    <x v="6"/>
    <n v="1"/>
    <x v="16"/>
    <x v="6"/>
  </r>
  <r>
    <n v="10424"/>
    <x v="56"/>
    <n v="10"/>
    <n v="30"/>
    <n v="0.2"/>
    <n v="240"/>
    <x v="5"/>
    <n v="3"/>
    <x v="16"/>
    <x v="6"/>
  </r>
  <r>
    <n v="10425"/>
    <x v="16"/>
    <n v="19.2"/>
    <n v="10"/>
    <n v="0.25"/>
    <n v="144"/>
    <x v="7"/>
    <n v="6"/>
    <x v="0"/>
    <x v="6"/>
  </r>
  <r>
    <n v="10425"/>
    <x v="38"/>
    <n v="14.4"/>
    <n v="20"/>
    <n v="0.25"/>
    <n v="216"/>
    <x v="6"/>
    <n v="1"/>
    <x v="0"/>
    <x v="6"/>
  </r>
  <r>
    <n v="10426"/>
    <x v="33"/>
    <n v="30.4"/>
    <n v="5"/>
    <n v="0"/>
    <n v="152"/>
    <x v="1"/>
    <n v="5"/>
    <x v="12"/>
    <x v="6"/>
  </r>
  <r>
    <n v="10426"/>
    <x v="58"/>
    <n v="26.6"/>
    <n v="7"/>
    <n v="0"/>
    <n v="186.20000000000002"/>
    <x v="1"/>
    <n v="5"/>
    <x v="12"/>
    <x v="6"/>
  </r>
  <r>
    <n v="10427"/>
    <x v="3"/>
    <n v="18.600000000000001"/>
    <n v="35"/>
    <n v="0"/>
    <n v="651"/>
    <x v="2"/>
    <n v="7"/>
    <x v="6"/>
    <x v="6"/>
  </r>
  <r>
    <n v="10428"/>
    <x v="54"/>
    <n v="9.6"/>
    <n v="20"/>
    <n v="0"/>
    <n v="192"/>
    <x v="3"/>
    <n v="8"/>
    <x v="11"/>
    <x v="6"/>
  </r>
  <r>
    <n v="10429"/>
    <x v="72"/>
    <n v="13"/>
    <n v="40"/>
    <n v="0"/>
    <n v="520"/>
    <x v="5"/>
    <n v="3"/>
    <x v="14"/>
    <x v="7"/>
  </r>
  <r>
    <n v="10429"/>
    <x v="46"/>
    <n v="35.1"/>
    <n v="35"/>
    <n v="0.25"/>
    <n v="921.375"/>
    <x v="4"/>
    <n v="2"/>
    <x v="14"/>
    <x v="7"/>
  </r>
  <r>
    <n v="10430"/>
    <x v="35"/>
    <n v="31.2"/>
    <n v="45"/>
    <n v="0.2"/>
    <n v="1123.2"/>
    <x v="7"/>
    <n v="6"/>
    <x v="6"/>
    <x v="7"/>
  </r>
  <r>
    <n v="10430"/>
    <x v="27"/>
    <n v="8"/>
    <n v="50"/>
    <n v="0"/>
    <n v="400"/>
    <x v="5"/>
    <n v="3"/>
    <x v="6"/>
    <x v="7"/>
  </r>
  <r>
    <n v="10430"/>
    <x v="33"/>
    <n v="30.4"/>
    <n v="30"/>
    <n v="0"/>
    <n v="912"/>
    <x v="1"/>
    <n v="5"/>
    <x v="6"/>
    <x v="7"/>
  </r>
  <r>
    <n v="10430"/>
    <x v="21"/>
    <n v="44"/>
    <n v="70"/>
    <n v="0.2"/>
    <n v="2464"/>
    <x v="0"/>
    <n v="4"/>
    <x v="6"/>
    <x v="7"/>
  </r>
  <r>
    <n v="10431"/>
    <x v="35"/>
    <n v="31.2"/>
    <n v="50"/>
    <n v="0.25"/>
    <n v="1170"/>
    <x v="7"/>
    <n v="6"/>
    <x v="16"/>
    <x v="7"/>
  </r>
  <r>
    <n v="10431"/>
    <x v="37"/>
    <n v="14.7"/>
    <n v="50"/>
    <n v="0.25"/>
    <n v="551.25"/>
    <x v="3"/>
    <n v="8"/>
    <x v="16"/>
    <x v="7"/>
  </r>
  <r>
    <n v="10431"/>
    <x v="69"/>
    <n v="7.6"/>
    <n v="30"/>
    <n v="0.25"/>
    <n v="171"/>
    <x v="5"/>
    <n v="3"/>
    <x v="16"/>
    <x v="7"/>
  </r>
  <r>
    <n v="10432"/>
    <x v="68"/>
    <n v="24.9"/>
    <n v="10"/>
    <n v="0"/>
    <n v="249"/>
    <x v="5"/>
    <n v="3"/>
    <x v="8"/>
    <x v="7"/>
  </r>
  <r>
    <n v="10432"/>
    <x v="55"/>
    <n v="5.9"/>
    <n v="40"/>
    <n v="0"/>
    <n v="236"/>
    <x v="7"/>
    <n v="6"/>
    <x v="8"/>
    <x v="7"/>
  </r>
  <r>
    <n v="10433"/>
    <x v="33"/>
    <n v="30.4"/>
    <n v="28"/>
    <n v="0"/>
    <n v="851.19999999999993"/>
    <x v="1"/>
    <n v="5"/>
    <x v="15"/>
    <x v="7"/>
  </r>
  <r>
    <n v="10434"/>
    <x v="0"/>
    <n v="16.8"/>
    <n v="6"/>
    <n v="0"/>
    <n v="100.80000000000001"/>
    <x v="0"/>
    <n v="4"/>
    <x v="9"/>
    <x v="7"/>
  </r>
  <r>
    <n v="10434"/>
    <x v="38"/>
    <n v="14.4"/>
    <n v="18"/>
    <n v="0.15"/>
    <n v="220.32"/>
    <x v="6"/>
    <n v="1"/>
    <x v="9"/>
    <x v="7"/>
  </r>
  <r>
    <n v="10435"/>
    <x v="18"/>
    <n v="15.2"/>
    <n v="10"/>
    <n v="0"/>
    <n v="152"/>
    <x v="6"/>
    <n v="1"/>
    <x v="13"/>
    <x v="7"/>
  </r>
  <r>
    <n v="10435"/>
    <x v="7"/>
    <n v="16.8"/>
    <n v="12"/>
    <n v="0"/>
    <n v="201.60000000000002"/>
    <x v="1"/>
    <n v="5"/>
    <x v="13"/>
    <x v="7"/>
  </r>
  <r>
    <n v="10435"/>
    <x v="2"/>
    <n v="27.8"/>
    <n v="10"/>
    <n v="0"/>
    <n v="278"/>
    <x v="0"/>
    <n v="4"/>
    <x v="13"/>
    <x v="7"/>
  </r>
  <r>
    <n v="10436"/>
    <x v="54"/>
    <n v="9.6"/>
    <n v="5"/>
    <n v="0"/>
    <n v="48"/>
    <x v="3"/>
    <n v="8"/>
    <x v="0"/>
    <x v="7"/>
  </r>
  <r>
    <n v="10436"/>
    <x v="33"/>
    <n v="30.4"/>
    <n v="40"/>
    <n v="0.1"/>
    <n v="1094.4000000000001"/>
    <x v="1"/>
    <n v="5"/>
    <x v="0"/>
    <x v="7"/>
  </r>
  <r>
    <n v="10436"/>
    <x v="58"/>
    <n v="26.6"/>
    <n v="30"/>
    <n v="0.1"/>
    <n v="718.2"/>
    <x v="1"/>
    <n v="5"/>
    <x v="0"/>
    <x v="7"/>
  </r>
  <r>
    <n v="10436"/>
    <x v="48"/>
    <n v="6.2"/>
    <n v="24"/>
    <n v="0.1"/>
    <n v="133.92000000000002"/>
    <x v="6"/>
    <n v="1"/>
    <x v="0"/>
    <x v="7"/>
  </r>
  <r>
    <n v="10437"/>
    <x v="22"/>
    <n v="26.2"/>
    <n v="15"/>
    <n v="0"/>
    <n v="393"/>
    <x v="7"/>
    <n v="6"/>
    <x v="10"/>
    <x v="7"/>
  </r>
  <r>
    <n v="10438"/>
    <x v="49"/>
    <n v="7.3"/>
    <n v="15"/>
    <n v="0.2"/>
    <n v="87.600000000000009"/>
    <x v="5"/>
    <n v="3"/>
    <x v="1"/>
    <x v="7"/>
  </r>
  <r>
    <n v="10438"/>
    <x v="53"/>
    <n v="11.2"/>
    <n v="20"/>
    <n v="0.2"/>
    <n v="179.20000000000002"/>
    <x v="6"/>
    <n v="1"/>
    <x v="1"/>
    <x v="7"/>
  </r>
  <r>
    <n v="10438"/>
    <x v="8"/>
    <n v="15.6"/>
    <n v="15"/>
    <n v="0.2"/>
    <n v="187.20000000000002"/>
    <x v="1"/>
    <n v="5"/>
    <x v="1"/>
    <x v="7"/>
  </r>
  <r>
    <n v="10439"/>
    <x v="36"/>
    <n v="30.4"/>
    <n v="15"/>
    <n v="0"/>
    <n v="456"/>
    <x v="0"/>
    <n v="4"/>
    <x v="16"/>
    <x v="7"/>
  </r>
  <r>
    <n v="10439"/>
    <x v="19"/>
    <n v="13.9"/>
    <n v="16"/>
    <n v="0"/>
    <n v="222.4"/>
    <x v="5"/>
    <n v="3"/>
    <x v="16"/>
    <x v="7"/>
  </r>
  <r>
    <n v="10439"/>
    <x v="58"/>
    <n v="26.6"/>
    <n v="6"/>
    <n v="0"/>
    <n v="159.60000000000002"/>
    <x v="1"/>
    <n v="5"/>
    <x v="16"/>
    <x v="7"/>
  </r>
  <r>
    <n v="10439"/>
    <x v="17"/>
    <n v="8"/>
    <n v="30"/>
    <n v="0"/>
    <n v="240"/>
    <x v="2"/>
    <n v="7"/>
    <x v="16"/>
    <x v="7"/>
  </r>
  <r>
    <n v="10440"/>
    <x v="18"/>
    <n v="15.2"/>
    <n v="45"/>
    <n v="0.15"/>
    <n v="581.4"/>
    <x v="6"/>
    <n v="1"/>
    <x v="8"/>
    <x v="7"/>
  </r>
  <r>
    <n v="10440"/>
    <x v="19"/>
    <n v="13.9"/>
    <n v="49"/>
    <n v="0.15"/>
    <n v="578.93500000000006"/>
    <x v="5"/>
    <n v="3"/>
    <x v="8"/>
    <x v="7"/>
  </r>
  <r>
    <n v="10440"/>
    <x v="39"/>
    <n v="99"/>
    <n v="24"/>
    <n v="0.15"/>
    <n v="2019.6"/>
    <x v="7"/>
    <n v="6"/>
    <x v="8"/>
    <x v="7"/>
  </r>
  <r>
    <n v="10440"/>
    <x v="75"/>
    <n v="22.8"/>
    <n v="90"/>
    <n v="0.15"/>
    <n v="1744.2"/>
    <x v="4"/>
    <n v="2"/>
    <x v="8"/>
    <x v="7"/>
  </r>
  <r>
    <n v="10441"/>
    <x v="24"/>
    <n v="35.1"/>
    <n v="50"/>
    <n v="0"/>
    <n v="1755"/>
    <x v="5"/>
    <n v="3"/>
    <x v="8"/>
    <x v="7"/>
  </r>
  <r>
    <n v="10442"/>
    <x v="0"/>
    <n v="16.8"/>
    <n v="30"/>
    <n v="0"/>
    <n v="504"/>
    <x v="0"/>
    <n v="4"/>
    <x v="6"/>
    <x v="7"/>
  </r>
  <r>
    <n v="10442"/>
    <x v="55"/>
    <n v="5.9"/>
    <n v="80"/>
    <n v="0"/>
    <n v="472"/>
    <x v="7"/>
    <n v="6"/>
    <x v="6"/>
    <x v="7"/>
  </r>
  <r>
    <n v="10442"/>
    <x v="61"/>
    <n v="13.6"/>
    <n v="60"/>
    <n v="0"/>
    <n v="816"/>
    <x v="4"/>
    <n v="2"/>
    <x v="6"/>
    <x v="7"/>
  </r>
  <r>
    <n v="10443"/>
    <x v="0"/>
    <n v="16.8"/>
    <n v="6"/>
    <n v="0.2"/>
    <n v="80.640000000000015"/>
    <x v="0"/>
    <n v="4"/>
    <x v="11"/>
    <x v="7"/>
  </r>
  <r>
    <n v="10443"/>
    <x v="44"/>
    <n v="36.4"/>
    <n v="12"/>
    <n v="0"/>
    <n v="436.79999999999995"/>
    <x v="2"/>
    <n v="7"/>
    <x v="11"/>
    <x v="7"/>
  </r>
  <r>
    <n v="10444"/>
    <x v="35"/>
    <n v="31.2"/>
    <n v="10"/>
    <n v="0"/>
    <n v="312"/>
    <x v="7"/>
    <n v="6"/>
    <x v="9"/>
    <x v="7"/>
  </r>
  <r>
    <n v="10444"/>
    <x v="68"/>
    <n v="24.9"/>
    <n v="15"/>
    <n v="0"/>
    <n v="373.5"/>
    <x v="5"/>
    <n v="3"/>
    <x v="9"/>
    <x v="7"/>
  </r>
  <r>
    <n v="10444"/>
    <x v="31"/>
    <n v="14.4"/>
    <n v="8"/>
    <n v="0"/>
    <n v="115.2"/>
    <x v="6"/>
    <n v="1"/>
    <x v="9"/>
    <x v="7"/>
  </r>
  <r>
    <n v="10444"/>
    <x v="5"/>
    <n v="7.7"/>
    <n v="30"/>
    <n v="0"/>
    <n v="231"/>
    <x v="3"/>
    <n v="8"/>
    <x v="9"/>
    <x v="7"/>
  </r>
  <r>
    <n v="10445"/>
    <x v="13"/>
    <n v="14.4"/>
    <n v="6"/>
    <n v="0"/>
    <n v="86.4"/>
    <x v="6"/>
    <n v="1"/>
    <x v="9"/>
    <x v="7"/>
  </r>
  <r>
    <n v="10445"/>
    <x v="55"/>
    <n v="5.9"/>
    <n v="15"/>
    <n v="0"/>
    <n v="88.5"/>
    <x v="7"/>
    <n v="6"/>
    <x v="9"/>
    <x v="7"/>
  </r>
  <r>
    <n v="10446"/>
    <x v="49"/>
    <n v="7.3"/>
    <n v="12"/>
    <n v="0.1"/>
    <n v="78.84"/>
    <x v="5"/>
    <n v="3"/>
    <x v="1"/>
    <x v="7"/>
  </r>
  <r>
    <n v="10446"/>
    <x v="15"/>
    <n v="3.6"/>
    <n v="20"/>
    <n v="0.1"/>
    <n v="64.8"/>
    <x v="6"/>
    <n v="1"/>
    <x v="1"/>
    <x v="7"/>
  </r>
  <r>
    <n v="10446"/>
    <x v="12"/>
    <n v="10"/>
    <n v="3"/>
    <n v="0.1"/>
    <n v="27"/>
    <x v="0"/>
    <n v="4"/>
    <x v="1"/>
    <x v="7"/>
  </r>
  <r>
    <n v="10446"/>
    <x v="65"/>
    <n v="5.6"/>
    <n v="15"/>
    <n v="0.1"/>
    <n v="75.600000000000009"/>
    <x v="1"/>
    <n v="5"/>
    <x v="1"/>
    <x v="7"/>
  </r>
  <r>
    <n v="10447"/>
    <x v="49"/>
    <n v="7.3"/>
    <n v="40"/>
    <n v="0"/>
    <n v="292"/>
    <x v="5"/>
    <n v="3"/>
    <x v="2"/>
    <x v="7"/>
  </r>
  <r>
    <n v="10447"/>
    <x v="6"/>
    <n v="16.8"/>
    <n v="35"/>
    <n v="0"/>
    <n v="588"/>
    <x v="4"/>
    <n v="2"/>
    <x v="2"/>
    <x v="7"/>
  </r>
  <r>
    <n v="10447"/>
    <x v="42"/>
    <n v="17.2"/>
    <n v="2"/>
    <n v="0"/>
    <n v="34.4"/>
    <x v="0"/>
    <n v="4"/>
    <x v="2"/>
    <x v="7"/>
  </r>
  <r>
    <n v="10448"/>
    <x v="68"/>
    <n v="24.9"/>
    <n v="6"/>
    <n v="0"/>
    <n v="149.39999999999998"/>
    <x v="5"/>
    <n v="3"/>
    <x v="20"/>
    <x v="7"/>
  </r>
  <r>
    <n v="10448"/>
    <x v="37"/>
    <n v="14.7"/>
    <n v="20"/>
    <n v="0"/>
    <n v="294"/>
    <x v="3"/>
    <n v="8"/>
    <x v="20"/>
    <x v="7"/>
  </r>
  <r>
    <n v="10449"/>
    <x v="41"/>
    <n v="24.8"/>
    <n v="14"/>
    <n v="0"/>
    <n v="347.2"/>
    <x v="3"/>
    <n v="8"/>
    <x v="0"/>
    <x v="7"/>
  </r>
  <r>
    <n v="10449"/>
    <x v="65"/>
    <n v="5.6"/>
    <n v="20"/>
    <n v="0"/>
    <n v="112"/>
    <x v="1"/>
    <n v="5"/>
    <x v="0"/>
    <x v="7"/>
  </r>
  <r>
    <n v="10449"/>
    <x v="29"/>
    <n v="39.4"/>
    <n v="35"/>
    <n v="0"/>
    <n v="1379"/>
    <x v="5"/>
    <n v="3"/>
    <x v="0"/>
    <x v="7"/>
  </r>
  <r>
    <n v="10450"/>
    <x v="41"/>
    <n v="24.8"/>
    <n v="20"/>
    <n v="0.2"/>
    <n v="396.8"/>
    <x v="3"/>
    <n v="8"/>
    <x v="0"/>
    <x v="7"/>
  </r>
  <r>
    <n v="10450"/>
    <x v="55"/>
    <n v="5.9"/>
    <n v="6"/>
    <n v="0.2"/>
    <n v="28.320000000000007"/>
    <x v="7"/>
    <n v="6"/>
    <x v="0"/>
    <x v="7"/>
  </r>
  <r>
    <n v="10451"/>
    <x v="16"/>
    <n v="19.2"/>
    <n v="120"/>
    <n v="0.1"/>
    <n v="2073.6"/>
    <x v="7"/>
    <n v="6"/>
    <x v="1"/>
    <x v="7"/>
  </r>
  <r>
    <n v="10451"/>
    <x v="58"/>
    <n v="26.6"/>
    <n v="35"/>
    <n v="0.1"/>
    <n v="837.9"/>
    <x v="1"/>
    <n v="5"/>
    <x v="1"/>
    <x v="7"/>
  </r>
  <r>
    <n v="10451"/>
    <x v="6"/>
    <n v="16.8"/>
    <n v="28"/>
    <n v="0.1"/>
    <n v="423.36"/>
    <x v="4"/>
    <n v="2"/>
    <x v="1"/>
    <x v="7"/>
  </r>
  <r>
    <n v="10451"/>
    <x v="23"/>
    <n v="10.4"/>
    <n v="55"/>
    <n v="0.1"/>
    <n v="514.80000000000007"/>
    <x v="4"/>
    <n v="2"/>
    <x v="1"/>
    <x v="7"/>
  </r>
  <r>
    <n v="10452"/>
    <x v="44"/>
    <n v="36.4"/>
    <n v="15"/>
    <n v="0"/>
    <n v="546"/>
    <x v="2"/>
    <n v="7"/>
    <x v="8"/>
    <x v="7"/>
  </r>
  <r>
    <n v="10452"/>
    <x v="45"/>
    <n v="15.5"/>
    <n v="100"/>
    <n v="0.05"/>
    <n v="1472.5"/>
    <x v="4"/>
    <n v="2"/>
    <x v="8"/>
    <x v="7"/>
  </r>
  <r>
    <n v="10453"/>
    <x v="74"/>
    <n v="10.199999999999999"/>
    <n v="15"/>
    <n v="0.1"/>
    <n v="137.70000000000002"/>
    <x v="5"/>
    <n v="3"/>
    <x v="13"/>
    <x v="7"/>
  </r>
  <r>
    <n v="10453"/>
    <x v="30"/>
    <n v="12"/>
    <n v="25"/>
    <n v="0.1"/>
    <n v="270"/>
    <x v="6"/>
    <n v="1"/>
    <x v="13"/>
    <x v="7"/>
  </r>
  <r>
    <n v="10454"/>
    <x v="19"/>
    <n v="13.9"/>
    <n v="20"/>
    <n v="0.2"/>
    <n v="222.4"/>
    <x v="5"/>
    <n v="3"/>
    <x v="0"/>
    <x v="7"/>
  </r>
  <r>
    <n v="10454"/>
    <x v="10"/>
    <n v="2"/>
    <n v="20"/>
    <n v="0.2"/>
    <n v="32"/>
    <x v="0"/>
    <n v="4"/>
    <x v="0"/>
    <x v="7"/>
  </r>
  <r>
    <n v="10454"/>
    <x v="54"/>
    <n v="9.6"/>
    <n v="10"/>
    <n v="0.2"/>
    <n v="76.800000000000011"/>
    <x v="3"/>
    <n v="8"/>
    <x v="0"/>
    <x v="7"/>
  </r>
  <r>
    <n v="10455"/>
    <x v="13"/>
    <n v="14.4"/>
    <n v="20"/>
    <n v="0"/>
    <n v="288"/>
    <x v="6"/>
    <n v="1"/>
    <x v="10"/>
    <x v="7"/>
  </r>
  <r>
    <n v="10455"/>
    <x v="22"/>
    <n v="26.2"/>
    <n v="50"/>
    <n v="0"/>
    <n v="1310"/>
    <x v="7"/>
    <n v="6"/>
    <x v="10"/>
    <x v="7"/>
  </r>
  <r>
    <n v="10455"/>
    <x v="75"/>
    <n v="22.8"/>
    <n v="25"/>
    <n v="0"/>
    <n v="570"/>
    <x v="4"/>
    <n v="2"/>
    <x v="10"/>
    <x v="7"/>
  </r>
  <r>
    <n v="10455"/>
    <x v="42"/>
    <n v="17.2"/>
    <n v="30"/>
    <n v="0"/>
    <n v="516"/>
    <x v="0"/>
    <n v="4"/>
    <x v="10"/>
    <x v="7"/>
  </r>
  <r>
    <n v="10456"/>
    <x v="27"/>
    <n v="8"/>
    <n v="40"/>
    <n v="0.15"/>
    <n v="272"/>
    <x v="5"/>
    <n v="3"/>
    <x v="1"/>
    <x v="7"/>
  </r>
  <r>
    <n v="10456"/>
    <x v="14"/>
    <n v="16"/>
    <n v="21"/>
    <n v="0.15"/>
    <n v="285.59999999999997"/>
    <x v="5"/>
    <n v="3"/>
    <x v="1"/>
    <x v="7"/>
  </r>
  <r>
    <n v="10457"/>
    <x v="21"/>
    <n v="44"/>
    <n v="36"/>
    <n v="0"/>
    <n v="1584"/>
    <x v="0"/>
    <n v="4"/>
    <x v="1"/>
    <x v="7"/>
  </r>
  <r>
    <n v="10458"/>
    <x v="68"/>
    <n v="24.9"/>
    <n v="30"/>
    <n v="0"/>
    <n v="747"/>
    <x v="5"/>
    <n v="3"/>
    <x v="3"/>
    <x v="7"/>
  </r>
  <r>
    <n v="10458"/>
    <x v="44"/>
    <n v="36.4"/>
    <n v="30"/>
    <n v="0"/>
    <n v="1092"/>
    <x v="2"/>
    <n v="7"/>
    <x v="3"/>
    <x v="7"/>
  </r>
  <r>
    <n v="10458"/>
    <x v="40"/>
    <n v="36.799999999999997"/>
    <n v="20"/>
    <n v="0"/>
    <n v="736"/>
    <x v="6"/>
    <n v="1"/>
    <x v="3"/>
    <x v="7"/>
  </r>
  <r>
    <n v="10458"/>
    <x v="33"/>
    <n v="30.4"/>
    <n v="15"/>
    <n v="0"/>
    <n v="456"/>
    <x v="1"/>
    <n v="5"/>
    <x v="3"/>
    <x v="7"/>
  </r>
  <r>
    <n v="10458"/>
    <x v="42"/>
    <n v="17.2"/>
    <n v="50"/>
    <n v="0"/>
    <n v="860"/>
    <x v="0"/>
    <n v="4"/>
    <x v="3"/>
    <x v="7"/>
  </r>
  <r>
    <n v="10459"/>
    <x v="32"/>
    <n v="24"/>
    <n v="16"/>
    <n v="0.05"/>
    <n v="364.79999999999995"/>
    <x v="2"/>
    <n v="7"/>
    <x v="0"/>
    <x v="7"/>
  </r>
  <r>
    <n v="10459"/>
    <x v="54"/>
    <n v="9.6"/>
    <n v="20"/>
    <n v="0.05"/>
    <n v="182.39999999999998"/>
    <x v="3"/>
    <n v="8"/>
    <x v="0"/>
    <x v="7"/>
  </r>
  <r>
    <n v="10459"/>
    <x v="2"/>
    <n v="27.8"/>
    <n v="40"/>
    <n v="0"/>
    <n v="1112"/>
    <x v="0"/>
    <n v="4"/>
    <x v="0"/>
    <x v="7"/>
  </r>
  <r>
    <n v="10460"/>
    <x v="56"/>
    <n v="10"/>
    <n v="21"/>
    <n v="0.25"/>
    <n v="157.5"/>
    <x v="5"/>
    <n v="3"/>
    <x v="9"/>
    <x v="7"/>
  </r>
  <r>
    <n v="10460"/>
    <x v="48"/>
    <n v="6.2"/>
    <n v="4"/>
    <n v="0.25"/>
    <n v="18.600000000000001"/>
    <x v="6"/>
    <n v="1"/>
    <x v="9"/>
    <x v="7"/>
  </r>
  <r>
    <n v="10461"/>
    <x v="27"/>
    <n v="8"/>
    <n v="40"/>
    <n v="0.25"/>
    <n v="240"/>
    <x v="5"/>
    <n v="3"/>
    <x v="5"/>
    <x v="7"/>
  </r>
  <r>
    <n v="10461"/>
    <x v="34"/>
    <n v="20.7"/>
    <n v="28"/>
    <n v="0.25"/>
    <n v="434.70000000000005"/>
    <x v="3"/>
    <n v="8"/>
    <x v="5"/>
    <x v="7"/>
  </r>
  <r>
    <n v="10461"/>
    <x v="16"/>
    <n v="19.2"/>
    <n v="60"/>
    <n v="0.25"/>
    <n v="864"/>
    <x v="7"/>
    <n v="6"/>
    <x v="5"/>
    <x v="7"/>
  </r>
  <r>
    <n v="10462"/>
    <x v="43"/>
    <n v="4.8"/>
    <n v="1"/>
    <n v="0"/>
    <n v="4.8"/>
    <x v="3"/>
    <n v="8"/>
    <x v="13"/>
    <x v="8"/>
  </r>
  <r>
    <n v="10462"/>
    <x v="70"/>
    <n v="7.2"/>
    <n v="21"/>
    <n v="0"/>
    <n v="151.20000000000002"/>
    <x v="1"/>
    <n v="5"/>
    <x v="13"/>
    <x v="8"/>
  </r>
  <r>
    <n v="10463"/>
    <x v="49"/>
    <n v="7.3"/>
    <n v="21"/>
    <n v="0"/>
    <n v="153.29999999999998"/>
    <x v="5"/>
    <n v="3"/>
    <x v="3"/>
    <x v="8"/>
  </r>
  <r>
    <n v="10463"/>
    <x v="1"/>
    <n v="11.2"/>
    <n v="50"/>
    <n v="0"/>
    <n v="560"/>
    <x v="1"/>
    <n v="5"/>
    <x v="3"/>
    <x v="8"/>
  </r>
  <r>
    <n v="10464"/>
    <x v="62"/>
    <n v="17.600000000000001"/>
    <n v="16"/>
    <n v="0.2"/>
    <n v="225.28000000000003"/>
    <x v="4"/>
    <n v="2"/>
    <x v="15"/>
    <x v="8"/>
  </r>
  <r>
    <n v="10464"/>
    <x v="40"/>
    <n v="36.799999999999997"/>
    <n v="3"/>
    <n v="0"/>
    <n v="110.39999999999999"/>
    <x v="6"/>
    <n v="1"/>
    <x v="15"/>
    <x v="8"/>
  </r>
  <r>
    <n v="10464"/>
    <x v="33"/>
    <n v="30.4"/>
    <n v="30"/>
    <n v="0.2"/>
    <n v="729.6"/>
    <x v="1"/>
    <n v="5"/>
    <x v="15"/>
    <x v="8"/>
  </r>
  <r>
    <n v="10464"/>
    <x v="11"/>
    <n v="27.2"/>
    <n v="20"/>
    <n v="0"/>
    <n v="544"/>
    <x v="0"/>
    <n v="4"/>
    <x v="15"/>
    <x v="8"/>
  </r>
  <r>
    <n v="10465"/>
    <x v="15"/>
    <n v="3.6"/>
    <n v="25"/>
    <n v="0"/>
    <n v="90"/>
    <x v="6"/>
    <n v="1"/>
    <x v="17"/>
    <x v="8"/>
  </r>
  <r>
    <n v="10465"/>
    <x v="39"/>
    <n v="99"/>
    <n v="18"/>
    <n v="0.1"/>
    <n v="1603.8"/>
    <x v="7"/>
    <n v="6"/>
    <x v="17"/>
    <x v="8"/>
  </r>
  <r>
    <n v="10465"/>
    <x v="37"/>
    <n v="14.7"/>
    <n v="20"/>
    <n v="0"/>
    <n v="294"/>
    <x v="3"/>
    <n v="8"/>
    <x v="17"/>
    <x v="8"/>
  </r>
  <r>
    <n v="10465"/>
    <x v="73"/>
    <n v="7.6"/>
    <n v="30"/>
    <n v="0.1"/>
    <n v="205.20000000000002"/>
    <x v="3"/>
    <n v="8"/>
    <x v="17"/>
    <x v="8"/>
  </r>
  <r>
    <n v="10465"/>
    <x v="72"/>
    <n v="13"/>
    <n v="25"/>
    <n v="0"/>
    <n v="325"/>
    <x v="5"/>
    <n v="3"/>
    <x v="17"/>
    <x v="8"/>
  </r>
  <r>
    <n v="10466"/>
    <x v="0"/>
    <n v="16.8"/>
    <n v="10"/>
    <n v="0"/>
    <n v="168"/>
    <x v="0"/>
    <n v="4"/>
    <x v="2"/>
    <x v="8"/>
  </r>
  <r>
    <n v="10466"/>
    <x v="54"/>
    <n v="9.6"/>
    <n v="5"/>
    <n v="0"/>
    <n v="48"/>
    <x v="3"/>
    <n v="8"/>
    <x v="2"/>
    <x v="8"/>
  </r>
  <r>
    <n v="10467"/>
    <x v="15"/>
    <n v="3.6"/>
    <n v="28"/>
    <n v="0"/>
    <n v="100.8"/>
    <x v="6"/>
    <n v="1"/>
    <x v="11"/>
    <x v="8"/>
  </r>
  <r>
    <n v="10467"/>
    <x v="66"/>
    <n v="11.2"/>
    <n v="12"/>
    <n v="0"/>
    <n v="134.39999999999998"/>
    <x v="5"/>
    <n v="3"/>
    <x v="11"/>
    <x v="8"/>
  </r>
  <r>
    <n v="10468"/>
    <x v="34"/>
    <n v="20.7"/>
    <n v="8"/>
    <n v="0"/>
    <n v="165.6"/>
    <x v="3"/>
    <n v="8"/>
    <x v="1"/>
    <x v="8"/>
  </r>
  <r>
    <n v="10468"/>
    <x v="40"/>
    <n v="36.799999999999997"/>
    <n v="15"/>
    <n v="0"/>
    <n v="552"/>
    <x v="6"/>
    <n v="1"/>
    <x v="1"/>
    <x v="8"/>
  </r>
  <r>
    <n v="10469"/>
    <x v="18"/>
    <n v="15.2"/>
    <n v="40"/>
    <n v="0.15"/>
    <n v="516.79999999999995"/>
    <x v="6"/>
    <n v="1"/>
    <x v="8"/>
    <x v="8"/>
  </r>
  <r>
    <n v="10469"/>
    <x v="19"/>
    <n v="13.9"/>
    <n v="35"/>
    <n v="0.15"/>
    <n v="413.52499999999998"/>
    <x v="5"/>
    <n v="3"/>
    <x v="8"/>
    <x v="8"/>
  </r>
  <r>
    <n v="10469"/>
    <x v="45"/>
    <n v="15.5"/>
    <n v="2"/>
    <n v="0.15"/>
    <n v="26.349999999999998"/>
    <x v="4"/>
    <n v="2"/>
    <x v="8"/>
    <x v="8"/>
  </r>
  <r>
    <n v="10470"/>
    <x v="59"/>
    <n v="50"/>
    <n v="30"/>
    <n v="0"/>
    <n v="1500"/>
    <x v="3"/>
    <n v="8"/>
    <x v="0"/>
    <x v="8"/>
  </r>
  <r>
    <n v="10470"/>
    <x v="70"/>
    <n v="7.2"/>
    <n v="15"/>
    <n v="0"/>
    <n v="108"/>
    <x v="1"/>
    <n v="5"/>
    <x v="0"/>
    <x v="8"/>
  </r>
  <r>
    <n v="10470"/>
    <x v="58"/>
    <n v="26.6"/>
    <n v="8"/>
    <n v="0"/>
    <n v="212.8"/>
    <x v="1"/>
    <n v="5"/>
    <x v="0"/>
    <x v="8"/>
  </r>
  <r>
    <n v="10471"/>
    <x v="32"/>
    <n v="24"/>
    <n v="30"/>
    <n v="0"/>
    <n v="720"/>
    <x v="2"/>
    <n v="7"/>
    <x v="13"/>
    <x v="8"/>
  </r>
  <r>
    <n v="10471"/>
    <x v="33"/>
    <n v="30.4"/>
    <n v="20"/>
    <n v="0"/>
    <n v="608"/>
    <x v="1"/>
    <n v="5"/>
    <x v="13"/>
    <x v="8"/>
  </r>
  <r>
    <n v="10472"/>
    <x v="15"/>
    <n v="3.6"/>
    <n v="80"/>
    <n v="0.05"/>
    <n v="273.59999999999997"/>
    <x v="6"/>
    <n v="1"/>
    <x v="13"/>
    <x v="8"/>
  </r>
  <r>
    <n v="10472"/>
    <x v="4"/>
    <n v="42.4"/>
    <n v="18"/>
    <n v="0"/>
    <n v="763.19999999999993"/>
    <x v="2"/>
    <n v="7"/>
    <x v="13"/>
    <x v="8"/>
  </r>
  <r>
    <n v="10473"/>
    <x v="10"/>
    <n v="2"/>
    <n v="12"/>
    <n v="0"/>
    <n v="24"/>
    <x v="0"/>
    <n v="4"/>
    <x v="13"/>
    <x v="8"/>
  </r>
  <r>
    <n v="10473"/>
    <x v="42"/>
    <n v="17.2"/>
    <n v="12"/>
    <n v="0"/>
    <n v="206.39999999999998"/>
    <x v="0"/>
    <n v="4"/>
    <x v="13"/>
    <x v="8"/>
  </r>
  <r>
    <n v="10474"/>
    <x v="3"/>
    <n v="18.600000000000001"/>
    <n v="12"/>
    <n v="0"/>
    <n v="223.20000000000002"/>
    <x v="2"/>
    <n v="7"/>
    <x v="7"/>
    <x v="8"/>
  </r>
  <r>
    <n v="10474"/>
    <x v="44"/>
    <n v="36.4"/>
    <n v="18"/>
    <n v="0"/>
    <n v="655.19999999999993"/>
    <x v="2"/>
    <n v="7"/>
    <x v="7"/>
    <x v="8"/>
  </r>
  <r>
    <n v="10474"/>
    <x v="37"/>
    <n v="14.7"/>
    <n v="21"/>
    <n v="0"/>
    <n v="308.7"/>
    <x v="3"/>
    <n v="8"/>
    <x v="7"/>
    <x v="8"/>
  </r>
  <r>
    <n v="10474"/>
    <x v="48"/>
    <n v="6.2"/>
    <n v="10"/>
    <n v="0"/>
    <n v="62"/>
    <x v="6"/>
    <n v="1"/>
    <x v="7"/>
    <x v="8"/>
  </r>
  <r>
    <n v="10475"/>
    <x v="12"/>
    <n v="10"/>
    <n v="35"/>
    <n v="0.15"/>
    <n v="297.5"/>
    <x v="0"/>
    <n v="4"/>
    <x v="3"/>
    <x v="8"/>
  </r>
  <r>
    <n v="10475"/>
    <x v="61"/>
    <n v="13.6"/>
    <n v="60"/>
    <n v="0.15"/>
    <n v="693.6"/>
    <x v="4"/>
    <n v="2"/>
    <x v="3"/>
    <x v="8"/>
  </r>
  <r>
    <n v="10475"/>
    <x v="38"/>
    <n v="14.4"/>
    <n v="42"/>
    <n v="0.15"/>
    <n v="514.08000000000004"/>
    <x v="6"/>
    <n v="1"/>
    <x v="3"/>
    <x v="8"/>
  </r>
  <r>
    <n v="10476"/>
    <x v="16"/>
    <n v="19.2"/>
    <n v="2"/>
    <n v="0.05"/>
    <n v="36.479999999999997"/>
    <x v="7"/>
    <n v="6"/>
    <x v="5"/>
    <x v="8"/>
  </r>
  <r>
    <n v="10476"/>
    <x v="30"/>
    <n v="12"/>
    <n v="12"/>
    <n v="0"/>
    <n v="144"/>
    <x v="6"/>
    <n v="1"/>
    <x v="5"/>
    <x v="8"/>
  </r>
  <r>
    <n v="10477"/>
    <x v="52"/>
    <n v="14.4"/>
    <n v="15"/>
    <n v="0"/>
    <n v="216"/>
    <x v="6"/>
    <n v="1"/>
    <x v="15"/>
    <x v="8"/>
  </r>
  <r>
    <n v="10477"/>
    <x v="27"/>
    <n v="8"/>
    <n v="21"/>
    <n v="0.25"/>
    <n v="126"/>
    <x v="5"/>
    <n v="3"/>
    <x v="15"/>
    <x v="8"/>
  </r>
  <r>
    <n v="10477"/>
    <x v="13"/>
    <n v="14.4"/>
    <n v="20"/>
    <n v="0.25"/>
    <n v="216"/>
    <x v="6"/>
    <n v="1"/>
    <x v="15"/>
    <x v="8"/>
  </r>
  <r>
    <n v="10478"/>
    <x v="41"/>
    <n v="24.8"/>
    <n v="20"/>
    <n v="0.05"/>
    <n v="471.2"/>
    <x v="3"/>
    <n v="8"/>
    <x v="0"/>
    <x v="8"/>
  </r>
  <r>
    <n v="10479"/>
    <x v="67"/>
    <n v="210.8"/>
    <n v="30"/>
    <n v="0"/>
    <n v="6324"/>
    <x v="6"/>
    <n v="1"/>
    <x v="8"/>
    <x v="8"/>
  </r>
  <r>
    <n v="10479"/>
    <x v="22"/>
    <n v="26.2"/>
    <n v="28"/>
    <n v="0"/>
    <n v="733.6"/>
    <x v="7"/>
    <n v="6"/>
    <x v="8"/>
    <x v="8"/>
  </r>
  <r>
    <n v="10479"/>
    <x v="21"/>
    <n v="44"/>
    <n v="60"/>
    <n v="0"/>
    <n v="2640"/>
    <x v="0"/>
    <n v="4"/>
    <x v="8"/>
    <x v="8"/>
  </r>
  <r>
    <n v="10479"/>
    <x v="58"/>
    <n v="26.6"/>
    <n v="30"/>
    <n v="0"/>
    <n v="798"/>
    <x v="1"/>
    <n v="5"/>
    <x v="8"/>
    <x v="8"/>
  </r>
  <r>
    <n v="10480"/>
    <x v="69"/>
    <n v="7.6"/>
    <n v="30"/>
    <n v="0"/>
    <n v="228"/>
    <x v="5"/>
    <n v="3"/>
    <x v="0"/>
    <x v="8"/>
  </r>
  <r>
    <n v="10480"/>
    <x v="21"/>
    <n v="44"/>
    <n v="12"/>
    <n v="0"/>
    <n v="528"/>
    <x v="0"/>
    <n v="4"/>
    <x v="0"/>
    <x v="8"/>
  </r>
  <r>
    <n v="10481"/>
    <x v="14"/>
    <n v="16"/>
    <n v="24"/>
    <n v="0"/>
    <n v="384"/>
    <x v="5"/>
    <n v="3"/>
    <x v="2"/>
    <x v="8"/>
  </r>
  <r>
    <n v="10481"/>
    <x v="11"/>
    <n v="27.2"/>
    <n v="40"/>
    <n v="0"/>
    <n v="1088"/>
    <x v="0"/>
    <n v="4"/>
    <x v="2"/>
    <x v="8"/>
  </r>
  <r>
    <n v="10482"/>
    <x v="37"/>
    <n v="14.7"/>
    <n v="10"/>
    <n v="0"/>
    <n v="147"/>
    <x v="3"/>
    <n v="8"/>
    <x v="8"/>
    <x v="8"/>
  </r>
  <r>
    <n v="10483"/>
    <x v="53"/>
    <n v="11.2"/>
    <n v="35"/>
    <n v="0.05"/>
    <n v="372.4"/>
    <x v="6"/>
    <n v="1"/>
    <x v="8"/>
    <x v="8"/>
  </r>
  <r>
    <n v="10483"/>
    <x v="23"/>
    <n v="10.4"/>
    <n v="30"/>
    <n v="0.05"/>
    <n v="296.39999999999998"/>
    <x v="4"/>
    <n v="2"/>
    <x v="8"/>
    <x v="8"/>
  </r>
  <r>
    <n v="10484"/>
    <x v="27"/>
    <n v="8"/>
    <n v="14"/>
    <n v="0"/>
    <n v="112"/>
    <x v="5"/>
    <n v="3"/>
    <x v="13"/>
    <x v="8"/>
  </r>
  <r>
    <n v="10484"/>
    <x v="37"/>
    <n v="14.7"/>
    <n v="10"/>
    <n v="0"/>
    <n v="147"/>
    <x v="3"/>
    <n v="8"/>
    <x v="13"/>
    <x v="8"/>
  </r>
  <r>
    <n v="10484"/>
    <x v="4"/>
    <n v="42.4"/>
    <n v="3"/>
    <n v="0"/>
    <n v="127.19999999999999"/>
    <x v="2"/>
    <n v="7"/>
    <x v="13"/>
    <x v="8"/>
  </r>
  <r>
    <n v="10485"/>
    <x v="18"/>
    <n v="15.2"/>
    <n v="20"/>
    <n v="0.1"/>
    <n v="273.60000000000002"/>
    <x v="6"/>
    <n v="1"/>
    <x v="5"/>
    <x v="8"/>
  </r>
  <r>
    <n v="10485"/>
    <x v="57"/>
    <n v="8"/>
    <n v="20"/>
    <n v="0.1"/>
    <n v="144"/>
    <x v="4"/>
    <n v="2"/>
    <x v="5"/>
    <x v="8"/>
  </r>
  <r>
    <n v="10485"/>
    <x v="16"/>
    <n v="19.2"/>
    <n v="30"/>
    <n v="0.1"/>
    <n v="518.4"/>
    <x v="7"/>
    <n v="6"/>
    <x v="5"/>
    <x v="8"/>
  </r>
  <r>
    <n v="10485"/>
    <x v="30"/>
    <n v="12"/>
    <n v="60"/>
    <n v="0.1"/>
    <n v="648"/>
    <x v="6"/>
    <n v="1"/>
    <x v="5"/>
    <x v="8"/>
  </r>
  <r>
    <n v="10486"/>
    <x v="0"/>
    <n v="16.8"/>
    <n v="5"/>
    <n v="0"/>
    <n v="84"/>
    <x v="0"/>
    <n v="4"/>
    <x v="5"/>
    <x v="8"/>
  </r>
  <r>
    <n v="10486"/>
    <x v="4"/>
    <n v="42.4"/>
    <n v="25"/>
    <n v="0"/>
    <n v="1060"/>
    <x v="2"/>
    <n v="7"/>
    <x v="5"/>
    <x v="8"/>
  </r>
  <r>
    <n v="10486"/>
    <x v="17"/>
    <n v="8"/>
    <n v="16"/>
    <n v="0"/>
    <n v="128"/>
    <x v="2"/>
    <n v="7"/>
    <x v="5"/>
    <x v="8"/>
  </r>
  <r>
    <n v="10487"/>
    <x v="49"/>
    <n v="7.3"/>
    <n v="5"/>
    <n v="0"/>
    <n v="36.5"/>
    <x v="5"/>
    <n v="3"/>
    <x v="2"/>
    <x v="8"/>
  </r>
  <r>
    <n v="10487"/>
    <x v="68"/>
    <n v="24.9"/>
    <n v="30"/>
    <n v="0"/>
    <n v="747"/>
    <x v="5"/>
    <n v="3"/>
    <x v="2"/>
    <x v="8"/>
  </r>
  <r>
    <n v="10487"/>
    <x v="55"/>
    <n v="5.9"/>
    <n v="24"/>
    <n v="0.25"/>
    <n v="106.20000000000002"/>
    <x v="7"/>
    <n v="6"/>
    <x v="2"/>
    <x v="8"/>
  </r>
  <r>
    <n v="10488"/>
    <x v="21"/>
    <n v="44"/>
    <n v="30"/>
    <n v="0"/>
    <n v="1320"/>
    <x v="0"/>
    <n v="4"/>
    <x v="1"/>
    <x v="8"/>
  </r>
  <r>
    <n v="10488"/>
    <x v="47"/>
    <n v="12"/>
    <n v="20"/>
    <n v="0.2"/>
    <n v="192"/>
    <x v="3"/>
    <n v="8"/>
    <x v="1"/>
    <x v="8"/>
  </r>
  <r>
    <n v="10489"/>
    <x v="0"/>
    <n v="16.8"/>
    <n v="15"/>
    <n v="0.25"/>
    <n v="189"/>
    <x v="0"/>
    <n v="4"/>
    <x v="6"/>
    <x v="8"/>
  </r>
  <r>
    <n v="10489"/>
    <x v="19"/>
    <n v="13.9"/>
    <n v="18"/>
    <n v="0"/>
    <n v="250.20000000000002"/>
    <x v="5"/>
    <n v="3"/>
    <x v="6"/>
    <x v="8"/>
  </r>
  <r>
    <n v="10490"/>
    <x v="21"/>
    <n v="44"/>
    <n v="60"/>
    <n v="0"/>
    <n v="2640"/>
    <x v="0"/>
    <n v="4"/>
    <x v="5"/>
    <x v="9"/>
  </r>
  <r>
    <n v="10490"/>
    <x v="56"/>
    <n v="10"/>
    <n v="30"/>
    <n v="0"/>
    <n v="300"/>
    <x v="5"/>
    <n v="3"/>
    <x v="5"/>
    <x v="9"/>
  </r>
  <r>
    <n v="10490"/>
    <x v="48"/>
    <n v="6.2"/>
    <n v="36"/>
    <n v="0"/>
    <n v="223.20000000000002"/>
    <x v="6"/>
    <n v="1"/>
    <x v="5"/>
    <x v="9"/>
  </r>
  <r>
    <n v="10491"/>
    <x v="45"/>
    <n v="15.5"/>
    <n v="15"/>
    <n v="0.15"/>
    <n v="197.625"/>
    <x v="4"/>
    <n v="2"/>
    <x v="15"/>
    <x v="9"/>
  </r>
  <r>
    <n v="10491"/>
    <x v="23"/>
    <n v="10.4"/>
    <n v="7"/>
    <n v="0.15"/>
    <n v="61.879999999999995"/>
    <x v="4"/>
    <n v="2"/>
    <x v="15"/>
    <x v="9"/>
  </r>
  <r>
    <n v="10492"/>
    <x v="66"/>
    <n v="11.2"/>
    <n v="60"/>
    <n v="0.05"/>
    <n v="638.4"/>
    <x v="5"/>
    <n v="3"/>
    <x v="16"/>
    <x v="9"/>
  </r>
  <r>
    <n v="10492"/>
    <x v="1"/>
    <n v="11.2"/>
    <n v="20"/>
    <n v="0.05"/>
    <n v="212.79999999999998"/>
    <x v="1"/>
    <n v="5"/>
    <x v="16"/>
    <x v="9"/>
  </r>
  <r>
    <n v="10493"/>
    <x v="6"/>
    <n v="16.8"/>
    <n v="15"/>
    <n v="0.1"/>
    <n v="226.8"/>
    <x v="4"/>
    <n v="2"/>
    <x v="0"/>
    <x v="9"/>
  </r>
  <r>
    <n v="10493"/>
    <x v="61"/>
    <n v="13.6"/>
    <n v="10"/>
    <n v="0.1"/>
    <n v="122.4"/>
    <x v="4"/>
    <n v="2"/>
    <x v="0"/>
    <x v="9"/>
  </r>
  <r>
    <n v="10493"/>
    <x v="60"/>
    <n v="28.8"/>
    <n v="10"/>
    <n v="0.1"/>
    <n v="259.2"/>
    <x v="0"/>
    <n v="4"/>
    <x v="0"/>
    <x v="9"/>
  </r>
  <r>
    <n v="10494"/>
    <x v="33"/>
    <n v="30.4"/>
    <n v="30"/>
    <n v="0"/>
    <n v="912"/>
    <x v="1"/>
    <n v="5"/>
    <x v="2"/>
    <x v="9"/>
  </r>
  <r>
    <n v="10495"/>
    <x v="70"/>
    <n v="7.2"/>
    <n v="10"/>
    <n v="0"/>
    <n v="72"/>
    <x v="1"/>
    <n v="5"/>
    <x v="16"/>
    <x v="9"/>
  </r>
  <r>
    <n v="10495"/>
    <x v="5"/>
    <n v="7.7"/>
    <n v="20"/>
    <n v="0"/>
    <n v="154"/>
    <x v="3"/>
    <n v="8"/>
    <x v="16"/>
    <x v="9"/>
  </r>
  <r>
    <n v="10495"/>
    <x v="23"/>
    <n v="10.4"/>
    <n v="5"/>
    <n v="0"/>
    <n v="52"/>
    <x v="4"/>
    <n v="2"/>
    <x v="16"/>
    <x v="9"/>
  </r>
  <r>
    <n v="10496"/>
    <x v="12"/>
    <n v="10"/>
    <n v="20"/>
    <n v="0.05"/>
    <n v="190"/>
    <x v="0"/>
    <n v="4"/>
    <x v="2"/>
    <x v="9"/>
  </r>
  <r>
    <n v="10497"/>
    <x v="33"/>
    <n v="30.4"/>
    <n v="14"/>
    <n v="0"/>
    <n v="425.59999999999997"/>
    <x v="1"/>
    <n v="5"/>
    <x v="1"/>
    <x v="9"/>
  </r>
  <r>
    <n v="10497"/>
    <x v="2"/>
    <n v="27.8"/>
    <n v="25"/>
    <n v="0"/>
    <n v="695"/>
    <x v="0"/>
    <n v="4"/>
    <x v="1"/>
    <x v="9"/>
  </r>
  <r>
    <n v="10497"/>
    <x v="23"/>
    <n v="10.4"/>
    <n v="25"/>
    <n v="0"/>
    <n v="260"/>
    <x v="4"/>
    <n v="2"/>
    <x v="1"/>
    <x v="9"/>
  </r>
  <r>
    <n v="10498"/>
    <x v="15"/>
    <n v="4.5"/>
    <n v="14"/>
    <n v="0"/>
    <n v="63"/>
    <x v="6"/>
    <n v="1"/>
    <x v="5"/>
    <x v="9"/>
  </r>
  <r>
    <n v="10498"/>
    <x v="37"/>
    <n v="18.399999999999999"/>
    <n v="5"/>
    <n v="0"/>
    <n v="92"/>
    <x v="3"/>
    <n v="8"/>
    <x v="5"/>
    <x v="9"/>
  </r>
  <r>
    <n v="10498"/>
    <x v="1"/>
    <n v="14"/>
    <n v="30"/>
    <n v="0"/>
    <n v="420"/>
    <x v="1"/>
    <n v="5"/>
    <x v="5"/>
    <x v="9"/>
  </r>
  <r>
    <n v="10499"/>
    <x v="44"/>
    <n v="45.6"/>
    <n v="20"/>
    <n v="0"/>
    <n v="912"/>
    <x v="2"/>
    <n v="7"/>
    <x v="5"/>
    <x v="9"/>
  </r>
  <r>
    <n v="10499"/>
    <x v="14"/>
    <n v="20"/>
    <n v="25"/>
    <n v="0"/>
    <n v="500"/>
    <x v="5"/>
    <n v="3"/>
    <x v="5"/>
    <x v="9"/>
  </r>
  <r>
    <n v="10500"/>
    <x v="50"/>
    <n v="15.5"/>
    <n v="12"/>
    <n v="0.05"/>
    <n v="176.7"/>
    <x v="4"/>
    <n v="2"/>
    <x v="0"/>
    <x v="9"/>
  </r>
  <r>
    <n v="10500"/>
    <x v="44"/>
    <n v="45.6"/>
    <n v="8"/>
    <n v="0.05"/>
    <n v="346.56"/>
    <x v="2"/>
    <n v="7"/>
    <x v="0"/>
    <x v="9"/>
  </r>
  <r>
    <n v="10501"/>
    <x v="55"/>
    <n v="7.45"/>
    <n v="20"/>
    <n v="0"/>
    <n v="149"/>
    <x v="7"/>
    <n v="6"/>
    <x v="1"/>
    <x v="9"/>
  </r>
  <r>
    <n v="10502"/>
    <x v="73"/>
    <n v="9.5"/>
    <n v="21"/>
    <n v="0"/>
    <n v="199.5"/>
    <x v="3"/>
    <n v="8"/>
    <x v="7"/>
    <x v="9"/>
  </r>
  <r>
    <n v="10502"/>
    <x v="22"/>
    <n v="32.799999999999997"/>
    <n v="6"/>
    <n v="0"/>
    <n v="196.79999999999998"/>
    <x v="7"/>
    <n v="6"/>
    <x v="7"/>
    <x v="9"/>
  </r>
  <r>
    <n v="10502"/>
    <x v="51"/>
    <n v="14"/>
    <n v="30"/>
    <n v="0"/>
    <n v="420"/>
    <x v="6"/>
    <n v="1"/>
    <x v="7"/>
    <x v="9"/>
  </r>
  <r>
    <n v="10503"/>
    <x v="3"/>
    <n v="23.25"/>
    <n v="70"/>
    <n v="0"/>
    <n v="1627.5"/>
    <x v="2"/>
    <n v="7"/>
    <x v="14"/>
    <x v="9"/>
  </r>
  <r>
    <n v="10503"/>
    <x v="6"/>
    <n v="21.05"/>
    <n v="20"/>
    <n v="0"/>
    <n v="421"/>
    <x v="4"/>
    <n v="2"/>
    <x v="14"/>
    <x v="9"/>
  </r>
  <r>
    <n v="10504"/>
    <x v="18"/>
    <n v="19"/>
    <n v="12"/>
    <n v="0"/>
    <n v="228"/>
    <x v="6"/>
    <n v="1"/>
    <x v="8"/>
    <x v="9"/>
  </r>
  <r>
    <n v="10504"/>
    <x v="27"/>
    <n v="10"/>
    <n v="12"/>
    <n v="0"/>
    <n v="120"/>
    <x v="5"/>
    <n v="3"/>
    <x v="8"/>
    <x v="9"/>
  </r>
  <r>
    <n v="10504"/>
    <x v="22"/>
    <n v="32.799999999999997"/>
    <n v="10"/>
    <n v="0"/>
    <n v="328"/>
    <x v="7"/>
    <n v="6"/>
    <x v="8"/>
    <x v="9"/>
  </r>
  <r>
    <n v="10504"/>
    <x v="75"/>
    <n v="28.5"/>
    <n v="25"/>
    <n v="0"/>
    <n v="712.5"/>
    <x v="4"/>
    <n v="2"/>
    <x v="8"/>
    <x v="9"/>
  </r>
  <r>
    <n v="10505"/>
    <x v="29"/>
    <n v="49.3"/>
    <n v="3"/>
    <n v="0"/>
    <n v="147.89999999999998"/>
    <x v="5"/>
    <n v="3"/>
    <x v="16"/>
    <x v="9"/>
  </r>
  <r>
    <n v="10506"/>
    <x v="66"/>
    <n v="14"/>
    <n v="18"/>
    <n v="0.1"/>
    <n v="226.8"/>
    <x v="5"/>
    <n v="3"/>
    <x v="1"/>
    <x v="9"/>
  </r>
  <r>
    <n v="10506"/>
    <x v="30"/>
    <n v="15"/>
    <n v="14"/>
    <n v="0.1"/>
    <n v="189"/>
    <x v="6"/>
    <n v="1"/>
    <x v="1"/>
    <x v="9"/>
  </r>
  <r>
    <n v="10507"/>
    <x v="40"/>
    <n v="46"/>
    <n v="15"/>
    <n v="0.15"/>
    <n v="586.5"/>
    <x v="6"/>
    <n v="1"/>
    <x v="7"/>
    <x v="9"/>
  </r>
  <r>
    <n v="10507"/>
    <x v="74"/>
    <n v="12.75"/>
    <n v="15"/>
    <n v="0.15"/>
    <n v="162.5625"/>
    <x v="5"/>
    <n v="3"/>
    <x v="7"/>
    <x v="9"/>
  </r>
  <r>
    <n v="10508"/>
    <x v="43"/>
    <n v="6"/>
    <n v="10"/>
    <n v="0"/>
    <n v="60"/>
    <x v="3"/>
    <n v="8"/>
    <x v="1"/>
    <x v="9"/>
  </r>
  <r>
    <n v="10508"/>
    <x v="13"/>
    <n v="18"/>
    <n v="10"/>
    <n v="0"/>
    <n v="180"/>
    <x v="6"/>
    <n v="1"/>
    <x v="1"/>
    <x v="9"/>
  </r>
  <r>
    <n v="10509"/>
    <x v="44"/>
    <n v="45.6"/>
    <n v="3"/>
    <n v="0"/>
    <n v="136.80000000000001"/>
    <x v="2"/>
    <n v="7"/>
    <x v="1"/>
    <x v="9"/>
  </r>
  <r>
    <n v="10510"/>
    <x v="39"/>
    <n v="123.79"/>
    <n v="36"/>
    <n v="0"/>
    <n v="4456.4400000000005"/>
    <x v="7"/>
    <n v="6"/>
    <x v="8"/>
    <x v="9"/>
  </r>
  <r>
    <n v="10510"/>
    <x v="48"/>
    <n v="7.75"/>
    <n v="36"/>
    <n v="0.1"/>
    <n v="251.1"/>
    <x v="6"/>
    <n v="1"/>
    <x v="8"/>
    <x v="9"/>
  </r>
  <r>
    <n v="10511"/>
    <x v="62"/>
    <n v="22"/>
    <n v="50"/>
    <n v="0.15"/>
    <n v="935"/>
    <x v="4"/>
    <n v="2"/>
    <x v="0"/>
    <x v="9"/>
  </r>
  <r>
    <n v="10511"/>
    <x v="32"/>
    <n v="30"/>
    <n v="50"/>
    <n v="0.15"/>
    <n v="1275"/>
    <x v="2"/>
    <n v="7"/>
    <x v="0"/>
    <x v="9"/>
  </r>
  <r>
    <n v="10511"/>
    <x v="71"/>
    <n v="40"/>
    <n v="10"/>
    <n v="0.15"/>
    <n v="340"/>
    <x v="4"/>
    <n v="2"/>
    <x v="0"/>
    <x v="9"/>
  </r>
  <r>
    <n v="10512"/>
    <x v="15"/>
    <n v="4.5"/>
    <n v="10"/>
    <n v="0.15"/>
    <n v="38.25"/>
    <x v="6"/>
    <n v="1"/>
    <x v="2"/>
    <x v="9"/>
  </r>
  <r>
    <n v="10512"/>
    <x v="54"/>
    <n v="12"/>
    <n v="9"/>
    <n v="0.15"/>
    <n v="91.8"/>
    <x v="3"/>
    <n v="8"/>
    <x v="2"/>
    <x v="9"/>
  </r>
  <r>
    <n v="10512"/>
    <x v="69"/>
    <n v="9.5"/>
    <n v="6"/>
    <n v="0.15"/>
    <n v="48.449999999999996"/>
    <x v="5"/>
    <n v="3"/>
    <x v="2"/>
    <x v="9"/>
  </r>
  <r>
    <n v="10512"/>
    <x v="11"/>
    <n v="34"/>
    <n v="12"/>
    <n v="0.15"/>
    <n v="346.8"/>
    <x v="0"/>
    <n v="4"/>
    <x v="2"/>
    <x v="9"/>
  </r>
  <r>
    <n v="10513"/>
    <x v="27"/>
    <n v="10"/>
    <n v="40"/>
    <n v="0.2"/>
    <n v="320"/>
    <x v="5"/>
    <n v="3"/>
    <x v="1"/>
    <x v="9"/>
  </r>
  <r>
    <n v="10513"/>
    <x v="26"/>
    <n v="32"/>
    <n v="50"/>
    <n v="0.2"/>
    <n v="1280"/>
    <x v="0"/>
    <n v="4"/>
    <x v="1"/>
    <x v="9"/>
  </r>
  <r>
    <n v="10513"/>
    <x v="75"/>
    <n v="28.5"/>
    <n v="15"/>
    <n v="0.2"/>
    <n v="342"/>
    <x v="4"/>
    <n v="2"/>
    <x v="1"/>
    <x v="9"/>
  </r>
  <r>
    <n v="10514"/>
    <x v="9"/>
    <n v="81"/>
    <n v="39"/>
    <n v="0"/>
    <n v="3159"/>
    <x v="5"/>
    <n v="3"/>
    <x v="6"/>
    <x v="9"/>
  </r>
  <r>
    <n v="10514"/>
    <x v="44"/>
    <n v="45.6"/>
    <n v="35"/>
    <n v="0"/>
    <n v="1596"/>
    <x v="2"/>
    <n v="7"/>
    <x v="6"/>
    <x v="9"/>
  </r>
  <r>
    <n v="10514"/>
    <x v="33"/>
    <n v="38"/>
    <n v="70"/>
    <n v="0"/>
    <n v="2660"/>
    <x v="1"/>
    <n v="5"/>
    <x v="6"/>
    <x v="9"/>
  </r>
  <r>
    <n v="10514"/>
    <x v="6"/>
    <n v="21.05"/>
    <n v="39"/>
    <n v="0"/>
    <n v="820.95"/>
    <x v="4"/>
    <n v="2"/>
    <x v="6"/>
    <x v="9"/>
  </r>
  <r>
    <n v="10514"/>
    <x v="48"/>
    <n v="7.75"/>
    <n v="50"/>
    <n v="0"/>
    <n v="387.5"/>
    <x v="6"/>
    <n v="1"/>
    <x v="6"/>
    <x v="9"/>
  </r>
  <r>
    <n v="10515"/>
    <x v="76"/>
    <n v="97"/>
    <n v="16"/>
    <n v="0.15"/>
    <n v="1319.2"/>
    <x v="7"/>
    <n v="6"/>
    <x v="1"/>
    <x v="9"/>
  </r>
  <r>
    <n v="10515"/>
    <x v="19"/>
    <n v="17.45"/>
    <n v="50"/>
    <n v="0"/>
    <n v="872.5"/>
    <x v="5"/>
    <n v="3"/>
    <x v="1"/>
    <x v="9"/>
  </r>
  <r>
    <n v="10515"/>
    <x v="24"/>
    <n v="43.9"/>
    <n v="120"/>
    <n v="0"/>
    <n v="5268"/>
    <x v="5"/>
    <n v="3"/>
    <x v="1"/>
    <x v="9"/>
  </r>
  <r>
    <n v="10515"/>
    <x v="10"/>
    <n v="2.5"/>
    <n v="16"/>
    <n v="0.15"/>
    <n v="34"/>
    <x v="0"/>
    <n v="4"/>
    <x v="1"/>
    <x v="9"/>
  </r>
  <r>
    <n v="10515"/>
    <x v="11"/>
    <n v="34"/>
    <n v="84"/>
    <n v="0.15"/>
    <n v="2427.6"/>
    <x v="0"/>
    <n v="4"/>
    <x v="1"/>
    <x v="9"/>
  </r>
  <r>
    <n v="10516"/>
    <x v="59"/>
    <n v="62.5"/>
    <n v="25"/>
    <n v="0.1"/>
    <n v="1406.25"/>
    <x v="3"/>
    <n v="8"/>
    <x v="14"/>
    <x v="9"/>
  </r>
  <r>
    <n v="10516"/>
    <x v="5"/>
    <n v="9.65"/>
    <n v="80"/>
    <n v="0.1"/>
    <n v="694.80000000000007"/>
    <x v="3"/>
    <n v="8"/>
    <x v="14"/>
    <x v="9"/>
  </r>
  <r>
    <n v="10516"/>
    <x v="1"/>
    <n v="14"/>
    <n v="20"/>
    <n v="0"/>
    <n v="280"/>
    <x v="1"/>
    <n v="5"/>
    <x v="14"/>
    <x v="9"/>
  </r>
  <r>
    <n v="10517"/>
    <x v="65"/>
    <n v="7"/>
    <n v="6"/>
    <n v="0"/>
    <n v="42"/>
    <x v="1"/>
    <n v="5"/>
    <x v="13"/>
    <x v="9"/>
  </r>
  <r>
    <n v="10517"/>
    <x v="21"/>
    <n v="55"/>
    <n v="4"/>
    <n v="0"/>
    <n v="220"/>
    <x v="0"/>
    <n v="4"/>
    <x v="13"/>
    <x v="9"/>
  </r>
  <r>
    <n v="10517"/>
    <x v="30"/>
    <n v="15"/>
    <n v="6"/>
    <n v="0"/>
    <n v="90"/>
    <x v="6"/>
    <n v="1"/>
    <x v="13"/>
    <x v="9"/>
  </r>
  <r>
    <n v="10518"/>
    <x v="15"/>
    <n v="4.5"/>
    <n v="5"/>
    <n v="0"/>
    <n v="22.5"/>
    <x v="6"/>
    <n v="1"/>
    <x v="7"/>
    <x v="9"/>
  </r>
  <r>
    <n v="10518"/>
    <x v="67"/>
    <n v="263.5"/>
    <n v="15"/>
    <n v="0"/>
    <n v="3952.5"/>
    <x v="6"/>
    <n v="1"/>
    <x v="7"/>
    <x v="9"/>
  </r>
  <r>
    <n v="10518"/>
    <x v="45"/>
    <n v="19.45"/>
    <n v="9"/>
    <n v="0"/>
    <n v="175.04999999999998"/>
    <x v="4"/>
    <n v="2"/>
    <x v="7"/>
    <x v="9"/>
  </r>
  <r>
    <n v="10519"/>
    <x v="41"/>
    <n v="31"/>
    <n v="16"/>
    <n v="0.05"/>
    <n v="471.2"/>
    <x v="3"/>
    <n v="8"/>
    <x v="4"/>
    <x v="9"/>
  </r>
  <r>
    <n v="10519"/>
    <x v="33"/>
    <n v="38"/>
    <n v="40"/>
    <n v="0"/>
    <n v="1520"/>
    <x v="1"/>
    <n v="5"/>
    <x v="4"/>
    <x v="9"/>
  </r>
  <r>
    <n v="10519"/>
    <x v="11"/>
    <n v="34"/>
    <n v="10"/>
    <n v="0.05"/>
    <n v="323"/>
    <x v="0"/>
    <n v="4"/>
    <x v="4"/>
    <x v="9"/>
  </r>
  <r>
    <n v="10520"/>
    <x v="15"/>
    <n v="4.5"/>
    <n v="8"/>
    <n v="0"/>
    <n v="36"/>
    <x v="6"/>
    <n v="1"/>
    <x v="19"/>
    <x v="9"/>
  </r>
  <r>
    <n v="10520"/>
    <x v="22"/>
    <n v="32.799999999999997"/>
    <n v="5"/>
    <n v="0"/>
    <n v="164"/>
    <x v="7"/>
    <n v="6"/>
    <x v="19"/>
    <x v="9"/>
  </r>
  <r>
    <n v="10521"/>
    <x v="31"/>
    <n v="18"/>
    <n v="3"/>
    <n v="0"/>
    <n v="54"/>
    <x v="6"/>
    <n v="1"/>
    <x v="20"/>
    <x v="9"/>
  </r>
  <r>
    <n v="10521"/>
    <x v="5"/>
    <n v="9.65"/>
    <n v="10"/>
    <n v="0"/>
    <n v="96.5"/>
    <x v="3"/>
    <n v="8"/>
    <x v="20"/>
    <x v="9"/>
  </r>
  <r>
    <n v="10521"/>
    <x v="56"/>
    <n v="12.5"/>
    <n v="6"/>
    <n v="0"/>
    <n v="75"/>
    <x v="5"/>
    <n v="3"/>
    <x v="20"/>
    <x v="9"/>
  </r>
  <r>
    <n v="10522"/>
    <x v="52"/>
    <n v="18"/>
    <n v="40"/>
    <n v="0.2"/>
    <n v="576"/>
    <x v="6"/>
    <n v="1"/>
    <x v="1"/>
    <x v="9"/>
  </r>
  <r>
    <n v="10522"/>
    <x v="71"/>
    <n v="40"/>
    <n v="24"/>
    <n v="0"/>
    <n v="960"/>
    <x v="4"/>
    <n v="2"/>
    <x v="1"/>
    <x v="9"/>
  </r>
  <r>
    <n v="10522"/>
    <x v="34"/>
    <n v="25.89"/>
    <n v="20"/>
    <n v="0.2"/>
    <n v="414.24"/>
    <x v="3"/>
    <n v="8"/>
    <x v="1"/>
    <x v="9"/>
  </r>
  <r>
    <n v="10522"/>
    <x v="37"/>
    <n v="18.399999999999999"/>
    <n v="25"/>
    <n v="0.2"/>
    <n v="368"/>
    <x v="3"/>
    <n v="8"/>
    <x v="1"/>
    <x v="9"/>
  </r>
  <r>
    <n v="10523"/>
    <x v="35"/>
    <n v="39"/>
    <n v="25"/>
    <n v="0.1"/>
    <n v="877.5"/>
    <x v="7"/>
    <n v="6"/>
    <x v="13"/>
    <x v="10"/>
  </r>
  <r>
    <n v="10523"/>
    <x v="9"/>
    <n v="81"/>
    <n v="15"/>
    <n v="0.1"/>
    <n v="1093.5"/>
    <x v="5"/>
    <n v="3"/>
    <x v="13"/>
    <x v="10"/>
  </r>
  <r>
    <n v="10523"/>
    <x v="28"/>
    <n v="26"/>
    <n v="18"/>
    <n v="0.1"/>
    <n v="421.2"/>
    <x v="3"/>
    <n v="8"/>
    <x v="13"/>
    <x v="10"/>
  </r>
  <r>
    <n v="10523"/>
    <x v="5"/>
    <n v="9.65"/>
    <n v="6"/>
    <n v="0.1"/>
    <n v="52.110000000000007"/>
    <x v="3"/>
    <n v="8"/>
    <x v="13"/>
    <x v="10"/>
  </r>
  <r>
    <n v="10524"/>
    <x v="41"/>
    <n v="31"/>
    <n v="2"/>
    <n v="0"/>
    <n v="62"/>
    <x v="3"/>
    <n v="8"/>
    <x v="9"/>
    <x v="10"/>
  </r>
  <r>
    <n v="10524"/>
    <x v="34"/>
    <n v="25.89"/>
    <n v="10"/>
    <n v="0"/>
    <n v="258.89999999999998"/>
    <x v="3"/>
    <n v="8"/>
    <x v="9"/>
    <x v="10"/>
  </r>
  <r>
    <n v="10524"/>
    <x v="40"/>
    <n v="46"/>
    <n v="60"/>
    <n v="0"/>
    <n v="2760"/>
    <x v="6"/>
    <n v="1"/>
    <x v="9"/>
    <x v="10"/>
  </r>
  <r>
    <n v="10524"/>
    <x v="55"/>
    <n v="7.45"/>
    <n v="15"/>
    <n v="0"/>
    <n v="111.75"/>
    <x v="7"/>
    <n v="6"/>
    <x v="9"/>
    <x v="10"/>
  </r>
  <r>
    <n v="10525"/>
    <x v="20"/>
    <n v="19"/>
    <n v="30"/>
    <n v="0"/>
    <n v="570"/>
    <x v="3"/>
    <n v="8"/>
    <x v="0"/>
    <x v="10"/>
  </r>
  <r>
    <n v="10525"/>
    <x v="37"/>
    <n v="18.399999999999999"/>
    <n v="15"/>
    <n v="0.1"/>
    <n v="248.4"/>
    <x v="3"/>
    <n v="8"/>
    <x v="0"/>
    <x v="10"/>
  </r>
  <r>
    <n v="10526"/>
    <x v="52"/>
    <n v="18"/>
    <n v="8"/>
    <n v="0.15"/>
    <n v="122.39999999999999"/>
    <x v="6"/>
    <n v="1"/>
    <x v="10"/>
    <x v="10"/>
  </r>
  <r>
    <n v="10526"/>
    <x v="43"/>
    <n v="6"/>
    <n v="10"/>
    <n v="0"/>
    <n v="60"/>
    <x v="3"/>
    <n v="8"/>
    <x v="10"/>
    <x v="10"/>
  </r>
  <r>
    <n v="10526"/>
    <x v="33"/>
    <n v="38"/>
    <n v="30"/>
    <n v="0.15"/>
    <n v="969"/>
    <x v="1"/>
    <n v="5"/>
    <x v="10"/>
    <x v="10"/>
  </r>
  <r>
    <n v="10527"/>
    <x v="62"/>
    <n v="22"/>
    <n v="50"/>
    <n v="0.1"/>
    <n v="990"/>
    <x v="4"/>
    <n v="2"/>
    <x v="1"/>
    <x v="10"/>
  </r>
  <r>
    <n v="10527"/>
    <x v="20"/>
    <n v="19"/>
    <n v="30"/>
    <n v="0.1"/>
    <n v="513"/>
    <x v="3"/>
    <n v="8"/>
    <x v="1"/>
    <x v="10"/>
  </r>
  <r>
    <n v="10528"/>
    <x v="0"/>
    <n v="21"/>
    <n v="3"/>
    <n v="0"/>
    <n v="63"/>
    <x v="0"/>
    <n v="4"/>
    <x v="8"/>
    <x v="10"/>
  </r>
  <r>
    <n v="10528"/>
    <x v="10"/>
    <n v="2.5"/>
    <n v="8"/>
    <n v="0.2"/>
    <n v="16"/>
    <x v="0"/>
    <n v="4"/>
    <x v="8"/>
    <x v="10"/>
  </r>
  <r>
    <n v="10528"/>
    <x v="2"/>
    <n v="34.799999999999997"/>
    <n v="9"/>
    <n v="0"/>
    <n v="313.2"/>
    <x v="0"/>
    <n v="4"/>
    <x v="8"/>
    <x v="10"/>
  </r>
  <r>
    <n v="10529"/>
    <x v="16"/>
    <n v="24"/>
    <n v="14"/>
    <n v="0"/>
    <n v="336"/>
    <x v="7"/>
    <n v="6"/>
    <x v="3"/>
    <x v="10"/>
  </r>
  <r>
    <n v="10529"/>
    <x v="56"/>
    <n v="12.5"/>
    <n v="20"/>
    <n v="0"/>
    <n v="250"/>
    <x v="5"/>
    <n v="3"/>
    <x v="3"/>
    <x v="10"/>
  </r>
  <r>
    <n v="10529"/>
    <x v="60"/>
    <n v="36"/>
    <n v="10"/>
    <n v="0"/>
    <n v="360"/>
    <x v="0"/>
    <n v="4"/>
    <x v="3"/>
    <x v="10"/>
  </r>
  <r>
    <n v="10530"/>
    <x v="35"/>
    <n v="39"/>
    <n v="40"/>
    <n v="0"/>
    <n v="1560"/>
    <x v="7"/>
    <n v="6"/>
    <x v="6"/>
    <x v="10"/>
  </r>
  <r>
    <n v="10530"/>
    <x v="40"/>
    <n v="46"/>
    <n v="25"/>
    <n v="0"/>
    <n v="1150"/>
    <x v="6"/>
    <n v="1"/>
    <x v="6"/>
    <x v="10"/>
  </r>
  <r>
    <n v="10530"/>
    <x v="75"/>
    <n v="28.5"/>
    <n v="20"/>
    <n v="0"/>
    <n v="570"/>
    <x v="4"/>
    <n v="2"/>
    <x v="6"/>
    <x v="10"/>
  </r>
  <r>
    <n v="10530"/>
    <x v="38"/>
    <n v="18"/>
    <n v="50"/>
    <n v="0"/>
    <n v="900"/>
    <x v="6"/>
    <n v="1"/>
    <x v="6"/>
    <x v="10"/>
  </r>
  <r>
    <n v="10531"/>
    <x v="21"/>
    <n v="55"/>
    <n v="2"/>
    <n v="0"/>
    <n v="110"/>
    <x v="0"/>
    <n v="4"/>
    <x v="20"/>
    <x v="10"/>
  </r>
  <r>
    <n v="10532"/>
    <x v="34"/>
    <n v="25.89"/>
    <n v="15"/>
    <n v="0"/>
    <n v="388.35"/>
    <x v="3"/>
    <n v="8"/>
    <x v="13"/>
    <x v="10"/>
  </r>
  <r>
    <n v="10532"/>
    <x v="61"/>
    <n v="17"/>
    <n v="24"/>
    <n v="0"/>
    <n v="408"/>
    <x v="4"/>
    <n v="2"/>
    <x v="13"/>
    <x v="10"/>
  </r>
  <r>
    <n v="10533"/>
    <x v="62"/>
    <n v="22"/>
    <n v="50"/>
    <n v="0.05"/>
    <n v="1045"/>
    <x v="4"/>
    <n v="2"/>
    <x v="9"/>
    <x v="10"/>
  </r>
  <r>
    <n v="10533"/>
    <x v="2"/>
    <n v="34.799999999999997"/>
    <n v="24"/>
    <n v="0"/>
    <n v="835.19999999999993"/>
    <x v="0"/>
    <n v="4"/>
    <x v="9"/>
    <x v="10"/>
  </r>
  <r>
    <n v="10533"/>
    <x v="47"/>
    <n v="15"/>
    <n v="24"/>
    <n v="0.05"/>
    <n v="342"/>
    <x v="3"/>
    <n v="8"/>
    <x v="9"/>
    <x v="10"/>
  </r>
  <r>
    <n v="10534"/>
    <x v="34"/>
    <n v="25.89"/>
    <n v="10"/>
    <n v="0"/>
    <n v="258.89999999999998"/>
    <x v="3"/>
    <n v="8"/>
    <x v="1"/>
    <x v="10"/>
  </r>
  <r>
    <n v="10534"/>
    <x v="37"/>
    <n v="18.399999999999999"/>
    <n v="10"/>
    <n v="0.2"/>
    <n v="147.20000000000002"/>
    <x v="3"/>
    <n v="8"/>
    <x v="1"/>
    <x v="10"/>
  </r>
  <r>
    <n v="10534"/>
    <x v="55"/>
    <n v="7.45"/>
    <n v="10"/>
    <n v="0.2"/>
    <n v="59.6"/>
    <x v="7"/>
    <n v="6"/>
    <x v="1"/>
    <x v="10"/>
  </r>
  <r>
    <n v="10535"/>
    <x v="0"/>
    <n v="21"/>
    <n v="50"/>
    <n v="0.1"/>
    <n v="945"/>
    <x v="0"/>
    <n v="4"/>
    <x v="7"/>
    <x v="10"/>
  </r>
  <r>
    <n v="10535"/>
    <x v="37"/>
    <n v="18.399999999999999"/>
    <n v="10"/>
    <n v="0.1"/>
    <n v="165.6"/>
    <x v="3"/>
    <n v="8"/>
    <x v="7"/>
    <x v="10"/>
  </r>
  <r>
    <n v="10535"/>
    <x v="8"/>
    <n v="19.5"/>
    <n v="5"/>
    <n v="0.1"/>
    <n v="87.75"/>
    <x v="1"/>
    <n v="5"/>
    <x v="7"/>
    <x v="10"/>
  </r>
  <r>
    <n v="10535"/>
    <x v="21"/>
    <n v="55"/>
    <n v="15"/>
    <n v="0.1"/>
    <n v="742.5"/>
    <x v="0"/>
    <n v="4"/>
    <x v="7"/>
    <x v="10"/>
  </r>
  <r>
    <n v="10536"/>
    <x v="36"/>
    <n v="38"/>
    <n v="15"/>
    <n v="0.25"/>
    <n v="427.5"/>
    <x v="0"/>
    <n v="4"/>
    <x v="1"/>
    <x v="10"/>
  </r>
  <r>
    <n v="10536"/>
    <x v="12"/>
    <n v="12.5"/>
    <n v="20"/>
    <n v="0"/>
    <n v="250"/>
    <x v="0"/>
    <n v="4"/>
    <x v="1"/>
    <x v="10"/>
  </r>
  <r>
    <n v="10536"/>
    <x v="10"/>
    <n v="2.5"/>
    <n v="30"/>
    <n v="0"/>
    <n v="75"/>
    <x v="0"/>
    <n v="4"/>
    <x v="1"/>
    <x v="10"/>
  </r>
  <r>
    <n v="10536"/>
    <x v="11"/>
    <n v="34"/>
    <n v="35"/>
    <n v="0.25"/>
    <n v="892.5"/>
    <x v="0"/>
    <n v="4"/>
    <x v="1"/>
    <x v="10"/>
  </r>
  <r>
    <n v="10537"/>
    <x v="12"/>
    <n v="12.5"/>
    <n v="30"/>
    <n v="0"/>
    <n v="375"/>
    <x v="0"/>
    <n v="4"/>
    <x v="4"/>
    <x v="10"/>
  </r>
  <r>
    <n v="10537"/>
    <x v="4"/>
    <n v="53"/>
    <n v="6"/>
    <n v="0"/>
    <n v="318"/>
    <x v="2"/>
    <n v="7"/>
    <x v="4"/>
    <x v="10"/>
  </r>
  <r>
    <n v="10537"/>
    <x v="64"/>
    <n v="13.25"/>
    <n v="20"/>
    <n v="0"/>
    <n v="265"/>
    <x v="3"/>
    <n v="8"/>
    <x v="4"/>
    <x v="10"/>
  </r>
  <r>
    <n v="10537"/>
    <x v="2"/>
    <n v="34.799999999999997"/>
    <n v="21"/>
    <n v="0"/>
    <n v="730.8"/>
    <x v="0"/>
    <n v="4"/>
    <x v="4"/>
    <x v="10"/>
  </r>
  <r>
    <n v="10537"/>
    <x v="47"/>
    <n v="15"/>
    <n v="9"/>
    <n v="0"/>
    <n v="135"/>
    <x v="3"/>
    <n v="8"/>
    <x v="4"/>
    <x v="10"/>
  </r>
  <r>
    <n v="10538"/>
    <x v="30"/>
    <n v="15"/>
    <n v="7"/>
    <n v="0"/>
    <n v="105"/>
    <x v="6"/>
    <n v="1"/>
    <x v="13"/>
    <x v="10"/>
  </r>
  <r>
    <n v="10538"/>
    <x v="2"/>
    <n v="34.799999999999997"/>
    <n v="1"/>
    <n v="0"/>
    <n v="34.799999999999997"/>
    <x v="0"/>
    <n v="4"/>
    <x v="13"/>
    <x v="10"/>
  </r>
  <r>
    <n v="10539"/>
    <x v="43"/>
    <n v="6"/>
    <n v="8"/>
    <n v="0"/>
    <n v="48"/>
    <x v="3"/>
    <n v="8"/>
    <x v="13"/>
    <x v="10"/>
  </r>
  <r>
    <n v="10539"/>
    <x v="27"/>
    <n v="10"/>
    <n v="15"/>
    <n v="0"/>
    <n v="150"/>
    <x v="5"/>
    <n v="3"/>
    <x v="13"/>
    <x v="10"/>
  </r>
  <r>
    <n v="10539"/>
    <x v="10"/>
    <n v="2.5"/>
    <n v="15"/>
    <n v="0"/>
    <n v="37.5"/>
    <x v="0"/>
    <n v="4"/>
    <x v="13"/>
    <x v="10"/>
  </r>
  <r>
    <n v="10539"/>
    <x v="14"/>
    <n v="20"/>
    <n v="6"/>
    <n v="0"/>
    <n v="120"/>
    <x v="5"/>
    <n v="3"/>
    <x v="13"/>
    <x v="10"/>
  </r>
  <r>
    <n v="10540"/>
    <x v="57"/>
    <n v="10"/>
    <n v="60"/>
    <n v="0"/>
    <n v="600"/>
    <x v="4"/>
    <n v="2"/>
    <x v="1"/>
    <x v="10"/>
  </r>
  <r>
    <n v="10540"/>
    <x v="68"/>
    <n v="31.23"/>
    <n v="40"/>
    <n v="0"/>
    <n v="1249.2"/>
    <x v="5"/>
    <n v="3"/>
    <x v="1"/>
    <x v="10"/>
  </r>
  <r>
    <n v="10540"/>
    <x v="67"/>
    <n v="263.5"/>
    <n v="30"/>
    <n v="0"/>
    <n v="7905"/>
    <x v="6"/>
    <n v="1"/>
    <x v="1"/>
    <x v="10"/>
  </r>
  <r>
    <n v="10540"/>
    <x v="56"/>
    <n v="12.5"/>
    <n v="35"/>
    <n v="0"/>
    <n v="437.5"/>
    <x v="5"/>
    <n v="3"/>
    <x v="1"/>
    <x v="10"/>
  </r>
  <r>
    <n v="10541"/>
    <x v="15"/>
    <n v="4.5"/>
    <n v="35"/>
    <n v="0.1"/>
    <n v="141.75"/>
    <x v="6"/>
    <n v="1"/>
    <x v="2"/>
    <x v="10"/>
  </r>
  <r>
    <n v="10541"/>
    <x v="67"/>
    <n v="263.5"/>
    <n v="4"/>
    <n v="0.1"/>
    <n v="948.6"/>
    <x v="6"/>
    <n v="1"/>
    <x v="2"/>
    <x v="10"/>
  </r>
  <r>
    <n v="10541"/>
    <x v="6"/>
    <n v="21.05"/>
    <n v="36"/>
    <n v="0.1"/>
    <n v="682.0200000000001"/>
    <x v="4"/>
    <n v="2"/>
    <x v="2"/>
    <x v="10"/>
  </r>
  <r>
    <n v="10541"/>
    <x v="42"/>
    <n v="21.5"/>
    <n v="9"/>
    <n v="0.1"/>
    <n v="174.15"/>
    <x v="0"/>
    <n v="4"/>
    <x v="2"/>
    <x v="10"/>
  </r>
  <r>
    <n v="10542"/>
    <x v="0"/>
    <n v="21"/>
    <n v="15"/>
    <n v="0.05"/>
    <n v="299.25"/>
    <x v="0"/>
    <n v="4"/>
    <x v="1"/>
    <x v="10"/>
  </r>
  <r>
    <n v="10542"/>
    <x v="55"/>
    <n v="7.45"/>
    <n v="24"/>
    <n v="0.05"/>
    <n v="169.86"/>
    <x v="7"/>
    <n v="6"/>
    <x v="1"/>
    <x v="10"/>
  </r>
  <r>
    <n v="10543"/>
    <x v="36"/>
    <n v="38"/>
    <n v="30"/>
    <n v="0.15"/>
    <n v="969"/>
    <x v="0"/>
    <n v="4"/>
    <x v="5"/>
    <x v="10"/>
  </r>
  <r>
    <n v="10543"/>
    <x v="70"/>
    <n v="9"/>
    <n v="70"/>
    <n v="0.15"/>
    <n v="535.5"/>
    <x v="1"/>
    <n v="5"/>
    <x v="5"/>
    <x v="10"/>
  </r>
  <r>
    <n v="10544"/>
    <x v="44"/>
    <n v="45.6"/>
    <n v="7"/>
    <n v="0"/>
    <n v="319.2"/>
    <x v="2"/>
    <n v="7"/>
    <x v="8"/>
    <x v="10"/>
  </r>
  <r>
    <n v="10544"/>
    <x v="51"/>
    <n v="14"/>
    <n v="7"/>
    <n v="0"/>
    <n v="98"/>
    <x v="6"/>
    <n v="1"/>
    <x v="8"/>
    <x v="10"/>
  </r>
  <r>
    <n v="10545"/>
    <x v="0"/>
    <n v="21"/>
    <n v="10"/>
    <n v="0"/>
    <n v="210"/>
    <x v="0"/>
    <n v="4"/>
    <x v="8"/>
    <x v="10"/>
  </r>
  <r>
    <n v="10546"/>
    <x v="32"/>
    <n v="30"/>
    <n v="10"/>
    <n v="0"/>
    <n v="300"/>
    <x v="2"/>
    <n v="7"/>
    <x v="0"/>
    <x v="10"/>
  </r>
  <r>
    <n v="10546"/>
    <x v="31"/>
    <n v="18"/>
    <n v="30"/>
    <n v="0"/>
    <n v="540"/>
    <x v="6"/>
    <n v="1"/>
    <x v="0"/>
    <x v="10"/>
  </r>
  <r>
    <n v="10546"/>
    <x v="29"/>
    <n v="49.3"/>
    <n v="40"/>
    <n v="0"/>
    <n v="1972"/>
    <x v="5"/>
    <n v="3"/>
    <x v="0"/>
    <x v="10"/>
  </r>
  <r>
    <n v="10547"/>
    <x v="26"/>
    <n v="32"/>
    <n v="24"/>
    <n v="0.15"/>
    <n v="652.79999999999995"/>
    <x v="0"/>
    <n v="4"/>
    <x v="13"/>
    <x v="10"/>
  </r>
  <r>
    <n v="10547"/>
    <x v="20"/>
    <n v="19"/>
    <n v="60"/>
    <n v="0"/>
    <n v="1140"/>
    <x v="3"/>
    <n v="8"/>
    <x v="13"/>
    <x v="10"/>
  </r>
  <r>
    <n v="10548"/>
    <x v="53"/>
    <n v="14"/>
    <n v="10"/>
    <n v="0.25"/>
    <n v="105"/>
    <x v="6"/>
    <n v="1"/>
    <x v="1"/>
    <x v="10"/>
  </r>
  <r>
    <n v="10548"/>
    <x v="5"/>
    <n v="9.65"/>
    <n v="14"/>
    <n v="0"/>
    <n v="135.1"/>
    <x v="3"/>
    <n v="8"/>
    <x v="1"/>
    <x v="10"/>
  </r>
  <r>
    <n v="10549"/>
    <x v="12"/>
    <n v="12.5"/>
    <n v="55"/>
    <n v="0.15"/>
    <n v="584.375"/>
    <x v="0"/>
    <n v="4"/>
    <x v="1"/>
    <x v="10"/>
  </r>
  <r>
    <n v="10549"/>
    <x v="73"/>
    <n v="9.5"/>
    <n v="100"/>
    <n v="0.15"/>
    <n v="807.5"/>
    <x v="3"/>
    <n v="8"/>
    <x v="1"/>
    <x v="10"/>
  </r>
  <r>
    <n v="10549"/>
    <x v="4"/>
    <n v="53"/>
    <n v="48"/>
    <n v="0.15"/>
    <n v="2162.4"/>
    <x v="2"/>
    <n v="7"/>
    <x v="1"/>
    <x v="10"/>
  </r>
  <r>
    <n v="10550"/>
    <x v="35"/>
    <n v="39"/>
    <n v="8"/>
    <n v="0.1"/>
    <n v="280.8"/>
    <x v="7"/>
    <n v="6"/>
    <x v="12"/>
    <x v="10"/>
  </r>
  <r>
    <n v="10550"/>
    <x v="49"/>
    <n v="9.1999999999999993"/>
    <n v="10"/>
    <n v="0"/>
    <n v="92"/>
    <x v="5"/>
    <n v="3"/>
    <x v="12"/>
    <x v="10"/>
  </r>
  <r>
    <n v="10550"/>
    <x v="27"/>
    <n v="10"/>
    <n v="6"/>
    <n v="0.1"/>
    <n v="54"/>
    <x v="5"/>
    <n v="3"/>
    <x v="12"/>
    <x v="10"/>
  </r>
  <r>
    <n v="10550"/>
    <x v="75"/>
    <n v="28.5"/>
    <n v="10"/>
    <n v="0.1"/>
    <n v="256.5"/>
    <x v="4"/>
    <n v="2"/>
    <x v="12"/>
    <x v="10"/>
  </r>
  <r>
    <n v="10551"/>
    <x v="19"/>
    <n v="17.45"/>
    <n v="40"/>
    <n v="0.15"/>
    <n v="593.29999999999995"/>
    <x v="5"/>
    <n v="3"/>
    <x v="15"/>
    <x v="10"/>
  </r>
  <r>
    <n v="10551"/>
    <x v="31"/>
    <n v="18"/>
    <n v="20"/>
    <n v="0.15"/>
    <n v="306"/>
    <x v="6"/>
    <n v="1"/>
    <x v="15"/>
    <x v="10"/>
  </r>
  <r>
    <n v="10551"/>
    <x v="45"/>
    <n v="19.45"/>
    <n v="40"/>
    <n v="0"/>
    <n v="778"/>
    <x v="4"/>
    <n v="2"/>
    <x v="15"/>
    <x v="10"/>
  </r>
  <r>
    <n v="10552"/>
    <x v="60"/>
    <n v="36"/>
    <n v="18"/>
    <n v="0"/>
    <n v="648"/>
    <x v="0"/>
    <n v="4"/>
    <x v="5"/>
    <x v="10"/>
  </r>
  <r>
    <n v="10552"/>
    <x v="48"/>
    <n v="7.75"/>
    <n v="30"/>
    <n v="0"/>
    <n v="232.5"/>
    <x v="6"/>
    <n v="1"/>
    <x v="5"/>
    <x v="10"/>
  </r>
  <r>
    <n v="10553"/>
    <x v="0"/>
    <n v="21"/>
    <n v="15"/>
    <n v="0"/>
    <n v="315"/>
    <x v="0"/>
    <n v="4"/>
    <x v="10"/>
    <x v="10"/>
  </r>
  <r>
    <n v="10553"/>
    <x v="19"/>
    <n v="17.45"/>
    <n v="14"/>
    <n v="0"/>
    <n v="244.29999999999998"/>
    <x v="5"/>
    <n v="3"/>
    <x v="10"/>
    <x v="10"/>
  </r>
  <r>
    <n v="10553"/>
    <x v="7"/>
    <n v="21"/>
    <n v="24"/>
    <n v="0"/>
    <n v="504"/>
    <x v="1"/>
    <n v="5"/>
    <x v="10"/>
    <x v="10"/>
  </r>
  <r>
    <n v="10553"/>
    <x v="12"/>
    <n v="12.5"/>
    <n v="30"/>
    <n v="0"/>
    <n v="375"/>
    <x v="0"/>
    <n v="4"/>
    <x v="10"/>
    <x v="10"/>
  </r>
  <r>
    <n v="10553"/>
    <x v="31"/>
    <n v="18"/>
    <n v="6"/>
    <n v="0"/>
    <n v="108"/>
    <x v="6"/>
    <n v="1"/>
    <x v="10"/>
    <x v="10"/>
  </r>
  <r>
    <n v="10554"/>
    <x v="19"/>
    <n v="17.45"/>
    <n v="30"/>
    <n v="0.05"/>
    <n v="497.32499999999999"/>
    <x v="5"/>
    <n v="3"/>
    <x v="1"/>
    <x v="10"/>
  </r>
  <r>
    <n v="10554"/>
    <x v="70"/>
    <n v="9"/>
    <n v="20"/>
    <n v="0.05"/>
    <n v="171"/>
    <x v="1"/>
    <n v="5"/>
    <x v="1"/>
    <x v="10"/>
  </r>
  <r>
    <n v="10554"/>
    <x v="29"/>
    <n v="49.3"/>
    <n v="20"/>
    <n v="0.05"/>
    <n v="936.69999999999993"/>
    <x v="5"/>
    <n v="3"/>
    <x v="1"/>
    <x v="10"/>
  </r>
  <r>
    <n v="10554"/>
    <x v="23"/>
    <n v="13"/>
    <n v="10"/>
    <n v="0.05"/>
    <n v="123.5"/>
    <x v="4"/>
    <n v="2"/>
    <x v="1"/>
    <x v="10"/>
  </r>
  <r>
    <n v="10555"/>
    <x v="3"/>
    <n v="23.25"/>
    <n v="30"/>
    <n v="0.2"/>
    <n v="558"/>
    <x v="2"/>
    <n v="7"/>
    <x v="8"/>
    <x v="11"/>
  </r>
  <r>
    <n v="10555"/>
    <x v="49"/>
    <n v="9.1999999999999993"/>
    <n v="35"/>
    <n v="0.2"/>
    <n v="257.60000000000002"/>
    <x v="5"/>
    <n v="3"/>
    <x v="8"/>
    <x v="11"/>
  </r>
  <r>
    <n v="10555"/>
    <x v="15"/>
    <n v="4.5"/>
    <n v="18"/>
    <n v="0.2"/>
    <n v="64.8"/>
    <x v="6"/>
    <n v="1"/>
    <x v="8"/>
    <x v="11"/>
  </r>
  <r>
    <n v="10555"/>
    <x v="4"/>
    <n v="53"/>
    <n v="20"/>
    <n v="0.2"/>
    <n v="848"/>
    <x v="2"/>
    <n v="7"/>
    <x v="8"/>
    <x v="11"/>
  </r>
  <r>
    <n v="10555"/>
    <x v="33"/>
    <n v="38"/>
    <n v="40"/>
    <n v="0.2"/>
    <n v="1216"/>
    <x v="1"/>
    <n v="5"/>
    <x v="8"/>
    <x v="11"/>
  </r>
  <r>
    <n v="10556"/>
    <x v="2"/>
    <n v="34.799999999999997"/>
    <n v="24"/>
    <n v="0"/>
    <n v="835.19999999999993"/>
    <x v="0"/>
    <n v="4"/>
    <x v="17"/>
    <x v="11"/>
  </r>
  <r>
    <n v="10557"/>
    <x v="58"/>
    <n v="33.25"/>
    <n v="30"/>
    <n v="0"/>
    <n v="997.5"/>
    <x v="1"/>
    <n v="5"/>
    <x v="1"/>
    <x v="11"/>
  </r>
  <r>
    <n v="10557"/>
    <x v="48"/>
    <n v="7.75"/>
    <n v="20"/>
    <n v="0"/>
    <n v="155"/>
    <x v="6"/>
    <n v="1"/>
    <x v="1"/>
    <x v="11"/>
  </r>
  <r>
    <n v="10558"/>
    <x v="69"/>
    <n v="9.5"/>
    <n v="25"/>
    <n v="0"/>
    <n v="237.5"/>
    <x v="5"/>
    <n v="3"/>
    <x v="13"/>
    <x v="11"/>
  </r>
  <r>
    <n v="10558"/>
    <x v="4"/>
    <n v="53"/>
    <n v="20"/>
    <n v="0"/>
    <n v="1060"/>
    <x v="2"/>
    <n v="7"/>
    <x v="13"/>
    <x v="11"/>
  </r>
  <r>
    <n v="10558"/>
    <x v="65"/>
    <n v="7"/>
    <n v="30"/>
    <n v="0"/>
    <n v="210"/>
    <x v="1"/>
    <n v="5"/>
    <x v="13"/>
    <x v="11"/>
  </r>
  <r>
    <n v="10558"/>
    <x v="22"/>
    <n v="32.799999999999997"/>
    <n v="18"/>
    <n v="0"/>
    <n v="590.4"/>
    <x v="7"/>
    <n v="6"/>
    <x v="13"/>
    <x v="11"/>
  </r>
  <r>
    <n v="10558"/>
    <x v="47"/>
    <n v="15"/>
    <n v="3"/>
    <n v="0"/>
    <n v="45"/>
    <x v="3"/>
    <n v="8"/>
    <x v="13"/>
    <x v="11"/>
  </r>
  <r>
    <n v="10559"/>
    <x v="5"/>
    <n v="9.65"/>
    <n v="12"/>
    <n v="0.05"/>
    <n v="110.01"/>
    <x v="3"/>
    <n v="8"/>
    <x v="0"/>
    <x v="11"/>
  </r>
  <r>
    <n v="10559"/>
    <x v="16"/>
    <n v="24"/>
    <n v="18"/>
    <n v="0.05"/>
    <n v="410.4"/>
    <x v="7"/>
    <n v="6"/>
    <x v="0"/>
    <x v="11"/>
  </r>
  <r>
    <n v="10560"/>
    <x v="34"/>
    <n v="25.89"/>
    <n v="20"/>
    <n v="0"/>
    <n v="517.79999999999995"/>
    <x v="3"/>
    <n v="8"/>
    <x v="1"/>
    <x v="11"/>
  </r>
  <r>
    <n v="10560"/>
    <x v="29"/>
    <n v="49.3"/>
    <n v="15"/>
    <n v="0.25"/>
    <n v="554.625"/>
    <x v="5"/>
    <n v="3"/>
    <x v="1"/>
    <x v="11"/>
  </r>
  <r>
    <n v="10561"/>
    <x v="45"/>
    <n v="19.45"/>
    <n v="10"/>
    <n v="0"/>
    <n v="194.5"/>
    <x v="4"/>
    <n v="2"/>
    <x v="9"/>
    <x v="11"/>
  </r>
  <r>
    <n v="10561"/>
    <x v="4"/>
    <n v="53"/>
    <n v="50"/>
    <n v="0"/>
    <n v="2650"/>
    <x v="2"/>
    <n v="7"/>
    <x v="9"/>
    <x v="11"/>
  </r>
  <r>
    <n v="10562"/>
    <x v="10"/>
    <n v="2.5"/>
    <n v="20"/>
    <n v="0.1"/>
    <n v="45"/>
    <x v="0"/>
    <n v="4"/>
    <x v="11"/>
    <x v="11"/>
  </r>
  <r>
    <n v="10562"/>
    <x v="29"/>
    <n v="49.3"/>
    <n v="10"/>
    <n v="0.1"/>
    <n v="443.7"/>
    <x v="5"/>
    <n v="3"/>
    <x v="11"/>
    <x v="11"/>
  </r>
  <r>
    <n v="10563"/>
    <x v="20"/>
    <n v="19"/>
    <n v="25"/>
    <n v="0"/>
    <n v="475"/>
    <x v="3"/>
    <n v="8"/>
    <x v="2"/>
    <x v="11"/>
  </r>
  <r>
    <n v="10563"/>
    <x v="65"/>
    <n v="7"/>
    <n v="70"/>
    <n v="0"/>
    <n v="490"/>
    <x v="1"/>
    <n v="5"/>
    <x v="2"/>
    <x v="11"/>
  </r>
  <r>
    <n v="10564"/>
    <x v="35"/>
    <n v="39"/>
    <n v="16"/>
    <n v="0.05"/>
    <n v="592.79999999999995"/>
    <x v="7"/>
    <n v="6"/>
    <x v="8"/>
    <x v="11"/>
  </r>
  <r>
    <n v="10564"/>
    <x v="12"/>
    <n v="12.5"/>
    <n v="6"/>
    <n v="0.05"/>
    <n v="71.25"/>
    <x v="0"/>
    <n v="4"/>
    <x v="8"/>
    <x v="11"/>
  </r>
  <r>
    <n v="10564"/>
    <x v="16"/>
    <n v="24"/>
    <n v="25"/>
    <n v="0.05"/>
    <n v="570"/>
    <x v="7"/>
    <n v="6"/>
    <x v="8"/>
    <x v="11"/>
  </r>
  <r>
    <n v="10565"/>
    <x v="15"/>
    <n v="4.5"/>
    <n v="25"/>
    <n v="0.1"/>
    <n v="101.25"/>
    <x v="6"/>
    <n v="1"/>
    <x v="16"/>
    <x v="11"/>
  </r>
  <r>
    <n v="10565"/>
    <x v="58"/>
    <n v="33.25"/>
    <n v="18"/>
    <n v="0.1"/>
    <n v="538.65"/>
    <x v="1"/>
    <n v="5"/>
    <x v="16"/>
    <x v="11"/>
  </r>
  <r>
    <n v="10566"/>
    <x v="0"/>
    <n v="21"/>
    <n v="35"/>
    <n v="0.15"/>
    <n v="624.75"/>
    <x v="0"/>
    <n v="4"/>
    <x v="0"/>
    <x v="11"/>
  </r>
  <r>
    <n v="10566"/>
    <x v="59"/>
    <n v="62.5"/>
    <n v="18"/>
    <n v="0.15"/>
    <n v="956.25"/>
    <x v="3"/>
    <n v="8"/>
    <x v="0"/>
    <x v="11"/>
  </r>
  <r>
    <n v="10566"/>
    <x v="38"/>
    <n v="18"/>
    <n v="10"/>
    <n v="0"/>
    <n v="180"/>
    <x v="6"/>
    <n v="1"/>
    <x v="0"/>
    <x v="11"/>
  </r>
  <r>
    <n v="10567"/>
    <x v="12"/>
    <n v="12.5"/>
    <n v="60"/>
    <n v="0.2"/>
    <n v="600"/>
    <x v="0"/>
    <n v="4"/>
    <x v="14"/>
    <x v="11"/>
  </r>
  <r>
    <n v="10567"/>
    <x v="4"/>
    <n v="53"/>
    <n v="3"/>
    <n v="0"/>
    <n v="159"/>
    <x v="2"/>
    <n v="7"/>
    <x v="14"/>
    <x v="11"/>
  </r>
  <r>
    <n v="10567"/>
    <x v="21"/>
    <n v="55"/>
    <n v="40"/>
    <n v="0.2"/>
    <n v="1760"/>
    <x v="0"/>
    <n v="4"/>
    <x v="14"/>
    <x v="11"/>
  </r>
  <r>
    <n v="10568"/>
    <x v="41"/>
    <n v="31"/>
    <n v="5"/>
    <n v="0"/>
    <n v="155"/>
    <x v="3"/>
    <n v="8"/>
    <x v="12"/>
    <x v="11"/>
  </r>
  <r>
    <n v="10569"/>
    <x v="12"/>
    <n v="12.5"/>
    <n v="35"/>
    <n v="0.2"/>
    <n v="350"/>
    <x v="0"/>
    <n v="4"/>
    <x v="8"/>
    <x v="11"/>
  </r>
  <r>
    <n v="10569"/>
    <x v="38"/>
    <n v="18"/>
    <n v="30"/>
    <n v="0"/>
    <n v="540"/>
    <x v="6"/>
    <n v="1"/>
    <x v="8"/>
    <x v="11"/>
  </r>
  <r>
    <n v="10570"/>
    <x v="0"/>
    <n v="21"/>
    <n v="15"/>
    <n v="0.05"/>
    <n v="299.25"/>
    <x v="0"/>
    <n v="4"/>
    <x v="16"/>
    <x v="11"/>
  </r>
  <r>
    <n v="10570"/>
    <x v="33"/>
    <n v="38"/>
    <n v="60"/>
    <n v="0.05"/>
    <n v="2166"/>
    <x v="1"/>
    <n v="5"/>
    <x v="16"/>
    <x v="11"/>
  </r>
  <r>
    <n v="10571"/>
    <x v="3"/>
    <n v="23.25"/>
    <n v="11"/>
    <n v="0.15"/>
    <n v="217.38749999999999"/>
    <x v="2"/>
    <n v="7"/>
    <x v="6"/>
    <x v="11"/>
  </r>
  <r>
    <n v="10571"/>
    <x v="1"/>
    <n v="14"/>
    <n v="28"/>
    <n v="0.15"/>
    <n v="333.2"/>
    <x v="1"/>
    <n v="5"/>
    <x v="6"/>
    <x v="11"/>
  </r>
  <r>
    <n v="10572"/>
    <x v="19"/>
    <n v="17.45"/>
    <n v="12"/>
    <n v="0.1"/>
    <n v="188.45999999999998"/>
    <x v="5"/>
    <n v="3"/>
    <x v="9"/>
    <x v="11"/>
  </r>
  <r>
    <n v="10572"/>
    <x v="26"/>
    <n v="32"/>
    <n v="10"/>
    <n v="0.1"/>
    <n v="288"/>
    <x v="0"/>
    <n v="4"/>
    <x v="9"/>
    <x v="11"/>
  </r>
  <r>
    <n v="10572"/>
    <x v="37"/>
    <n v="18.399999999999999"/>
    <n v="50"/>
    <n v="0"/>
    <n v="919.99999999999989"/>
    <x v="3"/>
    <n v="8"/>
    <x v="9"/>
    <x v="11"/>
  </r>
  <r>
    <n v="10572"/>
    <x v="48"/>
    <n v="7.75"/>
    <n v="15"/>
    <n v="0.1"/>
    <n v="104.625"/>
    <x v="6"/>
    <n v="1"/>
    <x v="9"/>
    <x v="11"/>
  </r>
  <r>
    <n v="10573"/>
    <x v="35"/>
    <n v="39"/>
    <n v="18"/>
    <n v="0"/>
    <n v="702"/>
    <x v="7"/>
    <n v="6"/>
    <x v="7"/>
    <x v="11"/>
  </r>
  <r>
    <n v="10573"/>
    <x v="53"/>
    <n v="14"/>
    <n v="40"/>
    <n v="0"/>
    <n v="560"/>
    <x v="6"/>
    <n v="1"/>
    <x v="7"/>
    <x v="11"/>
  </r>
  <r>
    <n v="10573"/>
    <x v="22"/>
    <n v="32.799999999999997"/>
    <n v="25"/>
    <n v="0"/>
    <n v="819.99999999999989"/>
    <x v="7"/>
    <n v="6"/>
    <x v="7"/>
    <x v="11"/>
  </r>
  <r>
    <n v="10574"/>
    <x v="10"/>
    <n v="2.5"/>
    <n v="14"/>
    <n v="0"/>
    <n v="35"/>
    <x v="0"/>
    <n v="4"/>
    <x v="8"/>
    <x v="11"/>
  </r>
  <r>
    <n v="10574"/>
    <x v="37"/>
    <n v="18.399999999999999"/>
    <n v="2"/>
    <n v="0"/>
    <n v="36.799999999999997"/>
    <x v="3"/>
    <n v="8"/>
    <x v="8"/>
    <x v="11"/>
  </r>
  <r>
    <n v="10574"/>
    <x v="29"/>
    <n v="49.3"/>
    <n v="10"/>
    <n v="0"/>
    <n v="493"/>
    <x v="5"/>
    <n v="3"/>
    <x v="8"/>
    <x v="11"/>
  </r>
  <r>
    <n v="10574"/>
    <x v="58"/>
    <n v="33.25"/>
    <n v="6"/>
    <n v="0"/>
    <n v="199.5"/>
    <x v="1"/>
    <n v="5"/>
    <x v="8"/>
    <x v="11"/>
  </r>
  <r>
    <n v="10575"/>
    <x v="21"/>
    <n v="55"/>
    <n v="12"/>
    <n v="0"/>
    <n v="660"/>
    <x v="0"/>
    <n v="4"/>
    <x v="1"/>
    <x v="11"/>
  </r>
  <r>
    <n v="10575"/>
    <x v="46"/>
    <n v="43.9"/>
    <n v="6"/>
    <n v="0"/>
    <n v="263.39999999999998"/>
    <x v="4"/>
    <n v="2"/>
    <x v="1"/>
    <x v="11"/>
  </r>
  <r>
    <n v="10575"/>
    <x v="2"/>
    <n v="34.799999999999997"/>
    <n v="30"/>
    <n v="0"/>
    <n v="1044"/>
    <x v="0"/>
    <n v="4"/>
    <x v="1"/>
    <x v="11"/>
  </r>
  <r>
    <n v="10575"/>
    <x v="38"/>
    <n v="18"/>
    <n v="10"/>
    <n v="0"/>
    <n v="180"/>
    <x v="6"/>
    <n v="1"/>
    <x v="1"/>
    <x v="11"/>
  </r>
  <r>
    <n v="10576"/>
    <x v="52"/>
    <n v="18"/>
    <n v="10"/>
    <n v="0"/>
    <n v="180"/>
    <x v="6"/>
    <n v="1"/>
    <x v="7"/>
    <x v="11"/>
  </r>
  <r>
    <n v="10576"/>
    <x v="12"/>
    <n v="12.5"/>
    <n v="20"/>
    <n v="0"/>
    <n v="250"/>
    <x v="0"/>
    <n v="4"/>
    <x v="7"/>
    <x v="11"/>
  </r>
  <r>
    <n v="10576"/>
    <x v="45"/>
    <n v="19.45"/>
    <n v="21"/>
    <n v="0"/>
    <n v="408.45"/>
    <x v="4"/>
    <n v="2"/>
    <x v="7"/>
    <x v="11"/>
  </r>
  <r>
    <n v="10577"/>
    <x v="13"/>
    <n v="18"/>
    <n v="10"/>
    <n v="0"/>
    <n v="180"/>
    <x v="6"/>
    <n v="1"/>
    <x v="8"/>
    <x v="11"/>
  </r>
  <r>
    <n v="10577"/>
    <x v="48"/>
    <n v="7.75"/>
    <n v="20"/>
    <n v="0"/>
    <n v="155"/>
    <x v="6"/>
    <n v="1"/>
    <x v="8"/>
    <x v="11"/>
  </r>
  <r>
    <n v="10577"/>
    <x v="23"/>
    <n v="13"/>
    <n v="18"/>
    <n v="0"/>
    <n v="234"/>
    <x v="4"/>
    <n v="2"/>
    <x v="8"/>
    <x v="11"/>
  </r>
  <r>
    <n v="10578"/>
    <x v="31"/>
    <n v="18"/>
    <n v="20"/>
    <n v="0"/>
    <n v="360"/>
    <x v="6"/>
    <n v="1"/>
    <x v="13"/>
    <x v="11"/>
  </r>
  <r>
    <n v="10578"/>
    <x v="8"/>
    <n v="19.5"/>
    <n v="6"/>
    <n v="0"/>
    <n v="117"/>
    <x v="1"/>
    <n v="5"/>
    <x v="13"/>
    <x v="11"/>
  </r>
  <r>
    <n v="10579"/>
    <x v="50"/>
    <n v="15.5"/>
    <n v="10"/>
    <n v="0"/>
    <n v="155"/>
    <x v="4"/>
    <n v="2"/>
    <x v="8"/>
    <x v="11"/>
  </r>
  <r>
    <n v="10579"/>
    <x v="48"/>
    <n v="7.75"/>
    <n v="21"/>
    <n v="0"/>
    <n v="162.75"/>
    <x v="6"/>
    <n v="1"/>
    <x v="8"/>
    <x v="11"/>
  </r>
  <r>
    <n v="10580"/>
    <x v="3"/>
    <n v="23.25"/>
    <n v="15"/>
    <n v="0.05"/>
    <n v="331.3125"/>
    <x v="2"/>
    <n v="7"/>
    <x v="1"/>
    <x v="11"/>
  </r>
  <r>
    <n v="10580"/>
    <x v="5"/>
    <n v="9.65"/>
    <n v="9"/>
    <n v="0.05"/>
    <n v="82.507500000000007"/>
    <x v="3"/>
    <n v="8"/>
    <x v="1"/>
    <x v="11"/>
  </r>
  <r>
    <n v="10580"/>
    <x v="6"/>
    <n v="21.05"/>
    <n v="30"/>
    <n v="0.05"/>
    <n v="599.92499999999995"/>
    <x v="4"/>
    <n v="2"/>
    <x v="1"/>
    <x v="11"/>
  </r>
  <r>
    <n v="10581"/>
    <x v="48"/>
    <n v="7.75"/>
    <n v="50"/>
    <n v="0.2"/>
    <n v="310"/>
    <x v="6"/>
    <n v="1"/>
    <x v="2"/>
    <x v="11"/>
  </r>
  <r>
    <n v="10582"/>
    <x v="8"/>
    <n v="19.5"/>
    <n v="4"/>
    <n v="0"/>
    <n v="78"/>
    <x v="1"/>
    <n v="5"/>
    <x v="1"/>
    <x v="11"/>
  </r>
  <r>
    <n v="10582"/>
    <x v="38"/>
    <n v="18"/>
    <n v="14"/>
    <n v="0"/>
    <n v="252"/>
    <x v="6"/>
    <n v="1"/>
    <x v="1"/>
    <x v="11"/>
  </r>
  <r>
    <n v="10583"/>
    <x v="39"/>
    <n v="123.79"/>
    <n v="10"/>
    <n v="0"/>
    <n v="1237.9000000000001"/>
    <x v="7"/>
    <n v="6"/>
    <x v="10"/>
    <x v="11"/>
  </r>
  <r>
    <n v="10583"/>
    <x v="11"/>
    <n v="34"/>
    <n v="24"/>
    <n v="0.15"/>
    <n v="693.6"/>
    <x v="0"/>
    <n v="4"/>
    <x v="10"/>
    <x v="11"/>
  </r>
  <r>
    <n v="10583"/>
    <x v="60"/>
    <n v="36"/>
    <n v="10"/>
    <n v="0.15"/>
    <n v="306"/>
    <x v="0"/>
    <n v="4"/>
    <x v="10"/>
    <x v="11"/>
  </r>
  <r>
    <n v="10584"/>
    <x v="12"/>
    <n v="12.5"/>
    <n v="50"/>
    <n v="0.05"/>
    <n v="593.75"/>
    <x v="0"/>
    <n v="4"/>
    <x v="0"/>
    <x v="11"/>
  </r>
  <r>
    <n v="10585"/>
    <x v="69"/>
    <n v="9.5"/>
    <n v="15"/>
    <n v="0"/>
    <n v="142.5"/>
    <x v="5"/>
    <n v="3"/>
    <x v="2"/>
    <x v="0"/>
  </r>
  <r>
    <n v="10586"/>
    <x v="65"/>
    <n v="7"/>
    <n v="4"/>
    <n v="0.15"/>
    <n v="23.8"/>
    <x v="1"/>
    <n v="5"/>
    <x v="11"/>
    <x v="0"/>
  </r>
  <r>
    <n v="10587"/>
    <x v="68"/>
    <n v="31.23"/>
    <n v="6"/>
    <n v="0"/>
    <n v="187.38"/>
    <x v="5"/>
    <n v="3"/>
    <x v="2"/>
    <x v="0"/>
  </r>
  <r>
    <n v="10587"/>
    <x v="31"/>
    <n v="18"/>
    <n v="20"/>
    <n v="0"/>
    <n v="360"/>
    <x v="6"/>
    <n v="1"/>
    <x v="2"/>
    <x v="0"/>
  </r>
  <r>
    <n v="10587"/>
    <x v="23"/>
    <n v="13"/>
    <n v="20"/>
    <n v="0"/>
    <n v="260"/>
    <x v="4"/>
    <n v="2"/>
    <x v="2"/>
    <x v="0"/>
  </r>
  <r>
    <n v="10588"/>
    <x v="59"/>
    <n v="62.5"/>
    <n v="40"/>
    <n v="0.2"/>
    <n v="2000"/>
    <x v="3"/>
    <n v="8"/>
    <x v="1"/>
    <x v="0"/>
  </r>
  <r>
    <n v="10588"/>
    <x v="1"/>
    <n v="14"/>
    <n v="100"/>
    <n v="0.2"/>
    <n v="1120"/>
    <x v="1"/>
    <n v="5"/>
    <x v="1"/>
    <x v="0"/>
  </r>
  <r>
    <n v="10589"/>
    <x v="31"/>
    <n v="18"/>
    <n v="4"/>
    <n v="0"/>
    <n v="72"/>
    <x v="6"/>
    <n v="1"/>
    <x v="8"/>
    <x v="0"/>
  </r>
  <r>
    <n v="10590"/>
    <x v="52"/>
    <n v="18"/>
    <n v="20"/>
    <n v="0"/>
    <n v="360"/>
    <x v="6"/>
    <n v="1"/>
    <x v="16"/>
    <x v="0"/>
  </r>
  <r>
    <n v="10590"/>
    <x v="23"/>
    <n v="13"/>
    <n v="60"/>
    <n v="0.05"/>
    <n v="741"/>
    <x v="4"/>
    <n v="2"/>
    <x v="16"/>
    <x v="0"/>
  </r>
  <r>
    <n v="10591"/>
    <x v="57"/>
    <n v="10"/>
    <n v="14"/>
    <n v="0"/>
    <n v="140"/>
    <x v="4"/>
    <n v="2"/>
    <x v="17"/>
    <x v="0"/>
  </r>
  <r>
    <n v="10591"/>
    <x v="32"/>
    <n v="30"/>
    <n v="10"/>
    <n v="0"/>
    <n v="300"/>
    <x v="2"/>
    <n v="7"/>
    <x v="17"/>
    <x v="0"/>
  </r>
  <r>
    <n v="10591"/>
    <x v="55"/>
    <n v="7.45"/>
    <n v="50"/>
    <n v="0"/>
    <n v="372.5"/>
    <x v="7"/>
    <n v="6"/>
    <x v="17"/>
    <x v="0"/>
  </r>
  <r>
    <n v="10592"/>
    <x v="50"/>
    <n v="15.5"/>
    <n v="25"/>
    <n v="0.05"/>
    <n v="368.125"/>
    <x v="4"/>
    <n v="2"/>
    <x v="1"/>
    <x v="0"/>
  </r>
  <r>
    <n v="10592"/>
    <x v="68"/>
    <n v="31.23"/>
    <n v="5"/>
    <n v="0.05"/>
    <n v="148.3425"/>
    <x v="5"/>
    <n v="3"/>
    <x v="1"/>
    <x v="0"/>
  </r>
  <r>
    <n v="10593"/>
    <x v="9"/>
    <n v="81"/>
    <n v="21"/>
    <n v="0.2"/>
    <n v="1360.8000000000002"/>
    <x v="5"/>
    <n v="3"/>
    <x v="1"/>
    <x v="0"/>
  </r>
  <r>
    <n v="10593"/>
    <x v="60"/>
    <n v="36"/>
    <n v="20"/>
    <n v="0.2"/>
    <n v="576"/>
    <x v="0"/>
    <n v="4"/>
    <x v="1"/>
    <x v="0"/>
  </r>
  <r>
    <n v="10593"/>
    <x v="38"/>
    <n v="18"/>
    <n v="4"/>
    <n v="0.2"/>
    <n v="57.6"/>
    <x v="6"/>
    <n v="1"/>
    <x v="1"/>
    <x v="0"/>
  </r>
  <r>
    <n v="10594"/>
    <x v="65"/>
    <n v="7"/>
    <n v="24"/>
    <n v="0"/>
    <n v="168"/>
    <x v="1"/>
    <n v="5"/>
    <x v="8"/>
    <x v="0"/>
  </r>
  <r>
    <n v="10594"/>
    <x v="64"/>
    <n v="13.25"/>
    <n v="30"/>
    <n v="0"/>
    <n v="397.5"/>
    <x v="3"/>
    <n v="8"/>
    <x v="8"/>
    <x v="0"/>
  </r>
  <r>
    <n v="10595"/>
    <x v="31"/>
    <n v="18"/>
    <n v="30"/>
    <n v="0.25"/>
    <n v="405"/>
    <x v="6"/>
    <n v="1"/>
    <x v="6"/>
    <x v="0"/>
  </r>
  <r>
    <n v="10595"/>
    <x v="75"/>
    <n v="28.5"/>
    <n v="120"/>
    <n v="0.25"/>
    <n v="2565"/>
    <x v="4"/>
    <n v="2"/>
    <x v="6"/>
    <x v="0"/>
  </r>
  <r>
    <n v="10595"/>
    <x v="60"/>
    <n v="36"/>
    <n v="65"/>
    <n v="0.25"/>
    <n v="1755"/>
    <x v="0"/>
    <n v="4"/>
    <x v="6"/>
    <x v="0"/>
  </r>
  <r>
    <n v="10596"/>
    <x v="33"/>
    <n v="38"/>
    <n v="5"/>
    <n v="0.2"/>
    <n v="152"/>
    <x v="1"/>
    <n v="5"/>
    <x v="8"/>
    <x v="0"/>
  </r>
  <r>
    <n v="10596"/>
    <x v="46"/>
    <n v="43.9"/>
    <n v="24"/>
    <n v="0.2"/>
    <n v="842.88"/>
    <x v="4"/>
    <n v="2"/>
    <x v="8"/>
    <x v="0"/>
  </r>
  <r>
    <n v="10596"/>
    <x v="48"/>
    <n v="7.75"/>
    <n v="30"/>
    <n v="0.2"/>
    <n v="186"/>
    <x v="6"/>
    <n v="1"/>
    <x v="8"/>
    <x v="0"/>
  </r>
  <r>
    <n v="10597"/>
    <x v="15"/>
    <n v="4.5"/>
    <n v="35"/>
    <n v="0.2"/>
    <n v="126"/>
    <x v="6"/>
    <n v="1"/>
    <x v="6"/>
    <x v="0"/>
  </r>
  <r>
    <n v="10597"/>
    <x v="8"/>
    <n v="19.5"/>
    <n v="20"/>
    <n v="0"/>
    <n v="390"/>
    <x v="1"/>
    <n v="5"/>
    <x v="6"/>
    <x v="0"/>
  </r>
  <r>
    <n v="10597"/>
    <x v="6"/>
    <n v="21.05"/>
    <n v="12"/>
    <n v="0.2"/>
    <n v="202.08000000000004"/>
    <x v="4"/>
    <n v="2"/>
    <x v="6"/>
    <x v="0"/>
  </r>
  <r>
    <n v="10598"/>
    <x v="24"/>
    <n v="43.9"/>
    <n v="50"/>
    <n v="0"/>
    <n v="2195"/>
    <x v="5"/>
    <n v="3"/>
    <x v="8"/>
    <x v="0"/>
  </r>
  <r>
    <n v="10598"/>
    <x v="42"/>
    <n v="21.5"/>
    <n v="9"/>
    <n v="0"/>
    <n v="193.5"/>
    <x v="0"/>
    <n v="4"/>
    <x v="8"/>
    <x v="0"/>
  </r>
  <r>
    <n v="10599"/>
    <x v="29"/>
    <n v="49.3"/>
    <n v="10"/>
    <n v="0"/>
    <n v="493"/>
    <x v="5"/>
    <n v="3"/>
    <x v="13"/>
    <x v="0"/>
  </r>
  <r>
    <n v="10600"/>
    <x v="55"/>
    <n v="7.45"/>
    <n v="4"/>
    <n v="0"/>
    <n v="29.8"/>
    <x v="7"/>
    <n v="6"/>
    <x v="8"/>
    <x v="0"/>
  </r>
  <r>
    <n v="10600"/>
    <x v="47"/>
    <n v="15"/>
    <n v="30"/>
    <n v="0"/>
    <n v="450"/>
    <x v="3"/>
    <n v="8"/>
    <x v="8"/>
    <x v="0"/>
  </r>
  <r>
    <n v="10601"/>
    <x v="43"/>
    <n v="6"/>
    <n v="60"/>
    <n v="0"/>
    <n v="360"/>
    <x v="3"/>
    <n v="8"/>
    <x v="5"/>
    <x v="0"/>
  </r>
  <r>
    <n v="10601"/>
    <x v="21"/>
    <n v="55"/>
    <n v="35"/>
    <n v="0"/>
    <n v="1925"/>
    <x v="0"/>
    <n v="4"/>
    <x v="5"/>
    <x v="0"/>
  </r>
  <r>
    <n v="10602"/>
    <x v="23"/>
    <n v="13"/>
    <n v="5"/>
    <n v="0.25"/>
    <n v="48.75"/>
    <x v="4"/>
    <n v="2"/>
    <x v="17"/>
    <x v="0"/>
  </r>
  <r>
    <n v="10603"/>
    <x v="7"/>
    <n v="21"/>
    <n v="48"/>
    <n v="0"/>
    <n v="1008"/>
    <x v="1"/>
    <n v="5"/>
    <x v="8"/>
    <x v="0"/>
  </r>
  <r>
    <n v="10603"/>
    <x v="14"/>
    <n v="20"/>
    <n v="25"/>
    <n v="0.05"/>
    <n v="475"/>
    <x v="5"/>
    <n v="3"/>
    <x v="8"/>
    <x v="0"/>
  </r>
  <r>
    <n v="10604"/>
    <x v="74"/>
    <n v="12.75"/>
    <n v="6"/>
    <n v="0.1"/>
    <n v="68.850000000000009"/>
    <x v="5"/>
    <n v="3"/>
    <x v="15"/>
    <x v="0"/>
  </r>
  <r>
    <n v="10604"/>
    <x v="38"/>
    <n v="18"/>
    <n v="10"/>
    <n v="0.1"/>
    <n v="162"/>
    <x v="6"/>
    <n v="1"/>
    <x v="15"/>
    <x v="0"/>
  </r>
  <r>
    <n v="10605"/>
    <x v="19"/>
    <n v="17.45"/>
    <n v="30"/>
    <n v="0.05"/>
    <n v="497.32499999999999"/>
    <x v="5"/>
    <n v="3"/>
    <x v="16"/>
    <x v="0"/>
  </r>
  <r>
    <n v="10605"/>
    <x v="21"/>
    <n v="55"/>
    <n v="20"/>
    <n v="0.05"/>
    <n v="1045"/>
    <x v="0"/>
    <n v="4"/>
    <x v="16"/>
    <x v="0"/>
  </r>
  <r>
    <n v="10605"/>
    <x v="11"/>
    <n v="34"/>
    <n v="70"/>
    <n v="0.05"/>
    <n v="2261"/>
    <x v="0"/>
    <n v="4"/>
    <x v="16"/>
    <x v="0"/>
  </r>
  <r>
    <n v="10605"/>
    <x v="42"/>
    <n v="21.5"/>
    <n v="15"/>
    <n v="0.05"/>
    <n v="306.375"/>
    <x v="0"/>
    <n v="4"/>
    <x v="16"/>
    <x v="0"/>
  </r>
  <r>
    <n v="10606"/>
    <x v="62"/>
    <n v="22"/>
    <n v="20"/>
    <n v="0.2"/>
    <n v="352"/>
    <x v="4"/>
    <n v="2"/>
    <x v="2"/>
    <x v="0"/>
  </r>
  <r>
    <n v="10606"/>
    <x v="16"/>
    <n v="24"/>
    <n v="20"/>
    <n v="0.2"/>
    <n v="384"/>
    <x v="7"/>
    <n v="6"/>
    <x v="2"/>
    <x v="0"/>
  </r>
  <r>
    <n v="10606"/>
    <x v="29"/>
    <n v="49.3"/>
    <n v="10"/>
    <n v="0.2"/>
    <n v="394.40000000000003"/>
    <x v="5"/>
    <n v="3"/>
    <x v="2"/>
    <x v="0"/>
  </r>
  <r>
    <n v="10607"/>
    <x v="32"/>
    <n v="30"/>
    <n v="45"/>
    <n v="0"/>
    <n v="1350"/>
    <x v="2"/>
    <n v="7"/>
    <x v="8"/>
    <x v="0"/>
  </r>
  <r>
    <n v="10607"/>
    <x v="35"/>
    <n v="39"/>
    <n v="100"/>
    <n v="0"/>
    <n v="3900"/>
    <x v="7"/>
    <n v="6"/>
    <x v="8"/>
    <x v="0"/>
  </r>
  <r>
    <n v="10607"/>
    <x v="10"/>
    <n v="2.5"/>
    <n v="14"/>
    <n v="0"/>
    <n v="35"/>
    <x v="0"/>
    <n v="4"/>
    <x v="8"/>
    <x v="0"/>
  </r>
  <r>
    <n v="10607"/>
    <x v="37"/>
    <n v="18.399999999999999"/>
    <n v="42"/>
    <n v="0"/>
    <n v="772.8"/>
    <x v="3"/>
    <n v="8"/>
    <x v="8"/>
    <x v="0"/>
  </r>
  <r>
    <n v="10607"/>
    <x v="2"/>
    <n v="34.799999999999997"/>
    <n v="12"/>
    <n v="0"/>
    <n v="417.59999999999997"/>
    <x v="0"/>
    <n v="4"/>
    <x v="8"/>
    <x v="0"/>
  </r>
  <r>
    <n v="10608"/>
    <x v="33"/>
    <n v="38"/>
    <n v="28"/>
    <n v="0"/>
    <n v="1064"/>
    <x v="1"/>
    <n v="5"/>
    <x v="1"/>
    <x v="0"/>
  </r>
  <r>
    <n v="10609"/>
    <x v="52"/>
    <n v="18"/>
    <n v="3"/>
    <n v="0"/>
    <n v="54"/>
    <x v="6"/>
    <n v="1"/>
    <x v="0"/>
    <x v="0"/>
  </r>
  <r>
    <n v="10609"/>
    <x v="41"/>
    <n v="31"/>
    <n v="10"/>
    <n v="0"/>
    <n v="310"/>
    <x v="3"/>
    <n v="8"/>
    <x v="0"/>
    <x v="0"/>
  </r>
  <r>
    <n v="10609"/>
    <x v="27"/>
    <n v="10"/>
    <n v="6"/>
    <n v="0"/>
    <n v="60"/>
    <x v="5"/>
    <n v="3"/>
    <x v="0"/>
    <x v="0"/>
  </r>
  <r>
    <n v="10610"/>
    <x v="20"/>
    <n v="19"/>
    <n v="21"/>
    <n v="0.25"/>
    <n v="299.25"/>
    <x v="3"/>
    <n v="8"/>
    <x v="0"/>
    <x v="0"/>
  </r>
  <r>
    <n v="10611"/>
    <x v="52"/>
    <n v="18"/>
    <n v="6"/>
    <n v="0"/>
    <n v="108"/>
    <x v="6"/>
    <n v="1"/>
    <x v="18"/>
    <x v="0"/>
  </r>
  <r>
    <n v="10611"/>
    <x v="18"/>
    <n v="19"/>
    <n v="10"/>
    <n v="0"/>
    <n v="190"/>
    <x v="6"/>
    <n v="1"/>
    <x v="18"/>
    <x v="0"/>
  </r>
  <r>
    <n v="10611"/>
    <x v="11"/>
    <n v="34"/>
    <n v="15"/>
    <n v="0"/>
    <n v="510"/>
    <x v="0"/>
    <n v="4"/>
    <x v="18"/>
    <x v="0"/>
  </r>
  <r>
    <n v="10612"/>
    <x v="41"/>
    <n v="31"/>
    <n v="70"/>
    <n v="0"/>
    <n v="2170"/>
    <x v="3"/>
    <n v="8"/>
    <x v="8"/>
    <x v="0"/>
  </r>
  <r>
    <n v="10612"/>
    <x v="20"/>
    <n v="19"/>
    <n v="55"/>
    <n v="0"/>
    <n v="1045"/>
    <x v="3"/>
    <n v="8"/>
    <x v="8"/>
    <x v="0"/>
  </r>
  <r>
    <n v="10612"/>
    <x v="14"/>
    <n v="20"/>
    <n v="18"/>
    <n v="0"/>
    <n v="360"/>
    <x v="5"/>
    <n v="3"/>
    <x v="8"/>
    <x v="0"/>
  </r>
  <r>
    <n v="10612"/>
    <x v="11"/>
    <n v="34"/>
    <n v="40"/>
    <n v="0"/>
    <n v="1360"/>
    <x v="0"/>
    <n v="4"/>
    <x v="8"/>
    <x v="0"/>
  </r>
  <r>
    <n v="10612"/>
    <x v="38"/>
    <n v="18"/>
    <n v="80"/>
    <n v="0"/>
    <n v="1440"/>
    <x v="6"/>
    <n v="1"/>
    <x v="8"/>
    <x v="0"/>
  </r>
  <r>
    <n v="10613"/>
    <x v="43"/>
    <n v="6"/>
    <n v="8"/>
    <n v="0.1"/>
    <n v="43.2"/>
    <x v="3"/>
    <n v="8"/>
    <x v="5"/>
    <x v="0"/>
  </r>
  <r>
    <n v="10613"/>
    <x v="48"/>
    <n v="7.75"/>
    <n v="40"/>
    <n v="0"/>
    <n v="310"/>
    <x v="6"/>
    <n v="1"/>
    <x v="5"/>
    <x v="0"/>
  </r>
  <r>
    <n v="10614"/>
    <x v="0"/>
    <n v="21"/>
    <n v="14"/>
    <n v="0"/>
    <n v="294"/>
    <x v="0"/>
    <n v="4"/>
    <x v="1"/>
    <x v="0"/>
  </r>
  <r>
    <n v="10614"/>
    <x v="27"/>
    <n v="10"/>
    <n v="8"/>
    <n v="0"/>
    <n v="80"/>
    <x v="5"/>
    <n v="3"/>
    <x v="1"/>
    <x v="0"/>
  </r>
  <r>
    <n v="10614"/>
    <x v="13"/>
    <n v="18"/>
    <n v="5"/>
    <n v="0"/>
    <n v="90"/>
    <x v="6"/>
    <n v="1"/>
    <x v="1"/>
    <x v="0"/>
  </r>
  <r>
    <n v="10615"/>
    <x v="16"/>
    <n v="24"/>
    <n v="5"/>
    <n v="0"/>
    <n v="120"/>
    <x v="7"/>
    <n v="6"/>
    <x v="10"/>
    <x v="0"/>
  </r>
  <r>
    <n v="10616"/>
    <x v="67"/>
    <n v="263.5"/>
    <n v="15"/>
    <n v="0.05"/>
    <n v="3754.875"/>
    <x v="6"/>
    <n v="1"/>
    <x v="8"/>
    <x v="0"/>
  </r>
  <r>
    <n v="10616"/>
    <x v="33"/>
    <n v="38"/>
    <n v="14"/>
    <n v="0"/>
    <n v="532"/>
    <x v="1"/>
    <n v="5"/>
    <x v="8"/>
    <x v="0"/>
  </r>
  <r>
    <n v="10616"/>
    <x v="30"/>
    <n v="15"/>
    <n v="15"/>
    <n v="0.05"/>
    <n v="213.75"/>
    <x v="6"/>
    <n v="1"/>
    <x v="8"/>
    <x v="0"/>
  </r>
  <r>
    <n v="10616"/>
    <x v="42"/>
    <n v="21.5"/>
    <n v="15"/>
    <n v="0.05"/>
    <n v="306.375"/>
    <x v="0"/>
    <n v="4"/>
    <x v="8"/>
    <x v="0"/>
  </r>
  <r>
    <n v="10617"/>
    <x v="21"/>
    <n v="55"/>
    <n v="30"/>
    <n v="0.15"/>
    <n v="1402.5"/>
    <x v="0"/>
    <n v="4"/>
    <x v="8"/>
    <x v="0"/>
  </r>
  <r>
    <n v="10618"/>
    <x v="63"/>
    <n v="25"/>
    <n v="70"/>
    <n v="0"/>
    <n v="1750"/>
    <x v="4"/>
    <n v="2"/>
    <x v="16"/>
    <x v="1"/>
  </r>
  <r>
    <n v="10618"/>
    <x v="33"/>
    <n v="38"/>
    <n v="20"/>
    <n v="0"/>
    <n v="760"/>
    <x v="1"/>
    <n v="5"/>
    <x v="16"/>
    <x v="1"/>
  </r>
  <r>
    <n v="10618"/>
    <x v="56"/>
    <n v="12.5"/>
    <n v="15"/>
    <n v="0"/>
    <n v="187.5"/>
    <x v="5"/>
    <n v="3"/>
    <x v="16"/>
    <x v="1"/>
  </r>
  <r>
    <n v="10619"/>
    <x v="27"/>
    <n v="10"/>
    <n v="42"/>
    <n v="0"/>
    <n v="420"/>
    <x v="5"/>
    <n v="3"/>
    <x v="16"/>
    <x v="1"/>
  </r>
  <r>
    <n v="10619"/>
    <x v="7"/>
    <n v="21"/>
    <n v="40"/>
    <n v="0"/>
    <n v="840"/>
    <x v="1"/>
    <n v="5"/>
    <x v="16"/>
    <x v="1"/>
  </r>
  <r>
    <n v="10620"/>
    <x v="15"/>
    <n v="4.5"/>
    <n v="5"/>
    <n v="0"/>
    <n v="22.5"/>
    <x v="6"/>
    <n v="1"/>
    <x v="16"/>
    <x v="1"/>
  </r>
  <r>
    <n v="10620"/>
    <x v="65"/>
    <n v="7"/>
    <n v="5"/>
    <n v="0"/>
    <n v="35"/>
    <x v="1"/>
    <n v="5"/>
    <x v="16"/>
    <x v="1"/>
  </r>
  <r>
    <n v="10621"/>
    <x v="49"/>
    <n v="9.1999999999999993"/>
    <n v="5"/>
    <n v="0"/>
    <n v="46"/>
    <x v="5"/>
    <n v="3"/>
    <x v="13"/>
    <x v="1"/>
  </r>
  <r>
    <n v="10621"/>
    <x v="70"/>
    <n v="9"/>
    <n v="10"/>
    <n v="0"/>
    <n v="90"/>
    <x v="1"/>
    <n v="5"/>
    <x v="13"/>
    <x v="1"/>
  </r>
  <r>
    <n v="10621"/>
    <x v="30"/>
    <n v="15"/>
    <n v="20"/>
    <n v="0"/>
    <n v="300"/>
    <x v="6"/>
    <n v="1"/>
    <x v="13"/>
    <x v="1"/>
  </r>
  <r>
    <n v="10621"/>
    <x v="42"/>
    <n v="21.5"/>
    <n v="15"/>
    <n v="0"/>
    <n v="322.5"/>
    <x v="0"/>
    <n v="4"/>
    <x v="13"/>
    <x v="1"/>
  </r>
  <r>
    <n v="10622"/>
    <x v="18"/>
    <n v="19"/>
    <n v="20"/>
    <n v="0"/>
    <n v="380"/>
    <x v="6"/>
    <n v="1"/>
    <x v="2"/>
    <x v="1"/>
  </r>
  <r>
    <n v="10622"/>
    <x v="56"/>
    <n v="12.5"/>
    <n v="18"/>
    <n v="0.2"/>
    <n v="180"/>
    <x v="5"/>
    <n v="3"/>
    <x v="2"/>
    <x v="1"/>
  </r>
  <r>
    <n v="10623"/>
    <x v="3"/>
    <n v="23.25"/>
    <n v="21"/>
    <n v="0"/>
    <n v="488.25"/>
    <x v="2"/>
    <n v="7"/>
    <x v="1"/>
    <x v="1"/>
  </r>
  <r>
    <n v="10623"/>
    <x v="49"/>
    <n v="9.1999999999999993"/>
    <n v="15"/>
    <n v="0.1"/>
    <n v="124.2"/>
    <x v="5"/>
    <n v="3"/>
    <x v="1"/>
    <x v="1"/>
  </r>
  <r>
    <n v="10623"/>
    <x v="27"/>
    <n v="10"/>
    <n v="25"/>
    <n v="0.1"/>
    <n v="225"/>
    <x v="5"/>
    <n v="3"/>
    <x v="1"/>
    <x v="1"/>
  </r>
  <r>
    <n v="10623"/>
    <x v="15"/>
    <n v="4.5"/>
    <n v="3"/>
    <n v="0"/>
    <n v="13.5"/>
    <x v="6"/>
    <n v="1"/>
    <x v="1"/>
    <x v="1"/>
  </r>
  <r>
    <n v="10623"/>
    <x v="31"/>
    <n v="18"/>
    <n v="30"/>
    <n v="0.1"/>
    <n v="486"/>
    <x v="6"/>
    <n v="1"/>
    <x v="1"/>
    <x v="1"/>
  </r>
  <r>
    <n v="10624"/>
    <x v="44"/>
    <n v="45.6"/>
    <n v="10"/>
    <n v="0"/>
    <n v="456"/>
    <x v="2"/>
    <n v="7"/>
    <x v="8"/>
    <x v="1"/>
  </r>
  <r>
    <n v="10624"/>
    <x v="39"/>
    <n v="123.79"/>
    <n v="6"/>
    <n v="0"/>
    <n v="742.74"/>
    <x v="7"/>
    <n v="6"/>
    <x v="8"/>
    <x v="1"/>
  </r>
  <r>
    <n v="10624"/>
    <x v="45"/>
    <n v="19.45"/>
    <n v="10"/>
    <n v="0"/>
    <n v="194.5"/>
    <x v="4"/>
    <n v="2"/>
    <x v="8"/>
    <x v="1"/>
  </r>
  <r>
    <n v="10625"/>
    <x v="3"/>
    <n v="23.25"/>
    <n v="3"/>
    <n v="0"/>
    <n v="69.75"/>
    <x v="2"/>
    <n v="7"/>
    <x v="7"/>
    <x v="1"/>
  </r>
  <r>
    <n v="10625"/>
    <x v="1"/>
    <n v="14"/>
    <n v="5"/>
    <n v="0"/>
    <n v="70"/>
    <x v="1"/>
    <n v="5"/>
    <x v="7"/>
    <x v="1"/>
  </r>
  <r>
    <n v="10625"/>
    <x v="11"/>
    <n v="34"/>
    <n v="10"/>
    <n v="0"/>
    <n v="340"/>
    <x v="0"/>
    <n v="4"/>
    <x v="7"/>
    <x v="1"/>
  </r>
  <r>
    <n v="10626"/>
    <x v="22"/>
    <n v="32.799999999999997"/>
    <n v="12"/>
    <n v="0"/>
    <n v="393.59999999999997"/>
    <x v="7"/>
    <n v="6"/>
    <x v="9"/>
    <x v="1"/>
  </r>
  <r>
    <n v="10626"/>
    <x v="11"/>
    <n v="34"/>
    <n v="20"/>
    <n v="0"/>
    <n v="680"/>
    <x v="0"/>
    <n v="4"/>
    <x v="9"/>
    <x v="1"/>
  </r>
  <r>
    <n v="10626"/>
    <x v="42"/>
    <n v="21.5"/>
    <n v="20"/>
    <n v="0"/>
    <n v="430"/>
    <x v="0"/>
    <n v="4"/>
    <x v="9"/>
    <x v="1"/>
  </r>
  <r>
    <n v="10627"/>
    <x v="29"/>
    <n v="49.3"/>
    <n v="15"/>
    <n v="0"/>
    <n v="739.5"/>
    <x v="5"/>
    <n v="3"/>
    <x v="8"/>
    <x v="1"/>
  </r>
  <r>
    <n v="10627"/>
    <x v="47"/>
    <n v="15"/>
    <n v="35"/>
    <n v="0.15"/>
    <n v="446.25"/>
    <x v="3"/>
    <n v="8"/>
    <x v="8"/>
    <x v="1"/>
  </r>
  <r>
    <n v="10628"/>
    <x v="52"/>
    <n v="18"/>
    <n v="25"/>
    <n v="0"/>
    <n v="450"/>
    <x v="6"/>
    <n v="1"/>
    <x v="0"/>
    <x v="1"/>
  </r>
  <r>
    <n v="10629"/>
    <x v="39"/>
    <n v="123.79"/>
    <n v="20"/>
    <n v="0"/>
    <n v="2475.8000000000002"/>
    <x v="7"/>
    <n v="6"/>
    <x v="12"/>
    <x v="1"/>
  </r>
  <r>
    <n v="10629"/>
    <x v="58"/>
    <n v="33.25"/>
    <n v="9"/>
    <n v="0"/>
    <n v="299.25"/>
    <x v="1"/>
    <n v="5"/>
    <x v="12"/>
    <x v="1"/>
  </r>
  <r>
    <n v="10630"/>
    <x v="16"/>
    <n v="24"/>
    <n v="12"/>
    <n v="0.05"/>
    <n v="273.59999999999997"/>
    <x v="7"/>
    <n v="6"/>
    <x v="1"/>
    <x v="1"/>
  </r>
  <r>
    <n v="10630"/>
    <x v="38"/>
    <n v="18"/>
    <n v="35"/>
    <n v="0"/>
    <n v="630"/>
    <x v="6"/>
    <n v="1"/>
    <x v="1"/>
    <x v="1"/>
  </r>
  <r>
    <n v="10631"/>
    <x v="48"/>
    <n v="7.75"/>
    <n v="8"/>
    <n v="0.1"/>
    <n v="55.800000000000004"/>
    <x v="6"/>
    <n v="1"/>
    <x v="0"/>
    <x v="1"/>
  </r>
  <r>
    <n v="10632"/>
    <x v="18"/>
    <n v="19"/>
    <n v="30"/>
    <n v="0.05"/>
    <n v="541.5"/>
    <x v="6"/>
    <n v="1"/>
    <x v="1"/>
    <x v="1"/>
  </r>
  <r>
    <n v="10632"/>
    <x v="10"/>
    <n v="2.5"/>
    <n v="20"/>
    <n v="0.05"/>
    <n v="47.5"/>
    <x v="0"/>
    <n v="4"/>
    <x v="1"/>
    <x v="1"/>
  </r>
  <r>
    <n v="10633"/>
    <x v="36"/>
    <n v="38"/>
    <n v="36"/>
    <n v="0.15"/>
    <n v="1162.8"/>
    <x v="0"/>
    <n v="4"/>
    <x v="6"/>
    <x v="1"/>
  </r>
  <r>
    <n v="10633"/>
    <x v="43"/>
    <n v="6"/>
    <n v="13"/>
    <n v="0.15"/>
    <n v="66.3"/>
    <x v="3"/>
    <n v="8"/>
    <x v="6"/>
    <x v="1"/>
  </r>
  <r>
    <n v="10633"/>
    <x v="68"/>
    <n v="31.23"/>
    <n v="35"/>
    <n v="0.15"/>
    <n v="929.09249999999997"/>
    <x v="5"/>
    <n v="3"/>
    <x v="6"/>
    <x v="1"/>
  </r>
  <r>
    <n v="10633"/>
    <x v="29"/>
    <n v="49.3"/>
    <n v="80"/>
    <n v="0.15"/>
    <n v="3352.4"/>
    <x v="5"/>
    <n v="3"/>
    <x v="6"/>
    <x v="1"/>
  </r>
  <r>
    <n v="10634"/>
    <x v="32"/>
    <n v="30"/>
    <n v="35"/>
    <n v="0"/>
    <n v="1050"/>
    <x v="2"/>
    <n v="7"/>
    <x v="0"/>
    <x v="1"/>
  </r>
  <r>
    <n v="10634"/>
    <x v="59"/>
    <n v="62.5"/>
    <n v="50"/>
    <n v="0"/>
    <n v="3125"/>
    <x v="3"/>
    <n v="8"/>
    <x v="0"/>
    <x v="1"/>
  </r>
  <r>
    <n v="10634"/>
    <x v="4"/>
    <n v="53"/>
    <n v="15"/>
    <n v="0"/>
    <n v="795"/>
    <x v="2"/>
    <n v="7"/>
    <x v="0"/>
    <x v="1"/>
  </r>
  <r>
    <n v="10634"/>
    <x v="48"/>
    <n v="7.75"/>
    <n v="2"/>
    <n v="0"/>
    <n v="15.5"/>
    <x v="6"/>
    <n v="1"/>
    <x v="0"/>
    <x v="1"/>
  </r>
  <r>
    <n v="10635"/>
    <x v="62"/>
    <n v="22"/>
    <n v="10"/>
    <n v="0.1"/>
    <n v="198"/>
    <x v="4"/>
    <n v="2"/>
    <x v="11"/>
    <x v="1"/>
  </r>
  <r>
    <n v="10635"/>
    <x v="25"/>
    <n v="21.35"/>
    <n v="15"/>
    <n v="0.1"/>
    <n v="288.22500000000002"/>
    <x v="4"/>
    <n v="2"/>
    <x v="11"/>
    <x v="1"/>
  </r>
  <r>
    <n v="10635"/>
    <x v="7"/>
    <n v="21"/>
    <n v="40"/>
    <n v="0"/>
    <n v="840"/>
    <x v="1"/>
    <n v="5"/>
    <x v="11"/>
    <x v="1"/>
  </r>
  <r>
    <n v="10636"/>
    <x v="62"/>
    <n v="22"/>
    <n v="25"/>
    <n v="0"/>
    <n v="550"/>
    <x v="4"/>
    <n v="2"/>
    <x v="10"/>
    <x v="1"/>
  </r>
  <r>
    <n v="10636"/>
    <x v="64"/>
    <n v="13.25"/>
    <n v="6"/>
    <n v="0"/>
    <n v="79.5"/>
    <x v="3"/>
    <n v="8"/>
    <x v="10"/>
    <x v="1"/>
  </r>
  <r>
    <n v="10637"/>
    <x v="0"/>
    <n v="21"/>
    <n v="10"/>
    <n v="0"/>
    <n v="210"/>
    <x v="0"/>
    <n v="4"/>
    <x v="2"/>
    <x v="1"/>
  </r>
  <r>
    <n v="10637"/>
    <x v="72"/>
    <n v="16.25"/>
    <n v="25"/>
    <n v="0.05"/>
    <n v="385.9375"/>
    <x v="5"/>
    <n v="3"/>
    <x v="2"/>
    <x v="1"/>
  </r>
  <r>
    <n v="10637"/>
    <x v="33"/>
    <n v="38"/>
    <n v="60"/>
    <n v="0.05"/>
    <n v="2166"/>
    <x v="1"/>
    <n v="5"/>
    <x v="2"/>
    <x v="1"/>
  </r>
  <r>
    <n v="10638"/>
    <x v="73"/>
    <n v="9.5"/>
    <n v="20"/>
    <n v="0"/>
    <n v="190"/>
    <x v="3"/>
    <n v="8"/>
    <x v="5"/>
    <x v="1"/>
  </r>
  <r>
    <n v="10638"/>
    <x v="6"/>
    <n v="21.05"/>
    <n v="21"/>
    <n v="0"/>
    <n v="442.05"/>
    <x v="4"/>
    <n v="2"/>
    <x v="5"/>
    <x v="1"/>
  </r>
  <r>
    <n v="10638"/>
    <x v="2"/>
    <n v="34.799999999999997"/>
    <n v="60"/>
    <n v="0"/>
    <n v="2088"/>
    <x v="0"/>
    <n v="4"/>
    <x v="5"/>
    <x v="1"/>
  </r>
  <r>
    <n v="10639"/>
    <x v="59"/>
    <n v="62.5"/>
    <n v="8"/>
    <n v="0"/>
    <n v="500"/>
    <x v="3"/>
    <n v="8"/>
    <x v="19"/>
    <x v="1"/>
  </r>
  <r>
    <n v="10640"/>
    <x v="60"/>
    <n v="36"/>
    <n v="20"/>
    <n v="0.25"/>
    <n v="540"/>
    <x v="0"/>
    <n v="4"/>
    <x v="1"/>
    <x v="1"/>
  </r>
  <r>
    <n v="10640"/>
    <x v="30"/>
    <n v="15"/>
    <n v="15"/>
    <n v="0.25"/>
    <n v="168.75"/>
    <x v="6"/>
    <n v="1"/>
    <x v="1"/>
    <x v="1"/>
  </r>
  <r>
    <n v="10641"/>
    <x v="18"/>
    <n v="19"/>
    <n v="50"/>
    <n v="0"/>
    <n v="950"/>
    <x v="6"/>
    <n v="1"/>
    <x v="5"/>
    <x v="1"/>
  </r>
  <r>
    <n v="10641"/>
    <x v="37"/>
    <n v="18.399999999999999"/>
    <n v="60"/>
    <n v="0"/>
    <n v="1104"/>
    <x v="3"/>
    <n v="8"/>
    <x v="5"/>
    <x v="1"/>
  </r>
  <r>
    <n v="10642"/>
    <x v="27"/>
    <n v="10"/>
    <n v="30"/>
    <n v="0.2"/>
    <n v="240"/>
    <x v="5"/>
    <n v="3"/>
    <x v="17"/>
    <x v="1"/>
  </r>
  <r>
    <n v="10642"/>
    <x v="75"/>
    <n v="28.5"/>
    <n v="20"/>
    <n v="0.2"/>
    <n v="456"/>
    <x v="4"/>
    <n v="2"/>
    <x v="17"/>
    <x v="1"/>
  </r>
  <r>
    <n v="10643"/>
    <x v="44"/>
    <n v="45.6"/>
    <n v="15"/>
    <n v="0.25"/>
    <n v="513"/>
    <x v="2"/>
    <n v="7"/>
    <x v="1"/>
    <x v="1"/>
  </r>
  <r>
    <n v="10643"/>
    <x v="13"/>
    <n v="18"/>
    <n v="21"/>
    <n v="0.25"/>
    <n v="283.5"/>
    <x v="6"/>
    <n v="1"/>
    <x v="1"/>
    <x v="1"/>
  </r>
  <r>
    <n v="10643"/>
    <x v="54"/>
    <n v="12"/>
    <n v="2"/>
    <n v="0.25"/>
    <n v="18"/>
    <x v="3"/>
    <n v="8"/>
    <x v="1"/>
    <x v="1"/>
  </r>
  <r>
    <n v="10644"/>
    <x v="59"/>
    <n v="62.5"/>
    <n v="4"/>
    <n v="0.1"/>
    <n v="225"/>
    <x v="3"/>
    <n v="8"/>
    <x v="2"/>
    <x v="1"/>
  </r>
  <r>
    <n v="10644"/>
    <x v="40"/>
    <n v="46"/>
    <n v="20"/>
    <n v="0"/>
    <n v="920"/>
    <x v="6"/>
    <n v="1"/>
    <x v="2"/>
    <x v="1"/>
  </r>
  <r>
    <n v="10644"/>
    <x v="54"/>
    <n v="12"/>
    <n v="21"/>
    <n v="0.1"/>
    <n v="226.8"/>
    <x v="3"/>
    <n v="8"/>
    <x v="2"/>
    <x v="1"/>
  </r>
  <r>
    <n v="10645"/>
    <x v="59"/>
    <n v="62.5"/>
    <n v="20"/>
    <n v="0"/>
    <n v="1250"/>
    <x v="3"/>
    <n v="8"/>
    <x v="2"/>
    <x v="1"/>
  </r>
  <r>
    <n v="10645"/>
    <x v="20"/>
    <n v="19"/>
    <n v="15"/>
    <n v="0"/>
    <n v="285"/>
    <x v="3"/>
    <n v="8"/>
    <x v="2"/>
    <x v="1"/>
  </r>
  <r>
    <n v="10646"/>
    <x v="52"/>
    <n v="18"/>
    <n v="15"/>
    <n v="0.25"/>
    <n v="202.5"/>
    <x v="6"/>
    <n v="1"/>
    <x v="14"/>
    <x v="1"/>
  </r>
  <r>
    <n v="10646"/>
    <x v="41"/>
    <n v="31"/>
    <n v="18"/>
    <n v="0.25"/>
    <n v="418.5"/>
    <x v="3"/>
    <n v="8"/>
    <x v="14"/>
    <x v="1"/>
  </r>
  <r>
    <n v="10646"/>
    <x v="42"/>
    <n v="21.5"/>
    <n v="30"/>
    <n v="0.25"/>
    <n v="483.75"/>
    <x v="0"/>
    <n v="4"/>
    <x v="14"/>
    <x v="1"/>
  </r>
  <r>
    <n v="10646"/>
    <x v="23"/>
    <n v="13"/>
    <n v="35"/>
    <n v="0.25"/>
    <n v="341.25"/>
    <x v="4"/>
    <n v="2"/>
    <x v="14"/>
    <x v="1"/>
  </r>
  <r>
    <n v="10647"/>
    <x v="49"/>
    <n v="9.1999999999999993"/>
    <n v="30"/>
    <n v="0"/>
    <n v="276"/>
    <x v="5"/>
    <n v="3"/>
    <x v="2"/>
    <x v="1"/>
  </r>
  <r>
    <n v="10647"/>
    <x v="13"/>
    <n v="18"/>
    <n v="20"/>
    <n v="0"/>
    <n v="360"/>
    <x v="6"/>
    <n v="1"/>
    <x v="2"/>
    <x v="1"/>
  </r>
  <r>
    <n v="10648"/>
    <x v="7"/>
    <n v="21"/>
    <n v="15"/>
    <n v="0"/>
    <n v="315"/>
    <x v="1"/>
    <n v="5"/>
    <x v="2"/>
    <x v="1"/>
  </r>
  <r>
    <n v="10648"/>
    <x v="15"/>
    <n v="4.5"/>
    <n v="15"/>
    <n v="0.15"/>
    <n v="57.375"/>
    <x v="6"/>
    <n v="1"/>
    <x v="2"/>
    <x v="1"/>
  </r>
  <r>
    <n v="10649"/>
    <x v="44"/>
    <n v="45.6"/>
    <n v="20"/>
    <n v="0"/>
    <n v="912"/>
    <x v="2"/>
    <n v="7"/>
    <x v="3"/>
    <x v="1"/>
  </r>
  <r>
    <n v="10649"/>
    <x v="2"/>
    <n v="34.799999999999997"/>
    <n v="15"/>
    <n v="0"/>
    <n v="522"/>
    <x v="0"/>
    <n v="4"/>
    <x v="3"/>
    <x v="1"/>
  </r>
  <r>
    <n v="10650"/>
    <x v="34"/>
    <n v="25.89"/>
    <n v="30"/>
    <n v="0"/>
    <n v="776.7"/>
    <x v="3"/>
    <n v="8"/>
    <x v="2"/>
    <x v="1"/>
  </r>
  <r>
    <n v="10650"/>
    <x v="22"/>
    <n v="32.799999999999997"/>
    <n v="25"/>
    <n v="0.05"/>
    <n v="778.99999999999989"/>
    <x v="7"/>
    <n v="6"/>
    <x v="2"/>
    <x v="1"/>
  </r>
  <r>
    <n v="10650"/>
    <x v="55"/>
    <n v="7.45"/>
    <n v="30"/>
    <n v="0"/>
    <n v="223.5"/>
    <x v="7"/>
    <n v="6"/>
    <x v="2"/>
    <x v="1"/>
  </r>
  <r>
    <n v="10651"/>
    <x v="49"/>
    <n v="9.1999999999999993"/>
    <n v="12"/>
    <n v="0.25"/>
    <n v="82.8"/>
    <x v="5"/>
    <n v="3"/>
    <x v="1"/>
    <x v="2"/>
  </r>
  <r>
    <n v="10651"/>
    <x v="7"/>
    <n v="21"/>
    <n v="20"/>
    <n v="0.25"/>
    <n v="315"/>
    <x v="1"/>
    <n v="5"/>
    <x v="1"/>
    <x v="2"/>
  </r>
  <r>
    <n v="10652"/>
    <x v="34"/>
    <n v="25.89"/>
    <n v="2"/>
    <n v="0.25"/>
    <n v="38.835000000000001"/>
    <x v="3"/>
    <n v="8"/>
    <x v="2"/>
    <x v="2"/>
  </r>
  <r>
    <n v="10652"/>
    <x v="1"/>
    <n v="14"/>
    <n v="20"/>
    <n v="0"/>
    <n v="280"/>
    <x v="1"/>
    <n v="5"/>
    <x v="2"/>
    <x v="2"/>
  </r>
  <r>
    <n v="10653"/>
    <x v="19"/>
    <n v="17.45"/>
    <n v="30"/>
    <n v="0.1"/>
    <n v="471.15000000000003"/>
    <x v="5"/>
    <n v="3"/>
    <x v="1"/>
    <x v="2"/>
  </r>
  <r>
    <n v="10653"/>
    <x v="11"/>
    <n v="34"/>
    <n v="20"/>
    <n v="0.1"/>
    <n v="612"/>
    <x v="0"/>
    <n v="4"/>
    <x v="1"/>
    <x v="2"/>
  </r>
  <r>
    <n v="10654"/>
    <x v="62"/>
    <n v="22"/>
    <n v="12"/>
    <n v="0.1"/>
    <n v="237.6"/>
    <x v="4"/>
    <n v="2"/>
    <x v="9"/>
    <x v="2"/>
  </r>
  <r>
    <n v="10654"/>
    <x v="13"/>
    <n v="18"/>
    <n v="20"/>
    <n v="0.1"/>
    <n v="324"/>
    <x v="6"/>
    <n v="1"/>
    <x v="9"/>
    <x v="2"/>
  </r>
  <r>
    <n v="10654"/>
    <x v="55"/>
    <n v="7.45"/>
    <n v="6"/>
    <n v="0.1"/>
    <n v="40.230000000000004"/>
    <x v="7"/>
    <n v="6"/>
    <x v="9"/>
    <x v="2"/>
  </r>
  <r>
    <n v="10655"/>
    <x v="5"/>
    <n v="9.65"/>
    <n v="20"/>
    <n v="0.2"/>
    <n v="154.4"/>
    <x v="3"/>
    <n v="8"/>
    <x v="11"/>
    <x v="2"/>
  </r>
  <r>
    <n v="10656"/>
    <x v="3"/>
    <n v="23.25"/>
    <n v="3"/>
    <n v="0.1"/>
    <n v="62.774999999999999"/>
    <x v="2"/>
    <n v="7"/>
    <x v="8"/>
    <x v="2"/>
  </r>
  <r>
    <n v="10656"/>
    <x v="45"/>
    <n v="19.45"/>
    <n v="28"/>
    <n v="0.1"/>
    <n v="490.14000000000004"/>
    <x v="4"/>
    <n v="2"/>
    <x v="8"/>
    <x v="2"/>
  </r>
  <r>
    <n v="10656"/>
    <x v="69"/>
    <n v="9.5"/>
    <n v="6"/>
    <n v="0.1"/>
    <n v="51.300000000000004"/>
    <x v="5"/>
    <n v="3"/>
    <x v="8"/>
    <x v="2"/>
  </r>
  <r>
    <n v="10657"/>
    <x v="50"/>
    <n v="15.5"/>
    <n v="50"/>
    <n v="0"/>
    <n v="775"/>
    <x v="4"/>
    <n v="2"/>
    <x v="8"/>
    <x v="2"/>
  </r>
  <r>
    <n v="10657"/>
    <x v="5"/>
    <n v="9.65"/>
    <n v="24"/>
    <n v="0"/>
    <n v="231.60000000000002"/>
    <x v="3"/>
    <n v="8"/>
    <x v="8"/>
    <x v="2"/>
  </r>
  <r>
    <n v="10657"/>
    <x v="54"/>
    <n v="12"/>
    <n v="45"/>
    <n v="0"/>
    <n v="540"/>
    <x v="3"/>
    <n v="8"/>
    <x v="8"/>
    <x v="2"/>
  </r>
  <r>
    <n v="10657"/>
    <x v="69"/>
    <n v="9.5"/>
    <n v="10"/>
    <n v="0"/>
    <n v="95"/>
    <x v="5"/>
    <n v="3"/>
    <x v="8"/>
    <x v="2"/>
  </r>
  <r>
    <n v="10657"/>
    <x v="33"/>
    <n v="38"/>
    <n v="45"/>
    <n v="0"/>
    <n v="1710"/>
    <x v="1"/>
    <n v="5"/>
    <x v="8"/>
    <x v="2"/>
  </r>
  <r>
    <n v="10657"/>
    <x v="11"/>
    <n v="34"/>
    <n v="30"/>
    <n v="0"/>
    <n v="1020"/>
    <x v="0"/>
    <n v="4"/>
    <x v="8"/>
    <x v="2"/>
  </r>
  <r>
    <n v="10658"/>
    <x v="27"/>
    <n v="10"/>
    <n v="60"/>
    <n v="0"/>
    <n v="600"/>
    <x v="5"/>
    <n v="3"/>
    <x v="1"/>
    <x v="2"/>
  </r>
  <r>
    <n v="10658"/>
    <x v="37"/>
    <n v="18.399999999999999"/>
    <n v="70"/>
    <n v="0.05"/>
    <n v="1223.5999999999999"/>
    <x v="3"/>
    <n v="8"/>
    <x v="1"/>
    <x v="2"/>
  </r>
  <r>
    <n v="10658"/>
    <x v="11"/>
    <n v="34"/>
    <n v="55"/>
    <n v="0.05"/>
    <n v="1776.5"/>
    <x v="0"/>
    <n v="4"/>
    <x v="1"/>
    <x v="2"/>
  </r>
  <r>
    <n v="10658"/>
    <x v="23"/>
    <n v="13"/>
    <n v="70"/>
    <n v="0.05"/>
    <n v="864.5"/>
    <x v="4"/>
    <n v="2"/>
    <x v="1"/>
    <x v="2"/>
  </r>
  <r>
    <n v="10659"/>
    <x v="12"/>
    <n v="12.5"/>
    <n v="20"/>
    <n v="0.05"/>
    <n v="237.5"/>
    <x v="0"/>
    <n v="4"/>
    <x v="2"/>
    <x v="2"/>
  </r>
  <r>
    <n v="10659"/>
    <x v="37"/>
    <n v="18.399999999999999"/>
    <n v="24"/>
    <n v="0.05"/>
    <n v="419.51999999999992"/>
    <x v="3"/>
    <n v="8"/>
    <x v="2"/>
    <x v="2"/>
  </r>
  <r>
    <n v="10659"/>
    <x v="30"/>
    <n v="15"/>
    <n v="40"/>
    <n v="0.05"/>
    <n v="570"/>
    <x v="6"/>
    <n v="1"/>
    <x v="2"/>
    <x v="2"/>
  </r>
  <r>
    <n v="10660"/>
    <x v="9"/>
    <n v="81"/>
    <n v="21"/>
    <n v="0"/>
    <n v="1701"/>
    <x v="5"/>
    <n v="3"/>
    <x v="8"/>
    <x v="2"/>
  </r>
  <r>
    <n v="10661"/>
    <x v="13"/>
    <n v="18"/>
    <n v="3"/>
    <n v="0.2"/>
    <n v="43.2"/>
    <x v="6"/>
    <n v="1"/>
    <x v="14"/>
    <x v="2"/>
  </r>
  <r>
    <n v="10661"/>
    <x v="64"/>
    <n v="13.25"/>
    <n v="49"/>
    <n v="0.2"/>
    <n v="519.4"/>
    <x v="3"/>
    <n v="8"/>
    <x v="14"/>
    <x v="2"/>
  </r>
  <r>
    <n v="10662"/>
    <x v="56"/>
    <n v="12.5"/>
    <n v="10"/>
    <n v="0"/>
    <n v="125"/>
    <x v="5"/>
    <n v="3"/>
    <x v="8"/>
    <x v="2"/>
  </r>
  <r>
    <n v="10663"/>
    <x v="37"/>
    <n v="18.399999999999999"/>
    <n v="30"/>
    <n v="0.05"/>
    <n v="524.4"/>
    <x v="3"/>
    <n v="8"/>
    <x v="0"/>
    <x v="2"/>
  </r>
  <r>
    <n v="10663"/>
    <x v="1"/>
    <n v="14"/>
    <n v="30"/>
    <n v="0.05"/>
    <n v="399"/>
    <x v="1"/>
    <n v="5"/>
    <x v="0"/>
    <x v="2"/>
  </r>
  <r>
    <n v="10663"/>
    <x v="4"/>
    <n v="53"/>
    <n v="20"/>
    <n v="0.05"/>
    <n v="1007"/>
    <x v="2"/>
    <n v="7"/>
    <x v="0"/>
    <x v="2"/>
  </r>
  <r>
    <n v="10664"/>
    <x v="41"/>
    <n v="31"/>
    <n v="24"/>
    <n v="0.15"/>
    <n v="632.4"/>
    <x v="3"/>
    <n v="8"/>
    <x v="15"/>
    <x v="2"/>
  </r>
  <r>
    <n v="10664"/>
    <x v="33"/>
    <n v="38"/>
    <n v="12"/>
    <n v="0.15"/>
    <n v="387.59999999999997"/>
    <x v="1"/>
    <n v="5"/>
    <x v="15"/>
    <x v="2"/>
  </r>
  <r>
    <n v="10664"/>
    <x v="6"/>
    <n v="21.05"/>
    <n v="15"/>
    <n v="0.15"/>
    <n v="268.38749999999999"/>
    <x v="4"/>
    <n v="2"/>
    <x v="15"/>
    <x v="2"/>
  </r>
  <r>
    <n v="10665"/>
    <x v="4"/>
    <n v="53"/>
    <n v="20"/>
    <n v="0"/>
    <n v="1060"/>
    <x v="2"/>
    <n v="7"/>
    <x v="8"/>
    <x v="2"/>
  </r>
  <r>
    <n v="10665"/>
    <x v="21"/>
    <n v="55"/>
    <n v="1"/>
    <n v="0"/>
    <n v="55"/>
    <x v="0"/>
    <n v="4"/>
    <x v="8"/>
    <x v="2"/>
  </r>
  <r>
    <n v="10665"/>
    <x v="38"/>
    <n v="18"/>
    <n v="10"/>
    <n v="0"/>
    <n v="180"/>
    <x v="6"/>
    <n v="1"/>
    <x v="8"/>
    <x v="2"/>
  </r>
  <r>
    <n v="10666"/>
    <x v="39"/>
    <n v="123.79"/>
    <n v="36"/>
    <n v="0"/>
    <n v="4456.4400000000005"/>
    <x v="7"/>
    <n v="6"/>
    <x v="4"/>
    <x v="2"/>
  </r>
  <r>
    <n v="10666"/>
    <x v="6"/>
    <n v="21.05"/>
    <n v="10"/>
    <n v="0"/>
    <n v="210.5"/>
    <x v="4"/>
    <n v="2"/>
    <x v="4"/>
    <x v="2"/>
  </r>
  <r>
    <n v="10667"/>
    <x v="60"/>
    <n v="36"/>
    <n v="45"/>
    <n v="0.2"/>
    <n v="1296"/>
    <x v="0"/>
    <n v="4"/>
    <x v="6"/>
    <x v="2"/>
  </r>
  <r>
    <n v="10667"/>
    <x v="42"/>
    <n v="21.5"/>
    <n v="14"/>
    <n v="0.2"/>
    <n v="240.8"/>
    <x v="0"/>
    <n v="4"/>
    <x v="6"/>
    <x v="2"/>
  </r>
  <r>
    <n v="10668"/>
    <x v="12"/>
    <n v="12.5"/>
    <n v="8"/>
    <n v="0.1"/>
    <n v="90"/>
    <x v="0"/>
    <n v="4"/>
    <x v="1"/>
    <x v="2"/>
  </r>
  <r>
    <n v="10668"/>
    <x v="16"/>
    <n v="24"/>
    <n v="4"/>
    <n v="0.1"/>
    <n v="86.4"/>
    <x v="7"/>
    <n v="6"/>
    <x v="1"/>
    <x v="2"/>
  </r>
  <r>
    <n v="10668"/>
    <x v="58"/>
    <n v="33.25"/>
    <n v="15"/>
    <n v="0.1"/>
    <n v="448.875"/>
    <x v="1"/>
    <n v="5"/>
    <x v="1"/>
    <x v="2"/>
  </r>
  <r>
    <n v="10669"/>
    <x v="20"/>
    <n v="19"/>
    <n v="30"/>
    <n v="0"/>
    <n v="570"/>
    <x v="3"/>
    <n v="8"/>
    <x v="17"/>
    <x v="2"/>
  </r>
  <r>
    <n v="10670"/>
    <x v="70"/>
    <n v="9"/>
    <n v="32"/>
    <n v="0"/>
    <n v="288"/>
    <x v="1"/>
    <n v="5"/>
    <x v="1"/>
    <x v="2"/>
  </r>
  <r>
    <n v="10670"/>
    <x v="54"/>
    <n v="12"/>
    <n v="60"/>
    <n v="0"/>
    <n v="720"/>
    <x v="3"/>
    <n v="8"/>
    <x v="1"/>
    <x v="2"/>
  </r>
  <r>
    <n v="10670"/>
    <x v="51"/>
    <n v="14"/>
    <n v="25"/>
    <n v="0"/>
    <n v="350"/>
    <x v="6"/>
    <n v="1"/>
    <x v="1"/>
    <x v="2"/>
  </r>
  <r>
    <n v="10670"/>
    <x v="47"/>
    <n v="15"/>
    <n v="50"/>
    <n v="0"/>
    <n v="750"/>
    <x v="3"/>
    <n v="8"/>
    <x v="1"/>
    <x v="2"/>
  </r>
  <r>
    <n v="10670"/>
    <x v="48"/>
    <n v="7.75"/>
    <n v="25"/>
    <n v="0"/>
    <n v="193.75"/>
    <x v="6"/>
    <n v="1"/>
    <x v="1"/>
    <x v="2"/>
  </r>
  <r>
    <n v="10671"/>
    <x v="19"/>
    <n v="17.45"/>
    <n v="10"/>
    <n v="0"/>
    <n v="174.5"/>
    <x v="5"/>
    <n v="3"/>
    <x v="0"/>
    <x v="2"/>
  </r>
  <r>
    <n v="10671"/>
    <x v="29"/>
    <n v="49.3"/>
    <n v="10"/>
    <n v="0"/>
    <n v="493"/>
    <x v="5"/>
    <n v="3"/>
    <x v="0"/>
    <x v="2"/>
  </r>
  <r>
    <n v="10671"/>
    <x v="6"/>
    <n v="21.05"/>
    <n v="12"/>
    <n v="0"/>
    <n v="252.60000000000002"/>
    <x v="4"/>
    <n v="2"/>
    <x v="0"/>
    <x v="2"/>
  </r>
  <r>
    <n v="10672"/>
    <x v="67"/>
    <n v="263.5"/>
    <n v="15"/>
    <n v="0.1"/>
    <n v="3557.25"/>
    <x v="6"/>
    <n v="1"/>
    <x v="9"/>
    <x v="2"/>
  </r>
  <r>
    <n v="10672"/>
    <x v="42"/>
    <n v="21.5"/>
    <n v="12"/>
    <n v="0"/>
    <n v="258"/>
    <x v="0"/>
    <n v="4"/>
    <x v="9"/>
    <x v="2"/>
  </r>
  <r>
    <n v="10673"/>
    <x v="19"/>
    <n v="17.45"/>
    <n v="3"/>
    <n v="0"/>
    <n v="52.349999999999994"/>
    <x v="5"/>
    <n v="3"/>
    <x v="10"/>
    <x v="2"/>
  </r>
  <r>
    <n v="10673"/>
    <x v="1"/>
    <n v="14"/>
    <n v="6"/>
    <n v="0"/>
    <n v="84"/>
    <x v="1"/>
    <n v="5"/>
    <x v="10"/>
    <x v="2"/>
  </r>
  <r>
    <n v="10673"/>
    <x v="40"/>
    <n v="46"/>
    <n v="6"/>
    <n v="0"/>
    <n v="276"/>
    <x v="6"/>
    <n v="1"/>
    <x v="10"/>
    <x v="2"/>
  </r>
  <r>
    <n v="10674"/>
    <x v="70"/>
    <n v="9"/>
    <n v="5"/>
    <n v="0"/>
    <n v="45"/>
    <x v="1"/>
    <n v="5"/>
    <x v="13"/>
    <x v="2"/>
  </r>
  <r>
    <n v="10675"/>
    <x v="3"/>
    <n v="23.25"/>
    <n v="30"/>
    <n v="0"/>
    <n v="697.5"/>
    <x v="2"/>
    <n v="7"/>
    <x v="1"/>
    <x v="2"/>
  </r>
  <r>
    <n v="10675"/>
    <x v="22"/>
    <n v="32.799999999999997"/>
    <n v="10"/>
    <n v="0"/>
    <n v="328"/>
    <x v="7"/>
    <n v="6"/>
    <x v="1"/>
    <x v="2"/>
  </r>
  <r>
    <n v="10675"/>
    <x v="64"/>
    <n v="13.25"/>
    <n v="30"/>
    <n v="0"/>
    <n v="397.5"/>
    <x v="3"/>
    <n v="8"/>
    <x v="1"/>
    <x v="2"/>
  </r>
  <r>
    <n v="10676"/>
    <x v="41"/>
    <n v="31"/>
    <n v="2"/>
    <n v="0"/>
    <n v="62"/>
    <x v="3"/>
    <n v="8"/>
    <x v="7"/>
    <x v="2"/>
  </r>
  <r>
    <n v="10676"/>
    <x v="49"/>
    <n v="9.1999999999999993"/>
    <n v="7"/>
    <n v="0"/>
    <n v="64.399999999999991"/>
    <x v="5"/>
    <n v="3"/>
    <x v="7"/>
    <x v="2"/>
  </r>
  <r>
    <n v="10676"/>
    <x v="45"/>
    <n v="19.45"/>
    <n v="21"/>
    <n v="0"/>
    <n v="408.45"/>
    <x v="4"/>
    <n v="2"/>
    <x v="7"/>
    <x v="2"/>
  </r>
  <r>
    <n v="10677"/>
    <x v="68"/>
    <n v="31.23"/>
    <n v="30"/>
    <n v="0.15"/>
    <n v="796.36500000000001"/>
    <x v="5"/>
    <n v="3"/>
    <x v="7"/>
    <x v="2"/>
  </r>
  <r>
    <n v="10677"/>
    <x v="10"/>
    <n v="2.5"/>
    <n v="8"/>
    <n v="0.15"/>
    <n v="17"/>
    <x v="0"/>
    <n v="4"/>
    <x v="7"/>
    <x v="2"/>
  </r>
  <r>
    <n v="10678"/>
    <x v="36"/>
    <n v="38"/>
    <n v="100"/>
    <n v="0"/>
    <n v="3800"/>
    <x v="0"/>
    <n v="4"/>
    <x v="8"/>
    <x v="2"/>
  </r>
  <r>
    <n v="10678"/>
    <x v="10"/>
    <n v="2.5"/>
    <n v="30"/>
    <n v="0"/>
    <n v="75"/>
    <x v="0"/>
    <n v="4"/>
    <x v="8"/>
    <x v="2"/>
  </r>
  <r>
    <n v="10678"/>
    <x v="5"/>
    <n v="9.65"/>
    <n v="120"/>
    <n v="0"/>
    <n v="1158"/>
    <x v="3"/>
    <n v="8"/>
    <x v="8"/>
    <x v="2"/>
  </r>
  <r>
    <n v="10678"/>
    <x v="55"/>
    <n v="7.45"/>
    <n v="30"/>
    <n v="0"/>
    <n v="223.5"/>
    <x v="7"/>
    <n v="6"/>
    <x v="8"/>
    <x v="2"/>
  </r>
  <r>
    <n v="10679"/>
    <x v="21"/>
    <n v="55"/>
    <n v="12"/>
    <n v="0"/>
    <n v="660"/>
    <x v="0"/>
    <n v="4"/>
    <x v="0"/>
    <x v="2"/>
  </r>
  <r>
    <n v="10680"/>
    <x v="19"/>
    <n v="17.45"/>
    <n v="50"/>
    <n v="0.25"/>
    <n v="654.375"/>
    <x v="5"/>
    <n v="3"/>
    <x v="8"/>
    <x v="2"/>
  </r>
  <r>
    <n v="10680"/>
    <x v="12"/>
    <n v="12.5"/>
    <n v="20"/>
    <n v="0.25"/>
    <n v="187.5"/>
    <x v="0"/>
    <n v="4"/>
    <x v="8"/>
    <x v="2"/>
  </r>
  <r>
    <n v="10680"/>
    <x v="1"/>
    <n v="14"/>
    <n v="40"/>
    <n v="0.25"/>
    <n v="420"/>
    <x v="1"/>
    <n v="5"/>
    <x v="8"/>
    <x v="2"/>
  </r>
  <r>
    <n v="10681"/>
    <x v="49"/>
    <n v="9.1999999999999993"/>
    <n v="30"/>
    <n v="0.1"/>
    <n v="248.4"/>
    <x v="5"/>
    <n v="3"/>
    <x v="8"/>
    <x v="2"/>
  </r>
  <r>
    <n v="10681"/>
    <x v="27"/>
    <n v="10"/>
    <n v="12"/>
    <n v="0.1"/>
    <n v="108"/>
    <x v="5"/>
    <n v="3"/>
    <x v="8"/>
    <x v="2"/>
  </r>
  <r>
    <n v="10681"/>
    <x v="58"/>
    <n v="33.25"/>
    <n v="28"/>
    <n v="0"/>
    <n v="931"/>
    <x v="1"/>
    <n v="5"/>
    <x v="8"/>
    <x v="2"/>
  </r>
  <r>
    <n v="10682"/>
    <x v="10"/>
    <n v="2.5"/>
    <n v="30"/>
    <n v="0"/>
    <n v="75"/>
    <x v="0"/>
    <n v="4"/>
    <x v="7"/>
    <x v="2"/>
  </r>
  <r>
    <n v="10682"/>
    <x v="61"/>
    <n v="17"/>
    <n v="4"/>
    <n v="0"/>
    <n v="68"/>
    <x v="4"/>
    <n v="2"/>
    <x v="7"/>
    <x v="2"/>
  </r>
  <r>
    <n v="10682"/>
    <x v="48"/>
    <n v="7.75"/>
    <n v="30"/>
    <n v="0"/>
    <n v="232.5"/>
    <x v="6"/>
    <n v="1"/>
    <x v="7"/>
    <x v="2"/>
  </r>
  <r>
    <n v="10683"/>
    <x v="65"/>
    <n v="7"/>
    <n v="9"/>
    <n v="0"/>
    <n v="63"/>
    <x v="1"/>
    <n v="5"/>
    <x v="0"/>
    <x v="2"/>
  </r>
  <r>
    <n v="10684"/>
    <x v="37"/>
    <n v="18.399999999999999"/>
    <n v="20"/>
    <n v="0"/>
    <n v="368"/>
    <x v="3"/>
    <n v="8"/>
    <x v="1"/>
    <x v="2"/>
  </r>
  <r>
    <n v="10684"/>
    <x v="69"/>
    <n v="9.5"/>
    <n v="40"/>
    <n v="0"/>
    <n v="380"/>
    <x v="5"/>
    <n v="3"/>
    <x v="1"/>
    <x v="2"/>
  </r>
  <r>
    <n v="10684"/>
    <x v="11"/>
    <n v="34"/>
    <n v="30"/>
    <n v="0"/>
    <n v="1020"/>
    <x v="0"/>
    <n v="4"/>
    <x v="1"/>
    <x v="2"/>
  </r>
  <r>
    <n v="10685"/>
    <x v="41"/>
    <n v="31"/>
    <n v="20"/>
    <n v="0"/>
    <n v="620"/>
    <x v="3"/>
    <n v="8"/>
    <x v="2"/>
    <x v="2"/>
  </r>
  <r>
    <n v="10685"/>
    <x v="5"/>
    <n v="9.65"/>
    <n v="4"/>
    <n v="0"/>
    <n v="38.6"/>
    <x v="3"/>
    <n v="8"/>
    <x v="2"/>
    <x v="2"/>
  </r>
  <r>
    <n v="10685"/>
    <x v="69"/>
    <n v="9.5"/>
    <n v="15"/>
    <n v="0"/>
    <n v="142.5"/>
    <x v="5"/>
    <n v="3"/>
    <x v="2"/>
    <x v="2"/>
  </r>
  <r>
    <n v="10686"/>
    <x v="35"/>
    <n v="39"/>
    <n v="30"/>
    <n v="0.2"/>
    <n v="936"/>
    <x v="7"/>
    <n v="6"/>
    <x v="6"/>
    <x v="2"/>
  </r>
  <r>
    <n v="10686"/>
    <x v="68"/>
    <n v="31.23"/>
    <n v="15"/>
    <n v="0"/>
    <n v="468.45"/>
    <x v="5"/>
    <n v="3"/>
    <x v="6"/>
    <x v="2"/>
  </r>
  <r>
    <n v="10687"/>
    <x v="76"/>
    <n v="97"/>
    <n v="50"/>
    <n v="0.25"/>
    <n v="3637.5"/>
    <x v="7"/>
    <n v="6"/>
    <x v="14"/>
    <x v="2"/>
  </r>
  <r>
    <n v="10687"/>
    <x v="39"/>
    <n v="123.79"/>
    <n v="10"/>
    <n v="0"/>
    <n v="1237.9000000000001"/>
    <x v="7"/>
    <n v="6"/>
    <x v="14"/>
    <x v="2"/>
  </r>
  <r>
    <n v="10687"/>
    <x v="20"/>
    <n v="19"/>
    <n v="6"/>
    <n v="0.25"/>
    <n v="85.5"/>
    <x v="3"/>
    <n v="8"/>
    <x v="14"/>
    <x v="2"/>
  </r>
  <r>
    <n v="10688"/>
    <x v="41"/>
    <n v="31"/>
    <n v="18"/>
    <n v="0.1"/>
    <n v="502.2"/>
    <x v="3"/>
    <n v="8"/>
    <x v="17"/>
    <x v="3"/>
  </r>
  <r>
    <n v="10688"/>
    <x v="44"/>
    <n v="45.6"/>
    <n v="60"/>
    <n v="0.1"/>
    <n v="2462.4"/>
    <x v="2"/>
    <n v="7"/>
    <x v="17"/>
    <x v="3"/>
  </r>
  <r>
    <n v="10688"/>
    <x v="53"/>
    <n v="14"/>
    <n v="14"/>
    <n v="0"/>
    <n v="196"/>
    <x v="6"/>
    <n v="1"/>
    <x v="17"/>
    <x v="3"/>
  </r>
  <r>
    <n v="10689"/>
    <x v="52"/>
    <n v="18"/>
    <n v="35"/>
    <n v="0.25"/>
    <n v="472.5"/>
    <x v="6"/>
    <n v="1"/>
    <x v="9"/>
    <x v="3"/>
  </r>
  <r>
    <n v="10690"/>
    <x v="33"/>
    <n v="38"/>
    <n v="20"/>
    <n v="0.25"/>
    <n v="570"/>
    <x v="1"/>
    <n v="5"/>
    <x v="2"/>
    <x v="3"/>
  </r>
  <r>
    <n v="10690"/>
    <x v="23"/>
    <n v="13"/>
    <n v="30"/>
    <n v="0.25"/>
    <n v="292.5"/>
    <x v="4"/>
    <n v="2"/>
    <x v="2"/>
    <x v="3"/>
  </r>
  <r>
    <n v="10691"/>
    <x v="52"/>
    <n v="18"/>
    <n v="30"/>
    <n v="0"/>
    <n v="540"/>
    <x v="6"/>
    <n v="1"/>
    <x v="1"/>
    <x v="3"/>
  </r>
  <r>
    <n v="10691"/>
    <x v="39"/>
    <n v="123.79"/>
    <n v="40"/>
    <n v="0"/>
    <n v="4951.6000000000004"/>
    <x v="7"/>
    <n v="6"/>
    <x v="1"/>
    <x v="3"/>
  </r>
  <r>
    <n v="10691"/>
    <x v="40"/>
    <n v="46"/>
    <n v="40"/>
    <n v="0"/>
    <n v="1840"/>
    <x v="6"/>
    <n v="1"/>
    <x v="1"/>
    <x v="3"/>
  </r>
  <r>
    <n v="10691"/>
    <x v="45"/>
    <n v="19.45"/>
    <n v="24"/>
    <n v="0"/>
    <n v="466.79999999999995"/>
    <x v="4"/>
    <n v="2"/>
    <x v="1"/>
    <x v="3"/>
  </r>
  <r>
    <n v="10691"/>
    <x v="29"/>
    <n v="49.3"/>
    <n v="48"/>
    <n v="0"/>
    <n v="2366.3999999999996"/>
    <x v="5"/>
    <n v="3"/>
    <x v="1"/>
    <x v="3"/>
  </r>
  <r>
    <n v="10692"/>
    <x v="46"/>
    <n v="43.9"/>
    <n v="20"/>
    <n v="0"/>
    <n v="878"/>
    <x v="4"/>
    <n v="2"/>
    <x v="1"/>
    <x v="3"/>
  </r>
  <r>
    <n v="10693"/>
    <x v="76"/>
    <n v="97"/>
    <n v="6"/>
    <n v="0"/>
    <n v="582"/>
    <x v="7"/>
    <n v="6"/>
    <x v="8"/>
    <x v="3"/>
  </r>
  <r>
    <n v="10693"/>
    <x v="55"/>
    <n v="7.45"/>
    <n v="60"/>
    <n v="0.15"/>
    <n v="379.95"/>
    <x v="7"/>
    <n v="6"/>
    <x v="8"/>
    <x v="3"/>
  </r>
  <r>
    <n v="10693"/>
    <x v="60"/>
    <n v="36"/>
    <n v="30"/>
    <n v="0.15"/>
    <n v="918"/>
    <x v="0"/>
    <n v="4"/>
    <x v="8"/>
    <x v="3"/>
  </r>
  <r>
    <n v="10693"/>
    <x v="47"/>
    <n v="15"/>
    <n v="15"/>
    <n v="0.15"/>
    <n v="191.25"/>
    <x v="3"/>
    <n v="8"/>
    <x v="8"/>
    <x v="3"/>
  </r>
  <r>
    <n v="10694"/>
    <x v="32"/>
    <n v="30"/>
    <n v="90"/>
    <n v="0"/>
    <n v="2700"/>
    <x v="2"/>
    <n v="7"/>
    <x v="1"/>
    <x v="3"/>
  </r>
  <r>
    <n v="10694"/>
    <x v="21"/>
    <n v="55"/>
    <n v="25"/>
    <n v="0"/>
    <n v="1375"/>
    <x v="0"/>
    <n v="4"/>
    <x v="1"/>
    <x v="3"/>
  </r>
  <r>
    <n v="10694"/>
    <x v="30"/>
    <n v="15"/>
    <n v="50"/>
    <n v="0"/>
    <n v="750"/>
    <x v="6"/>
    <n v="1"/>
    <x v="1"/>
    <x v="3"/>
  </r>
  <r>
    <n v="10695"/>
    <x v="71"/>
    <n v="40"/>
    <n v="10"/>
    <n v="0"/>
    <n v="400"/>
    <x v="4"/>
    <n v="2"/>
    <x v="10"/>
    <x v="3"/>
  </r>
  <r>
    <n v="10695"/>
    <x v="36"/>
    <n v="38"/>
    <n v="4"/>
    <n v="0"/>
    <n v="152"/>
    <x v="0"/>
    <n v="4"/>
    <x v="10"/>
    <x v="3"/>
  </r>
  <r>
    <n v="10695"/>
    <x v="15"/>
    <n v="4.5"/>
    <n v="20"/>
    <n v="0"/>
    <n v="90"/>
    <x v="6"/>
    <n v="1"/>
    <x v="10"/>
    <x v="3"/>
  </r>
  <r>
    <n v="10696"/>
    <x v="35"/>
    <n v="39"/>
    <n v="20"/>
    <n v="0"/>
    <n v="780"/>
    <x v="7"/>
    <n v="6"/>
    <x v="8"/>
    <x v="3"/>
  </r>
  <r>
    <n v="10696"/>
    <x v="54"/>
    <n v="12"/>
    <n v="18"/>
    <n v="0"/>
    <n v="216"/>
    <x v="3"/>
    <n v="8"/>
    <x v="8"/>
    <x v="3"/>
  </r>
  <r>
    <n v="10697"/>
    <x v="49"/>
    <n v="9.1999999999999993"/>
    <n v="7"/>
    <n v="0.25"/>
    <n v="48.3"/>
    <x v="5"/>
    <n v="3"/>
    <x v="5"/>
    <x v="3"/>
  </r>
  <r>
    <n v="10697"/>
    <x v="31"/>
    <n v="18"/>
    <n v="9"/>
    <n v="0.25"/>
    <n v="121.5"/>
    <x v="6"/>
    <n v="1"/>
    <x v="5"/>
    <x v="3"/>
  </r>
  <r>
    <n v="10697"/>
    <x v="64"/>
    <n v="13.25"/>
    <n v="30"/>
    <n v="0.25"/>
    <n v="298.125"/>
    <x v="3"/>
    <n v="8"/>
    <x v="5"/>
    <x v="3"/>
  </r>
  <r>
    <n v="10697"/>
    <x v="30"/>
    <n v="15"/>
    <n v="30"/>
    <n v="0.25"/>
    <n v="337.5"/>
    <x v="6"/>
    <n v="1"/>
    <x v="5"/>
    <x v="3"/>
  </r>
  <r>
    <n v="10698"/>
    <x v="0"/>
    <n v="21"/>
    <n v="15"/>
    <n v="0"/>
    <n v="315"/>
    <x v="0"/>
    <n v="4"/>
    <x v="6"/>
    <x v="3"/>
  </r>
  <r>
    <n v="10698"/>
    <x v="35"/>
    <n v="39"/>
    <n v="8"/>
    <n v="0.05"/>
    <n v="296.39999999999998"/>
    <x v="7"/>
    <n v="6"/>
    <x v="6"/>
    <x v="3"/>
  </r>
  <r>
    <n v="10698"/>
    <x v="39"/>
    <n v="123.79"/>
    <n v="12"/>
    <n v="0.05"/>
    <n v="1411.2059999999999"/>
    <x v="7"/>
    <n v="6"/>
    <x v="6"/>
    <x v="3"/>
  </r>
  <r>
    <n v="10698"/>
    <x v="6"/>
    <n v="21.05"/>
    <n v="65"/>
    <n v="0.05"/>
    <n v="1299.8374999999999"/>
    <x v="4"/>
    <n v="2"/>
    <x v="6"/>
    <x v="3"/>
  </r>
  <r>
    <n v="10698"/>
    <x v="30"/>
    <n v="15"/>
    <n v="8"/>
    <n v="0.05"/>
    <n v="114"/>
    <x v="6"/>
    <n v="1"/>
    <x v="6"/>
    <x v="3"/>
  </r>
  <r>
    <n v="10699"/>
    <x v="69"/>
    <n v="9.5"/>
    <n v="12"/>
    <n v="0"/>
    <n v="114"/>
    <x v="5"/>
    <n v="3"/>
    <x v="1"/>
    <x v="3"/>
  </r>
  <r>
    <n v="10700"/>
    <x v="52"/>
    <n v="18"/>
    <n v="5"/>
    <n v="0.2"/>
    <n v="72"/>
    <x v="6"/>
    <n v="1"/>
    <x v="8"/>
    <x v="3"/>
  </r>
  <r>
    <n v="10700"/>
    <x v="53"/>
    <n v="14"/>
    <n v="12"/>
    <n v="0.2"/>
    <n v="134.4"/>
    <x v="6"/>
    <n v="1"/>
    <x v="8"/>
    <x v="3"/>
  </r>
  <r>
    <n v="10700"/>
    <x v="56"/>
    <n v="12.5"/>
    <n v="40"/>
    <n v="0.2"/>
    <n v="400"/>
    <x v="5"/>
    <n v="3"/>
    <x v="8"/>
    <x v="3"/>
  </r>
  <r>
    <n v="10700"/>
    <x v="42"/>
    <n v="21.5"/>
    <n v="60"/>
    <n v="0.2"/>
    <n v="1032"/>
    <x v="0"/>
    <n v="4"/>
    <x v="8"/>
    <x v="3"/>
  </r>
  <r>
    <n v="10701"/>
    <x v="21"/>
    <n v="55"/>
    <n v="42"/>
    <n v="0.15"/>
    <n v="1963.5"/>
    <x v="0"/>
    <n v="4"/>
    <x v="14"/>
    <x v="3"/>
  </r>
  <r>
    <n v="10701"/>
    <x v="42"/>
    <n v="21.5"/>
    <n v="20"/>
    <n v="0.15"/>
    <n v="365.5"/>
    <x v="0"/>
    <n v="4"/>
    <x v="14"/>
    <x v="3"/>
  </r>
  <r>
    <n v="10701"/>
    <x v="38"/>
    <n v="18"/>
    <n v="35"/>
    <n v="0.15"/>
    <n v="535.5"/>
    <x v="6"/>
    <n v="1"/>
    <x v="14"/>
    <x v="3"/>
  </r>
  <r>
    <n v="10702"/>
    <x v="57"/>
    <n v="10"/>
    <n v="6"/>
    <n v="0"/>
    <n v="60"/>
    <x v="4"/>
    <n v="2"/>
    <x v="1"/>
    <x v="3"/>
  </r>
  <r>
    <n v="10702"/>
    <x v="38"/>
    <n v="18"/>
    <n v="15"/>
    <n v="0"/>
    <n v="270"/>
    <x v="6"/>
    <n v="1"/>
    <x v="1"/>
    <x v="3"/>
  </r>
  <r>
    <n v="10703"/>
    <x v="18"/>
    <n v="19"/>
    <n v="5"/>
    <n v="0"/>
    <n v="95"/>
    <x v="6"/>
    <n v="1"/>
    <x v="9"/>
    <x v="3"/>
  </r>
  <r>
    <n v="10703"/>
    <x v="21"/>
    <n v="55"/>
    <n v="35"/>
    <n v="0"/>
    <n v="1925"/>
    <x v="0"/>
    <n v="4"/>
    <x v="9"/>
    <x v="3"/>
  </r>
  <r>
    <n v="10703"/>
    <x v="47"/>
    <n v="15"/>
    <n v="35"/>
    <n v="0"/>
    <n v="525"/>
    <x v="3"/>
    <n v="8"/>
    <x v="9"/>
    <x v="3"/>
  </r>
  <r>
    <n v="10704"/>
    <x v="62"/>
    <n v="22"/>
    <n v="6"/>
    <n v="0"/>
    <n v="132"/>
    <x v="4"/>
    <n v="2"/>
    <x v="2"/>
    <x v="3"/>
  </r>
  <r>
    <n v="10704"/>
    <x v="15"/>
    <n v="4.5"/>
    <n v="35"/>
    <n v="0"/>
    <n v="157.5"/>
    <x v="6"/>
    <n v="1"/>
    <x v="2"/>
    <x v="3"/>
  </r>
  <r>
    <n v="10704"/>
    <x v="74"/>
    <n v="12.75"/>
    <n v="24"/>
    <n v="0"/>
    <n v="306"/>
    <x v="5"/>
    <n v="3"/>
    <x v="2"/>
    <x v="3"/>
  </r>
  <r>
    <n v="10705"/>
    <x v="12"/>
    <n v="12.5"/>
    <n v="20"/>
    <n v="0"/>
    <n v="250"/>
    <x v="0"/>
    <n v="4"/>
    <x v="5"/>
    <x v="3"/>
  </r>
  <r>
    <n v="10705"/>
    <x v="26"/>
    <n v="32"/>
    <n v="4"/>
    <n v="0"/>
    <n v="128"/>
    <x v="0"/>
    <n v="4"/>
    <x v="5"/>
    <x v="3"/>
  </r>
  <r>
    <n v="10706"/>
    <x v="19"/>
    <n v="17.45"/>
    <n v="20"/>
    <n v="0"/>
    <n v="349"/>
    <x v="5"/>
    <n v="3"/>
    <x v="8"/>
    <x v="3"/>
  </r>
  <r>
    <n v="10706"/>
    <x v="40"/>
    <n v="46"/>
    <n v="24"/>
    <n v="0"/>
    <n v="1104"/>
    <x v="6"/>
    <n v="1"/>
    <x v="8"/>
    <x v="3"/>
  </r>
  <r>
    <n v="10706"/>
    <x v="21"/>
    <n v="55"/>
    <n v="8"/>
    <n v="0"/>
    <n v="440"/>
    <x v="0"/>
    <n v="4"/>
    <x v="8"/>
    <x v="3"/>
  </r>
  <r>
    <n v="10707"/>
    <x v="16"/>
    <n v="24"/>
    <n v="21"/>
    <n v="0"/>
    <n v="504"/>
    <x v="7"/>
    <n v="6"/>
    <x v="13"/>
    <x v="3"/>
  </r>
  <r>
    <n v="10707"/>
    <x v="8"/>
    <n v="19.5"/>
    <n v="40"/>
    <n v="0"/>
    <n v="780"/>
    <x v="1"/>
    <n v="5"/>
    <x v="13"/>
    <x v="3"/>
  </r>
  <r>
    <n v="10707"/>
    <x v="30"/>
    <n v="15"/>
    <n v="28"/>
    <n v="0.15"/>
    <n v="357"/>
    <x v="6"/>
    <n v="1"/>
    <x v="13"/>
    <x v="3"/>
  </r>
  <r>
    <n v="10708"/>
    <x v="25"/>
    <n v="21.35"/>
    <n v="4"/>
    <n v="0"/>
    <n v="85.4"/>
    <x v="4"/>
    <n v="2"/>
    <x v="8"/>
    <x v="3"/>
  </r>
  <r>
    <n v="10708"/>
    <x v="20"/>
    <n v="19"/>
    <n v="5"/>
    <n v="0"/>
    <n v="95"/>
    <x v="3"/>
    <n v="8"/>
    <x v="8"/>
    <x v="3"/>
  </r>
  <r>
    <n v="10709"/>
    <x v="71"/>
    <n v="40"/>
    <n v="40"/>
    <n v="0"/>
    <n v="1600"/>
    <x v="4"/>
    <n v="2"/>
    <x v="2"/>
    <x v="3"/>
  </r>
  <r>
    <n v="10709"/>
    <x v="4"/>
    <n v="53"/>
    <n v="28"/>
    <n v="0"/>
    <n v="1484"/>
    <x v="2"/>
    <n v="7"/>
    <x v="2"/>
    <x v="3"/>
  </r>
  <r>
    <n v="10709"/>
    <x v="11"/>
    <n v="34"/>
    <n v="10"/>
    <n v="0"/>
    <n v="340"/>
    <x v="0"/>
    <n v="4"/>
    <x v="2"/>
    <x v="3"/>
  </r>
  <r>
    <n v="10710"/>
    <x v="49"/>
    <n v="9.1999999999999993"/>
    <n v="5"/>
    <n v="0"/>
    <n v="46"/>
    <x v="5"/>
    <n v="3"/>
    <x v="11"/>
    <x v="3"/>
  </r>
  <r>
    <n v="10710"/>
    <x v="69"/>
    <n v="9.5"/>
    <n v="5"/>
    <n v="0"/>
    <n v="47.5"/>
    <x v="5"/>
    <n v="3"/>
    <x v="11"/>
    <x v="3"/>
  </r>
  <r>
    <n v="10711"/>
    <x v="49"/>
    <n v="9.1999999999999993"/>
    <n v="12"/>
    <n v="0"/>
    <n v="110.39999999999999"/>
    <x v="5"/>
    <n v="3"/>
    <x v="8"/>
    <x v="3"/>
  </r>
  <r>
    <n v="10711"/>
    <x v="5"/>
    <n v="9.65"/>
    <n v="42"/>
    <n v="0"/>
    <n v="405.3"/>
    <x v="3"/>
    <n v="8"/>
    <x v="8"/>
    <x v="3"/>
  </r>
  <r>
    <n v="10711"/>
    <x v="22"/>
    <n v="32.799999999999997"/>
    <n v="120"/>
    <n v="0"/>
    <n v="3935.9999999999995"/>
    <x v="7"/>
    <n v="6"/>
    <x v="8"/>
    <x v="3"/>
  </r>
  <r>
    <n v="10712"/>
    <x v="22"/>
    <n v="32.799999999999997"/>
    <n v="3"/>
    <n v="0.05"/>
    <n v="93.47999999999999"/>
    <x v="7"/>
    <n v="6"/>
    <x v="14"/>
    <x v="3"/>
  </r>
  <r>
    <n v="10712"/>
    <x v="33"/>
    <n v="38"/>
    <n v="30"/>
    <n v="0"/>
    <n v="1140"/>
    <x v="1"/>
    <n v="5"/>
    <x v="14"/>
    <x v="3"/>
  </r>
  <r>
    <n v="10713"/>
    <x v="41"/>
    <n v="31"/>
    <n v="18"/>
    <n v="0"/>
    <n v="558"/>
    <x v="3"/>
    <n v="8"/>
    <x v="8"/>
    <x v="3"/>
  </r>
  <r>
    <n v="10713"/>
    <x v="68"/>
    <n v="31.23"/>
    <n v="30"/>
    <n v="0"/>
    <n v="936.9"/>
    <x v="5"/>
    <n v="3"/>
    <x v="8"/>
    <x v="3"/>
  </r>
  <r>
    <n v="10713"/>
    <x v="73"/>
    <n v="9.5"/>
    <n v="110"/>
    <n v="0"/>
    <n v="1045"/>
    <x v="3"/>
    <n v="8"/>
    <x v="8"/>
    <x v="3"/>
  </r>
  <r>
    <n v="10713"/>
    <x v="54"/>
    <n v="12"/>
    <n v="24"/>
    <n v="0"/>
    <n v="288"/>
    <x v="3"/>
    <n v="8"/>
    <x v="8"/>
    <x v="3"/>
  </r>
  <r>
    <n v="10714"/>
    <x v="18"/>
    <n v="19"/>
    <n v="30"/>
    <n v="0.25"/>
    <n v="427.5"/>
    <x v="6"/>
    <n v="1"/>
    <x v="8"/>
    <x v="3"/>
  </r>
  <r>
    <n v="10714"/>
    <x v="35"/>
    <n v="39"/>
    <n v="27"/>
    <n v="0.25"/>
    <n v="789.75"/>
    <x v="7"/>
    <n v="6"/>
    <x v="8"/>
    <x v="3"/>
  </r>
  <r>
    <n v="10714"/>
    <x v="69"/>
    <n v="9.5"/>
    <n v="50"/>
    <n v="0.25"/>
    <n v="356.25"/>
    <x v="5"/>
    <n v="3"/>
    <x v="8"/>
    <x v="3"/>
  </r>
  <r>
    <n v="10714"/>
    <x v="33"/>
    <n v="38"/>
    <n v="18"/>
    <n v="0.25"/>
    <n v="513"/>
    <x v="1"/>
    <n v="5"/>
    <x v="8"/>
    <x v="3"/>
  </r>
  <r>
    <n v="10714"/>
    <x v="64"/>
    <n v="13.25"/>
    <n v="12"/>
    <n v="0.25"/>
    <n v="119.25"/>
    <x v="3"/>
    <n v="8"/>
    <x v="8"/>
    <x v="3"/>
  </r>
  <r>
    <n v="10715"/>
    <x v="41"/>
    <n v="31"/>
    <n v="21"/>
    <n v="0"/>
    <n v="651"/>
    <x v="3"/>
    <n v="8"/>
    <x v="0"/>
    <x v="3"/>
  </r>
  <r>
    <n v="10715"/>
    <x v="42"/>
    <n v="21.5"/>
    <n v="30"/>
    <n v="0"/>
    <n v="645"/>
    <x v="0"/>
    <n v="4"/>
    <x v="0"/>
    <x v="3"/>
  </r>
  <r>
    <n v="10716"/>
    <x v="27"/>
    <n v="10"/>
    <n v="5"/>
    <n v="0"/>
    <n v="50"/>
    <x v="5"/>
    <n v="3"/>
    <x v="20"/>
    <x v="3"/>
  </r>
  <r>
    <n v="10716"/>
    <x v="4"/>
    <n v="53"/>
    <n v="7"/>
    <n v="0"/>
    <n v="371"/>
    <x v="2"/>
    <n v="7"/>
    <x v="20"/>
    <x v="3"/>
  </r>
  <r>
    <n v="10716"/>
    <x v="75"/>
    <n v="28.5"/>
    <n v="10"/>
    <n v="0"/>
    <n v="285"/>
    <x v="4"/>
    <n v="2"/>
    <x v="20"/>
    <x v="3"/>
  </r>
  <r>
    <n v="10717"/>
    <x v="27"/>
    <n v="10"/>
    <n v="32"/>
    <n v="0.05"/>
    <n v="304"/>
    <x v="5"/>
    <n v="3"/>
    <x v="1"/>
    <x v="3"/>
  </r>
  <r>
    <n v="10717"/>
    <x v="55"/>
    <n v="7.45"/>
    <n v="15"/>
    <n v="0"/>
    <n v="111.75"/>
    <x v="7"/>
    <n v="6"/>
    <x v="1"/>
    <x v="3"/>
  </r>
  <r>
    <n v="10717"/>
    <x v="60"/>
    <n v="36"/>
    <n v="25"/>
    <n v="0.05"/>
    <n v="855"/>
    <x v="0"/>
    <n v="4"/>
    <x v="1"/>
    <x v="3"/>
  </r>
  <r>
    <n v="10718"/>
    <x v="36"/>
    <n v="38"/>
    <n v="36"/>
    <n v="0"/>
    <n v="1368"/>
    <x v="0"/>
    <n v="4"/>
    <x v="1"/>
    <x v="3"/>
  </r>
  <r>
    <n v="10718"/>
    <x v="19"/>
    <n v="17.45"/>
    <n v="20"/>
    <n v="0"/>
    <n v="349"/>
    <x v="5"/>
    <n v="3"/>
    <x v="1"/>
    <x v="3"/>
  </r>
  <r>
    <n v="10718"/>
    <x v="20"/>
    <n v="19"/>
    <n v="40"/>
    <n v="0"/>
    <n v="760"/>
    <x v="3"/>
    <n v="8"/>
    <x v="1"/>
    <x v="3"/>
  </r>
  <r>
    <n v="10718"/>
    <x v="29"/>
    <n v="49.3"/>
    <n v="20"/>
    <n v="0"/>
    <n v="986"/>
    <x v="5"/>
    <n v="3"/>
    <x v="1"/>
    <x v="3"/>
  </r>
  <r>
    <n v="10719"/>
    <x v="59"/>
    <n v="62.5"/>
    <n v="12"/>
    <n v="0.25"/>
    <n v="562.5"/>
    <x v="3"/>
    <n v="8"/>
    <x v="8"/>
    <x v="3"/>
  </r>
  <r>
    <n v="10719"/>
    <x v="34"/>
    <n v="25.89"/>
    <n v="3"/>
    <n v="0.25"/>
    <n v="58.252499999999998"/>
    <x v="3"/>
    <n v="8"/>
    <x v="8"/>
    <x v="3"/>
  </r>
  <r>
    <n v="10719"/>
    <x v="55"/>
    <n v="7.45"/>
    <n v="40"/>
    <n v="0.25"/>
    <n v="223.5"/>
    <x v="7"/>
    <n v="6"/>
    <x v="8"/>
    <x v="3"/>
  </r>
  <r>
    <n v="10720"/>
    <x v="31"/>
    <n v="18"/>
    <n v="21"/>
    <n v="0"/>
    <n v="378"/>
    <x v="6"/>
    <n v="1"/>
    <x v="2"/>
    <x v="3"/>
  </r>
  <r>
    <n v="10720"/>
    <x v="42"/>
    <n v="21.5"/>
    <n v="8"/>
    <n v="0"/>
    <n v="172"/>
    <x v="0"/>
    <n v="4"/>
    <x v="2"/>
    <x v="3"/>
  </r>
  <r>
    <n v="10721"/>
    <x v="45"/>
    <n v="19.45"/>
    <n v="50"/>
    <n v="0.05"/>
    <n v="923.875"/>
    <x v="4"/>
    <n v="2"/>
    <x v="1"/>
    <x v="3"/>
  </r>
  <r>
    <n v="10722"/>
    <x v="18"/>
    <n v="19"/>
    <n v="3"/>
    <n v="0"/>
    <n v="57"/>
    <x v="6"/>
    <n v="1"/>
    <x v="8"/>
    <x v="3"/>
  </r>
  <r>
    <n v="10722"/>
    <x v="12"/>
    <n v="12.5"/>
    <n v="50"/>
    <n v="0"/>
    <n v="625"/>
    <x v="0"/>
    <n v="4"/>
    <x v="8"/>
    <x v="3"/>
  </r>
  <r>
    <n v="10722"/>
    <x v="56"/>
    <n v="12.5"/>
    <n v="45"/>
    <n v="0"/>
    <n v="562.5"/>
    <x v="5"/>
    <n v="3"/>
    <x v="8"/>
    <x v="3"/>
  </r>
  <r>
    <n v="10722"/>
    <x v="48"/>
    <n v="7.75"/>
    <n v="42"/>
    <n v="0"/>
    <n v="325.5"/>
    <x v="6"/>
    <n v="1"/>
    <x v="8"/>
    <x v="3"/>
  </r>
  <r>
    <n v="10723"/>
    <x v="68"/>
    <n v="31.23"/>
    <n v="15"/>
    <n v="0"/>
    <n v="468.45"/>
    <x v="5"/>
    <n v="3"/>
    <x v="8"/>
    <x v="3"/>
  </r>
  <r>
    <n v="10724"/>
    <x v="41"/>
    <n v="31"/>
    <n v="16"/>
    <n v="0"/>
    <n v="496"/>
    <x v="3"/>
    <n v="8"/>
    <x v="16"/>
    <x v="3"/>
  </r>
  <r>
    <n v="10724"/>
    <x v="75"/>
    <n v="28.5"/>
    <n v="5"/>
    <n v="0"/>
    <n v="142.5"/>
    <x v="4"/>
    <n v="2"/>
    <x v="16"/>
    <x v="3"/>
  </r>
  <r>
    <n v="10725"/>
    <x v="5"/>
    <n v="9.65"/>
    <n v="12"/>
    <n v="0"/>
    <n v="115.80000000000001"/>
    <x v="3"/>
    <n v="8"/>
    <x v="2"/>
    <x v="4"/>
  </r>
  <r>
    <n v="10725"/>
    <x v="65"/>
    <n v="7"/>
    <n v="4"/>
    <n v="0"/>
    <n v="28"/>
    <x v="1"/>
    <n v="5"/>
    <x v="2"/>
    <x v="4"/>
  </r>
  <r>
    <n v="10725"/>
    <x v="16"/>
    <n v="24"/>
    <n v="6"/>
    <n v="0"/>
    <n v="144"/>
    <x v="7"/>
    <n v="6"/>
    <x v="2"/>
    <x v="4"/>
  </r>
  <r>
    <n v="10726"/>
    <x v="62"/>
    <n v="22"/>
    <n v="25"/>
    <n v="0"/>
    <n v="550"/>
    <x v="4"/>
    <n v="2"/>
    <x v="13"/>
    <x v="4"/>
  </r>
  <r>
    <n v="10726"/>
    <x v="0"/>
    <n v="21"/>
    <n v="5"/>
    <n v="0"/>
    <n v="105"/>
    <x v="0"/>
    <n v="4"/>
    <x v="13"/>
    <x v="4"/>
  </r>
  <r>
    <n v="10727"/>
    <x v="35"/>
    <n v="39"/>
    <n v="20"/>
    <n v="0.05"/>
    <n v="741"/>
    <x v="7"/>
    <n v="6"/>
    <x v="11"/>
    <x v="4"/>
  </r>
  <r>
    <n v="10727"/>
    <x v="33"/>
    <n v="38"/>
    <n v="10"/>
    <n v="0.05"/>
    <n v="361"/>
    <x v="1"/>
    <n v="5"/>
    <x v="11"/>
    <x v="4"/>
  </r>
  <r>
    <n v="10727"/>
    <x v="21"/>
    <n v="55"/>
    <n v="10"/>
    <n v="0.05"/>
    <n v="522.5"/>
    <x v="0"/>
    <n v="4"/>
    <x v="11"/>
    <x v="4"/>
  </r>
  <r>
    <n v="10728"/>
    <x v="34"/>
    <n v="25.89"/>
    <n v="15"/>
    <n v="0"/>
    <n v="388.35"/>
    <x v="3"/>
    <n v="8"/>
    <x v="2"/>
    <x v="4"/>
  </r>
  <r>
    <n v="10728"/>
    <x v="37"/>
    <n v="18.399999999999999"/>
    <n v="6"/>
    <n v="0"/>
    <n v="110.39999999999999"/>
    <x v="3"/>
    <n v="8"/>
    <x v="2"/>
    <x v="4"/>
  </r>
  <r>
    <n v="10728"/>
    <x v="16"/>
    <n v="24"/>
    <n v="12"/>
    <n v="0"/>
    <n v="288"/>
    <x v="7"/>
    <n v="6"/>
    <x v="2"/>
    <x v="4"/>
  </r>
  <r>
    <n v="10728"/>
    <x v="11"/>
    <n v="34"/>
    <n v="15"/>
    <n v="0"/>
    <n v="510"/>
    <x v="0"/>
    <n v="4"/>
    <x v="2"/>
    <x v="4"/>
  </r>
  <r>
    <n v="10729"/>
    <x v="52"/>
    <n v="18"/>
    <n v="50"/>
    <n v="0"/>
    <n v="900"/>
    <x v="6"/>
    <n v="1"/>
    <x v="5"/>
    <x v="4"/>
  </r>
  <r>
    <n v="10729"/>
    <x v="27"/>
    <n v="10"/>
    <n v="30"/>
    <n v="0"/>
    <n v="300"/>
    <x v="5"/>
    <n v="3"/>
    <x v="5"/>
    <x v="4"/>
  </r>
  <r>
    <n v="10729"/>
    <x v="72"/>
    <n v="16.25"/>
    <n v="40"/>
    <n v="0"/>
    <n v="650"/>
    <x v="5"/>
    <n v="3"/>
    <x v="5"/>
    <x v="4"/>
  </r>
  <r>
    <n v="10730"/>
    <x v="19"/>
    <n v="17.45"/>
    <n v="15"/>
    <n v="0.05"/>
    <n v="248.66249999999999"/>
    <x v="5"/>
    <n v="3"/>
    <x v="0"/>
    <x v="4"/>
  </r>
  <r>
    <n v="10730"/>
    <x v="12"/>
    <n v="12.5"/>
    <n v="3"/>
    <n v="0.05"/>
    <n v="35.625"/>
    <x v="0"/>
    <n v="4"/>
    <x v="0"/>
    <x v="4"/>
  </r>
  <r>
    <n v="10730"/>
    <x v="6"/>
    <n v="21.05"/>
    <n v="10"/>
    <n v="0.05"/>
    <n v="199.97499999999999"/>
    <x v="4"/>
    <n v="2"/>
    <x v="0"/>
    <x v="4"/>
  </r>
  <r>
    <n v="10731"/>
    <x v="27"/>
    <n v="10"/>
    <n v="40"/>
    <n v="0.05"/>
    <n v="380"/>
    <x v="5"/>
    <n v="3"/>
    <x v="4"/>
    <x v="4"/>
  </r>
  <r>
    <n v="10731"/>
    <x v="4"/>
    <n v="53"/>
    <n v="30"/>
    <n v="0.05"/>
    <n v="1510.5"/>
    <x v="2"/>
    <n v="7"/>
    <x v="4"/>
    <x v="4"/>
  </r>
  <r>
    <n v="10732"/>
    <x v="38"/>
    <n v="18"/>
    <n v="20"/>
    <n v="0"/>
    <n v="360"/>
    <x v="6"/>
    <n v="1"/>
    <x v="0"/>
    <x v="4"/>
  </r>
  <r>
    <n v="10733"/>
    <x v="3"/>
    <n v="23.25"/>
    <n v="16"/>
    <n v="0"/>
    <n v="372"/>
    <x v="2"/>
    <n v="7"/>
    <x v="9"/>
    <x v="4"/>
  </r>
  <r>
    <n v="10733"/>
    <x v="44"/>
    <n v="45.6"/>
    <n v="20"/>
    <n v="0"/>
    <n v="912"/>
    <x v="2"/>
    <n v="7"/>
    <x v="9"/>
    <x v="4"/>
  </r>
  <r>
    <n v="10733"/>
    <x v="65"/>
    <n v="7"/>
    <n v="25"/>
    <n v="0"/>
    <n v="175"/>
    <x v="1"/>
    <n v="5"/>
    <x v="9"/>
    <x v="4"/>
  </r>
  <r>
    <n v="10734"/>
    <x v="63"/>
    <n v="25"/>
    <n v="30"/>
    <n v="0"/>
    <n v="750"/>
    <x v="4"/>
    <n v="2"/>
    <x v="2"/>
    <x v="4"/>
  </r>
  <r>
    <n v="10734"/>
    <x v="34"/>
    <n v="25.89"/>
    <n v="15"/>
    <n v="0"/>
    <n v="388.35"/>
    <x v="3"/>
    <n v="8"/>
    <x v="2"/>
    <x v="4"/>
  </r>
  <r>
    <n v="10734"/>
    <x v="38"/>
    <n v="18"/>
    <n v="20"/>
    <n v="0"/>
    <n v="360"/>
    <x v="6"/>
    <n v="1"/>
    <x v="2"/>
    <x v="4"/>
  </r>
  <r>
    <n v="10735"/>
    <x v="75"/>
    <n v="28.5"/>
    <n v="20"/>
    <n v="0.1"/>
    <n v="513"/>
    <x v="4"/>
    <n v="2"/>
    <x v="8"/>
    <x v="4"/>
  </r>
  <r>
    <n v="10735"/>
    <x v="23"/>
    <n v="13"/>
    <n v="2"/>
    <n v="0.1"/>
    <n v="23.400000000000002"/>
    <x v="4"/>
    <n v="2"/>
    <x v="8"/>
    <x v="4"/>
  </r>
  <r>
    <n v="10736"/>
    <x v="6"/>
    <n v="21.05"/>
    <n v="40"/>
    <n v="0"/>
    <n v="842"/>
    <x v="4"/>
    <n v="2"/>
    <x v="14"/>
    <x v="4"/>
  </r>
  <r>
    <n v="10736"/>
    <x v="48"/>
    <n v="7.75"/>
    <n v="20"/>
    <n v="0"/>
    <n v="155"/>
    <x v="6"/>
    <n v="1"/>
    <x v="14"/>
    <x v="4"/>
  </r>
  <r>
    <n v="10737"/>
    <x v="43"/>
    <n v="6"/>
    <n v="4"/>
    <n v="0"/>
    <n v="24"/>
    <x v="3"/>
    <n v="8"/>
    <x v="0"/>
    <x v="4"/>
  </r>
  <r>
    <n v="10737"/>
    <x v="5"/>
    <n v="9.65"/>
    <n v="12"/>
    <n v="0"/>
    <n v="115.80000000000001"/>
    <x v="3"/>
    <n v="8"/>
    <x v="0"/>
    <x v="4"/>
  </r>
  <r>
    <n v="10738"/>
    <x v="19"/>
    <n v="17.45"/>
    <n v="3"/>
    <n v="0"/>
    <n v="52.349999999999994"/>
    <x v="5"/>
    <n v="3"/>
    <x v="0"/>
    <x v="4"/>
  </r>
  <r>
    <n v="10739"/>
    <x v="20"/>
    <n v="19"/>
    <n v="6"/>
    <n v="0"/>
    <n v="114"/>
    <x v="3"/>
    <n v="8"/>
    <x v="0"/>
    <x v="4"/>
  </r>
  <r>
    <n v="10739"/>
    <x v="65"/>
    <n v="7"/>
    <n v="18"/>
    <n v="0"/>
    <n v="126"/>
    <x v="1"/>
    <n v="5"/>
    <x v="0"/>
    <x v="4"/>
  </r>
  <r>
    <n v="10740"/>
    <x v="44"/>
    <n v="45.6"/>
    <n v="5"/>
    <n v="0.2"/>
    <n v="182.4"/>
    <x v="2"/>
    <n v="7"/>
    <x v="8"/>
    <x v="4"/>
  </r>
  <r>
    <n v="10740"/>
    <x v="31"/>
    <n v="18"/>
    <n v="35"/>
    <n v="0.2"/>
    <n v="504"/>
    <x v="6"/>
    <n v="1"/>
    <x v="8"/>
    <x v="4"/>
  </r>
  <r>
    <n v="10740"/>
    <x v="73"/>
    <n v="9.5"/>
    <n v="40"/>
    <n v="0.2"/>
    <n v="304"/>
    <x v="3"/>
    <n v="8"/>
    <x v="8"/>
    <x v="4"/>
  </r>
  <r>
    <n v="10740"/>
    <x v="33"/>
    <n v="38"/>
    <n v="14"/>
    <n v="0.2"/>
    <n v="425.6"/>
    <x v="1"/>
    <n v="5"/>
    <x v="8"/>
    <x v="4"/>
  </r>
  <r>
    <n v="10741"/>
    <x v="18"/>
    <n v="19"/>
    <n v="15"/>
    <n v="0.2"/>
    <n v="228"/>
    <x v="6"/>
    <n v="1"/>
    <x v="13"/>
    <x v="4"/>
  </r>
  <r>
    <n v="10742"/>
    <x v="57"/>
    <n v="10"/>
    <n v="20"/>
    <n v="0"/>
    <n v="200"/>
    <x v="4"/>
    <n v="2"/>
    <x v="16"/>
    <x v="4"/>
  </r>
  <r>
    <n v="10742"/>
    <x v="11"/>
    <n v="34"/>
    <n v="50"/>
    <n v="0"/>
    <n v="1700"/>
    <x v="0"/>
    <n v="4"/>
    <x v="16"/>
    <x v="4"/>
  </r>
  <r>
    <n v="10742"/>
    <x v="2"/>
    <n v="34.799999999999997"/>
    <n v="35"/>
    <n v="0"/>
    <n v="1218"/>
    <x v="0"/>
    <n v="4"/>
    <x v="16"/>
    <x v="4"/>
  </r>
  <r>
    <n v="10743"/>
    <x v="54"/>
    <n v="12"/>
    <n v="28"/>
    <n v="0.05"/>
    <n v="319.2"/>
    <x v="3"/>
    <n v="8"/>
    <x v="13"/>
    <x v="4"/>
  </r>
  <r>
    <n v="10744"/>
    <x v="37"/>
    <n v="18.399999999999999"/>
    <n v="50"/>
    <n v="0.2"/>
    <n v="736"/>
    <x v="3"/>
    <n v="8"/>
    <x v="17"/>
    <x v="4"/>
  </r>
  <r>
    <n v="10745"/>
    <x v="59"/>
    <n v="62.5"/>
    <n v="24"/>
    <n v="0"/>
    <n v="1500"/>
    <x v="3"/>
    <n v="8"/>
    <x v="1"/>
    <x v="4"/>
  </r>
  <r>
    <n v="10745"/>
    <x v="45"/>
    <n v="19.45"/>
    <n v="16"/>
    <n v="0"/>
    <n v="311.2"/>
    <x v="4"/>
    <n v="2"/>
    <x v="1"/>
    <x v="4"/>
  </r>
  <r>
    <n v="10745"/>
    <x v="21"/>
    <n v="55"/>
    <n v="45"/>
    <n v="0"/>
    <n v="2475"/>
    <x v="0"/>
    <n v="4"/>
    <x v="1"/>
    <x v="4"/>
  </r>
  <r>
    <n v="10745"/>
    <x v="2"/>
    <n v="34.799999999999997"/>
    <n v="7"/>
    <n v="0"/>
    <n v="243.59999999999997"/>
    <x v="0"/>
    <n v="4"/>
    <x v="1"/>
    <x v="4"/>
  </r>
  <r>
    <n v="10746"/>
    <x v="43"/>
    <n v="6"/>
    <n v="6"/>
    <n v="0"/>
    <n v="36"/>
    <x v="3"/>
    <n v="8"/>
    <x v="4"/>
    <x v="4"/>
  </r>
  <r>
    <n v="10746"/>
    <x v="1"/>
    <n v="14"/>
    <n v="28"/>
    <n v="0"/>
    <n v="392"/>
    <x v="1"/>
    <n v="5"/>
    <x v="4"/>
    <x v="4"/>
  </r>
  <r>
    <n v="10746"/>
    <x v="29"/>
    <n v="49.3"/>
    <n v="9"/>
    <n v="0"/>
    <n v="443.7"/>
    <x v="5"/>
    <n v="3"/>
    <x v="4"/>
    <x v="4"/>
  </r>
  <r>
    <n v="10746"/>
    <x v="60"/>
    <n v="36"/>
    <n v="40"/>
    <n v="0"/>
    <n v="1440"/>
    <x v="0"/>
    <n v="4"/>
    <x v="4"/>
    <x v="4"/>
  </r>
  <r>
    <n v="10747"/>
    <x v="12"/>
    <n v="12.5"/>
    <n v="8"/>
    <n v="0"/>
    <n v="100"/>
    <x v="0"/>
    <n v="4"/>
    <x v="6"/>
    <x v="4"/>
  </r>
  <r>
    <n v="10747"/>
    <x v="5"/>
    <n v="9.65"/>
    <n v="35"/>
    <n v="0"/>
    <n v="337.75"/>
    <x v="3"/>
    <n v="8"/>
    <x v="6"/>
    <x v="4"/>
  </r>
  <r>
    <n v="10747"/>
    <x v="46"/>
    <n v="43.9"/>
    <n v="9"/>
    <n v="0"/>
    <n v="395.09999999999997"/>
    <x v="4"/>
    <n v="2"/>
    <x v="6"/>
    <x v="4"/>
  </r>
  <r>
    <n v="10747"/>
    <x v="60"/>
    <n v="36"/>
    <n v="30"/>
    <n v="0"/>
    <n v="1080"/>
    <x v="0"/>
    <n v="4"/>
    <x v="6"/>
    <x v="4"/>
  </r>
  <r>
    <n v="10748"/>
    <x v="70"/>
    <n v="9"/>
    <n v="44"/>
    <n v="0"/>
    <n v="396"/>
    <x v="1"/>
    <n v="5"/>
    <x v="8"/>
    <x v="4"/>
  </r>
  <r>
    <n v="10748"/>
    <x v="37"/>
    <n v="18.399999999999999"/>
    <n v="40"/>
    <n v="0"/>
    <n v="736"/>
    <x v="3"/>
    <n v="8"/>
    <x v="8"/>
    <x v="4"/>
  </r>
  <r>
    <n v="10748"/>
    <x v="33"/>
    <n v="38"/>
    <n v="28"/>
    <n v="0"/>
    <n v="1064"/>
    <x v="1"/>
    <n v="5"/>
    <x v="8"/>
    <x v="4"/>
  </r>
  <r>
    <n v="10749"/>
    <x v="33"/>
    <n v="38"/>
    <n v="15"/>
    <n v="0"/>
    <n v="570"/>
    <x v="1"/>
    <n v="5"/>
    <x v="13"/>
    <x v="4"/>
  </r>
  <r>
    <n v="10749"/>
    <x v="21"/>
    <n v="55"/>
    <n v="6"/>
    <n v="0"/>
    <n v="330"/>
    <x v="0"/>
    <n v="4"/>
    <x v="13"/>
    <x v="4"/>
  </r>
  <r>
    <n v="10749"/>
    <x v="38"/>
    <n v="18"/>
    <n v="10"/>
    <n v="0"/>
    <n v="180"/>
    <x v="6"/>
    <n v="1"/>
    <x v="13"/>
    <x v="4"/>
  </r>
  <r>
    <n v="10750"/>
    <x v="3"/>
    <n v="23.25"/>
    <n v="5"/>
    <n v="0.15"/>
    <n v="98.8125"/>
    <x v="2"/>
    <n v="7"/>
    <x v="10"/>
    <x v="4"/>
  </r>
  <r>
    <n v="10750"/>
    <x v="73"/>
    <n v="9.5"/>
    <n v="40"/>
    <n v="0.15"/>
    <n v="323"/>
    <x v="3"/>
    <n v="8"/>
    <x v="10"/>
    <x v="4"/>
  </r>
  <r>
    <n v="10750"/>
    <x v="21"/>
    <n v="55"/>
    <n v="25"/>
    <n v="0.15"/>
    <n v="1168.75"/>
    <x v="0"/>
    <n v="4"/>
    <x v="10"/>
    <x v="4"/>
  </r>
  <r>
    <n v="10751"/>
    <x v="68"/>
    <n v="31.23"/>
    <n v="12"/>
    <n v="0.1"/>
    <n v="337.28399999999999"/>
    <x v="5"/>
    <n v="3"/>
    <x v="4"/>
    <x v="4"/>
  </r>
  <r>
    <n v="10751"/>
    <x v="34"/>
    <n v="25.89"/>
    <n v="30"/>
    <n v="0"/>
    <n v="776.7"/>
    <x v="3"/>
    <n v="8"/>
    <x v="4"/>
    <x v="4"/>
  </r>
  <r>
    <n v="10751"/>
    <x v="72"/>
    <n v="16.25"/>
    <n v="20"/>
    <n v="0.1"/>
    <n v="292.5"/>
    <x v="5"/>
    <n v="3"/>
    <x v="4"/>
    <x v="4"/>
  </r>
  <r>
    <n v="10751"/>
    <x v="47"/>
    <n v="15"/>
    <n v="15"/>
    <n v="0"/>
    <n v="225"/>
    <x v="3"/>
    <n v="8"/>
    <x v="4"/>
    <x v="4"/>
  </r>
  <r>
    <n v="10752"/>
    <x v="52"/>
    <n v="18"/>
    <n v="8"/>
    <n v="0"/>
    <n v="144"/>
    <x v="6"/>
    <n v="1"/>
    <x v="13"/>
    <x v="4"/>
  </r>
  <r>
    <n v="10752"/>
    <x v="60"/>
    <n v="36"/>
    <n v="3"/>
    <n v="0"/>
    <n v="108"/>
    <x v="0"/>
    <n v="4"/>
    <x v="13"/>
    <x v="4"/>
  </r>
  <r>
    <n v="10753"/>
    <x v="73"/>
    <n v="9.5"/>
    <n v="4"/>
    <n v="0"/>
    <n v="38"/>
    <x v="3"/>
    <n v="8"/>
    <x v="11"/>
    <x v="4"/>
  </r>
  <r>
    <n v="10753"/>
    <x v="17"/>
    <n v="10"/>
    <n v="5"/>
    <n v="0"/>
    <n v="50"/>
    <x v="2"/>
    <n v="7"/>
    <x v="11"/>
    <x v="4"/>
  </r>
  <r>
    <n v="10754"/>
    <x v="37"/>
    <n v="18.399999999999999"/>
    <n v="3"/>
    <n v="0"/>
    <n v="55.199999999999996"/>
    <x v="3"/>
    <n v="8"/>
    <x v="11"/>
    <x v="4"/>
  </r>
  <r>
    <n v="10755"/>
    <x v="69"/>
    <n v="9.5"/>
    <n v="30"/>
    <n v="0.25"/>
    <n v="213.75"/>
    <x v="5"/>
    <n v="3"/>
    <x v="0"/>
    <x v="4"/>
  </r>
  <r>
    <n v="10755"/>
    <x v="33"/>
    <n v="38"/>
    <n v="30"/>
    <n v="0.25"/>
    <n v="855"/>
    <x v="1"/>
    <n v="5"/>
    <x v="0"/>
    <x v="4"/>
  </r>
  <r>
    <n v="10755"/>
    <x v="8"/>
    <n v="19.5"/>
    <n v="14"/>
    <n v="0.25"/>
    <n v="204.75"/>
    <x v="1"/>
    <n v="5"/>
    <x v="0"/>
    <x v="4"/>
  </r>
  <r>
    <n v="10755"/>
    <x v="60"/>
    <n v="36"/>
    <n v="25"/>
    <n v="0.25"/>
    <n v="675"/>
    <x v="0"/>
    <n v="4"/>
    <x v="0"/>
    <x v="4"/>
  </r>
  <r>
    <n v="10756"/>
    <x v="59"/>
    <n v="62.5"/>
    <n v="21"/>
    <n v="0.2"/>
    <n v="1050"/>
    <x v="3"/>
    <n v="8"/>
    <x v="8"/>
    <x v="4"/>
  </r>
  <r>
    <n v="10756"/>
    <x v="20"/>
    <n v="19"/>
    <n v="20"/>
    <n v="0.2"/>
    <n v="304"/>
    <x v="3"/>
    <n v="8"/>
    <x v="8"/>
    <x v="4"/>
  </r>
  <r>
    <n v="10756"/>
    <x v="56"/>
    <n v="12.5"/>
    <n v="6"/>
    <n v="0.2"/>
    <n v="60"/>
    <x v="5"/>
    <n v="3"/>
    <x v="8"/>
    <x v="4"/>
  </r>
  <r>
    <n v="10756"/>
    <x v="60"/>
    <n v="36"/>
    <n v="20"/>
    <n v="0.2"/>
    <n v="576"/>
    <x v="0"/>
    <n v="4"/>
    <x v="8"/>
    <x v="4"/>
  </r>
  <r>
    <n v="10757"/>
    <x v="53"/>
    <n v="14"/>
    <n v="30"/>
    <n v="0"/>
    <n v="420"/>
    <x v="6"/>
    <n v="1"/>
    <x v="8"/>
    <x v="4"/>
  </r>
  <r>
    <n v="10757"/>
    <x v="21"/>
    <n v="55"/>
    <n v="7"/>
    <n v="0"/>
    <n v="385"/>
    <x v="0"/>
    <n v="4"/>
    <x v="8"/>
    <x v="4"/>
  </r>
  <r>
    <n v="10757"/>
    <x v="29"/>
    <n v="49.3"/>
    <n v="30"/>
    <n v="0"/>
    <n v="1479"/>
    <x v="5"/>
    <n v="3"/>
    <x v="8"/>
    <x v="4"/>
  </r>
  <r>
    <n v="10757"/>
    <x v="58"/>
    <n v="33.25"/>
    <n v="24"/>
    <n v="0"/>
    <n v="798"/>
    <x v="1"/>
    <n v="5"/>
    <x v="8"/>
    <x v="4"/>
  </r>
  <r>
    <n v="10758"/>
    <x v="68"/>
    <n v="31.23"/>
    <n v="20"/>
    <n v="0"/>
    <n v="624.6"/>
    <x v="5"/>
    <n v="3"/>
    <x v="4"/>
    <x v="4"/>
  </r>
  <r>
    <n v="10758"/>
    <x v="65"/>
    <n v="7"/>
    <n v="60"/>
    <n v="0"/>
    <n v="420"/>
    <x v="1"/>
    <n v="5"/>
    <x v="4"/>
    <x v="4"/>
  </r>
  <r>
    <n v="10758"/>
    <x v="30"/>
    <n v="15"/>
    <n v="40"/>
    <n v="0"/>
    <n v="600"/>
    <x v="6"/>
    <n v="1"/>
    <x v="4"/>
    <x v="4"/>
  </r>
  <r>
    <n v="10759"/>
    <x v="26"/>
    <n v="32"/>
    <n v="10"/>
    <n v="0"/>
    <n v="320"/>
    <x v="0"/>
    <n v="4"/>
    <x v="7"/>
    <x v="4"/>
  </r>
  <r>
    <n v="10760"/>
    <x v="66"/>
    <n v="14"/>
    <n v="12"/>
    <n v="0.25"/>
    <n v="126"/>
    <x v="5"/>
    <n v="3"/>
    <x v="3"/>
    <x v="5"/>
  </r>
  <r>
    <n v="10760"/>
    <x v="24"/>
    <n v="43.9"/>
    <n v="40"/>
    <n v="0"/>
    <n v="1756"/>
    <x v="5"/>
    <n v="3"/>
    <x v="3"/>
    <x v="5"/>
  </r>
  <r>
    <n v="10760"/>
    <x v="40"/>
    <n v="46"/>
    <n v="30"/>
    <n v="0.25"/>
    <n v="1035"/>
    <x v="6"/>
    <n v="1"/>
    <x v="3"/>
    <x v="5"/>
  </r>
  <r>
    <n v="10761"/>
    <x v="66"/>
    <n v="14"/>
    <n v="35"/>
    <n v="0.25"/>
    <n v="367.5"/>
    <x v="5"/>
    <n v="3"/>
    <x v="8"/>
    <x v="5"/>
  </r>
  <r>
    <n v="10761"/>
    <x v="48"/>
    <n v="7.75"/>
    <n v="18"/>
    <n v="0"/>
    <n v="139.5"/>
    <x v="6"/>
    <n v="1"/>
    <x v="8"/>
    <x v="5"/>
  </r>
  <r>
    <n v="10762"/>
    <x v="13"/>
    <n v="18"/>
    <n v="16"/>
    <n v="0"/>
    <n v="288"/>
    <x v="6"/>
    <n v="1"/>
    <x v="9"/>
    <x v="5"/>
  </r>
  <r>
    <n v="10762"/>
    <x v="69"/>
    <n v="9.5"/>
    <n v="30"/>
    <n v="0"/>
    <n v="285"/>
    <x v="5"/>
    <n v="3"/>
    <x v="9"/>
    <x v="5"/>
  </r>
  <r>
    <n v="10762"/>
    <x v="4"/>
    <n v="53"/>
    <n v="28"/>
    <n v="0"/>
    <n v="1484"/>
    <x v="2"/>
    <n v="7"/>
    <x v="9"/>
    <x v="5"/>
  </r>
  <r>
    <n v="10762"/>
    <x v="33"/>
    <n v="38"/>
    <n v="60"/>
    <n v="0"/>
    <n v="2280"/>
    <x v="1"/>
    <n v="5"/>
    <x v="9"/>
    <x v="5"/>
  </r>
  <r>
    <n v="10763"/>
    <x v="27"/>
    <n v="10"/>
    <n v="40"/>
    <n v="0"/>
    <n v="400"/>
    <x v="5"/>
    <n v="3"/>
    <x v="0"/>
    <x v="5"/>
  </r>
  <r>
    <n v="10763"/>
    <x v="7"/>
    <n v="21"/>
    <n v="6"/>
    <n v="0"/>
    <n v="126"/>
    <x v="1"/>
    <n v="5"/>
    <x v="0"/>
    <x v="5"/>
  </r>
  <r>
    <n v="10763"/>
    <x v="15"/>
    <n v="4.5"/>
    <n v="20"/>
    <n v="0"/>
    <n v="90"/>
    <x v="6"/>
    <n v="1"/>
    <x v="0"/>
    <x v="5"/>
  </r>
  <r>
    <n v="10764"/>
    <x v="57"/>
    <n v="10"/>
    <n v="20"/>
    <n v="0.1"/>
    <n v="180"/>
    <x v="4"/>
    <n v="2"/>
    <x v="6"/>
    <x v="5"/>
  </r>
  <r>
    <n v="10764"/>
    <x v="13"/>
    <n v="18"/>
    <n v="130"/>
    <n v="0.1"/>
    <n v="2106"/>
    <x v="6"/>
    <n v="1"/>
    <x v="6"/>
    <x v="5"/>
  </r>
  <r>
    <n v="10765"/>
    <x v="6"/>
    <n v="21.05"/>
    <n v="80"/>
    <n v="0.1"/>
    <n v="1515.6000000000001"/>
    <x v="4"/>
    <n v="2"/>
    <x v="1"/>
    <x v="5"/>
  </r>
  <r>
    <n v="10766"/>
    <x v="18"/>
    <n v="19"/>
    <n v="40"/>
    <n v="0"/>
    <n v="760"/>
    <x v="6"/>
    <n v="1"/>
    <x v="1"/>
    <x v="5"/>
  </r>
  <r>
    <n v="10766"/>
    <x v="32"/>
    <n v="30"/>
    <n v="35"/>
    <n v="0"/>
    <n v="1050"/>
    <x v="2"/>
    <n v="7"/>
    <x v="1"/>
    <x v="5"/>
  </r>
  <r>
    <n v="10766"/>
    <x v="56"/>
    <n v="12.5"/>
    <n v="40"/>
    <n v="0"/>
    <n v="500"/>
    <x v="5"/>
    <n v="3"/>
    <x v="1"/>
    <x v="5"/>
  </r>
  <r>
    <n v="10767"/>
    <x v="1"/>
    <n v="14"/>
    <n v="2"/>
    <n v="0"/>
    <n v="28"/>
    <x v="1"/>
    <n v="5"/>
    <x v="3"/>
    <x v="5"/>
  </r>
  <r>
    <n v="10768"/>
    <x v="7"/>
    <n v="21"/>
    <n v="4"/>
    <n v="0"/>
    <n v="84"/>
    <x v="1"/>
    <n v="5"/>
    <x v="13"/>
    <x v="5"/>
  </r>
  <r>
    <n v="10768"/>
    <x v="12"/>
    <n v="12.5"/>
    <n v="50"/>
    <n v="0"/>
    <n v="625"/>
    <x v="0"/>
    <n v="4"/>
    <x v="13"/>
    <x v="5"/>
  </r>
  <r>
    <n v="10768"/>
    <x v="11"/>
    <n v="34"/>
    <n v="15"/>
    <n v="0"/>
    <n v="510"/>
    <x v="0"/>
    <n v="4"/>
    <x v="13"/>
    <x v="5"/>
  </r>
  <r>
    <n v="10768"/>
    <x v="42"/>
    <n v="21.5"/>
    <n v="12"/>
    <n v="0"/>
    <n v="258"/>
    <x v="0"/>
    <n v="4"/>
    <x v="13"/>
    <x v="5"/>
  </r>
  <r>
    <n v="10769"/>
    <x v="5"/>
    <n v="9.65"/>
    <n v="30"/>
    <n v="0.05"/>
    <n v="275.02499999999998"/>
    <x v="3"/>
    <n v="8"/>
    <x v="17"/>
    <x v="5"/>
  </r>
  <r>
    <n v="10769"/>
    <x v="65"/>
    <n v="7"/>
    <n v="15"/>
    <n v="0.05"/>
    <n v="99.75"/>
    <x v="1"/>
    <n v="5"/>
    <x v="17"/>
    <x v="5"/>
  </r>
  <r>
    <n v="10769"/>
    <x v="75"/>
    <n v="28.5"/>
    <n v="20"/>
    <n v="0"/>
    <n v="570"/>
    <x v="4"/>
    <n v="2"/>
    <x v="17"/>
    <x v="5"/>
  </r>
  <r>
    <n v="10769"/>
    <x v="29"/>
    <n v="49.3"/>
    <n v="15"/>
    <n v="0"/>
    <n v="739.5"/>
    <x v="5"/>
    <n v="3"/>
    <x v="17"/>
    <x v="5"/>
  </r>
  <r>
    <n v="10770"/>
    <x v="0"/>
    <n v="21"/>
    <n v="15"/>
    <n v="0.25"/>
    <n v="236.25"/>
    <x v="0"/>
    <n v="4"/>
    <x v="2"/>
    <x v="5"/>
  </r>
  <r>
    <n v="10771"/>
    <x v="42"/>
    <n v="21.5"/>
    <n v="16"/>
    <n v="0"/>
    <n v="344"/>
    <x v="0"/>
    <n v="4"/>
    <x v="6"/>
    <x v="5"/>
  </r>
  <r>
    <n v="10772"/>
    <x v="39"/>
    <n v="123.79"/>
    <n v="18"/>
    <n v="0"/>
    <n v="2228.2200000000003"/>
    <x v="7"/>
    <n v="6"/>
    <x v="1"/>
    <x v="5"/>
  </r>
  <r>
    <n v="10772"/>
    <x v="21"/>
    <n v="55"/>
    <n v="25"/>
    <n v="0"/>
    <n v="1375"/>
    <x v="0"/>
    <n v="4"/>
    <x v="1"/>
    <x v="5"/>
  </r>
  <r>
    <n v="10773"/>
    <x v="35"/>
    <n v="39"/>
    <n v="33"/>
    <n v="0"/>
    <n v="1287"/>
    <x v="7"/>
    <n v="6"/>
    <x v="6"/>
    <x v="5"/>
  </r>
  <r>
    <n v="10773"/>
    <x v="12"/>
    <n v="12.5"/>
    <n v="70"/>
    <n v="0.2"/>
    <n v="700"/>
    <x v="0"/>
    <n v="4"/>
    <x v="6"/>
    <x v="5"/>
  </r>
  <r>
    <n v="10773"/>
    <x v="48"/>
    <n v="7.75"/>
    <n v="7"/>
    <n v="0.2"/>
    <n v="43.400000000000006"/>
    <x v="6"/>
    <n v="1"/>
    <x v="6"/>
    <x v="5"/>
  </r>
  <r>
    <n v="10774"/>
    <x v="12"/>
    <n v="12.5"/>
    <n v="2"/>
    <n v="0.25"/>
    <n v="18.75"/>
    <x v="0"/>
    <n v="4"/>
    <x v="9"/>
    <x v="5"/>
  </r>
  <r>
    <n v="10774"/>
    <x v="61"/>
    <n v="17"/>
    <n v="50"/>
    <n v="0"/>
    <n v="850"/>
    <x v="4"/>
    <n v="2"/>
    <x v="9"/>
    <x v="5"/>
  </r>
  <r>
    <n v="10775"/>
    <x v="41"/>
    <n v="31"/>
    <n v="6"/>
    <n v="0"/>
    <n v="186"/>
    <x v="3"/>
    <n v="8"/>
    <x v="8"/>
    <x v="5"/>
  </r>
  <r>
    <n v="10775"/>
    <x v="51"/>
    <n v="14"/>
    <n v="3"/>
    <n v="0"/>
    <n v="42"/>
    <x v="6"/>
    <n v="1"/>
    <x v="8"/>
    <x v="5"/>
  </r>
  <r>
    <n v="10776"/>
    <x v="12"/>
    <n v="12.5"/>
    <n v="16"/>
    <n v="0.05"/>
    <n v="190"/>
    <x v="0"/>
    <n v="4"/>
    <x v="6"/>
    <x v="5"/>
  </r>
  <r>
    <n v="10776"/>
    <x v="1"/>
    <n v="14"/>
    <n v="12"/>
    <n v="0.05"/>
    <n v="159.6"/>
    <x v="1"/>
    <n v="5"/>
    <x v="6"/>
    <x v="5"/>
  </r>
  <r>
    <n v="10776"/>
    <x v="73"/>
    <n v="9.5"/>
    <n v="27"/>
    <n v="0.05"/>
    <n v="243.67499999999998"/>
    <x v="3"/>
    <n v="8"/>
    <x v="6"/>
    <x v="5"/>
  </r>
  <r>
    <n v="10776"/>
    <x v="4"/>
    <n v="53"/>
    <n v="120"/>
    <n v="0.05"/>
    <n v="6042"/>
    <x v="2"/>
    <n v="7"/>
    <x v="6"/>
    <x v="5"/>
  </r>
  <r>
    <n v="10777"/>
    <x v="1"/>
    <n v="14"/>
    <n v="20"/>
    <n v="0.2"/>
    <n v="224"/>
    <x v="1"/>
    <n v="5"/>
    <x v="2"/>
    <x v="5"/>
  </r>
  <r>
    <n v="10778"/>
    <x v="5"/>
    <n v="9.65"/>
    <n v="10"/>
    <n v="0"/>
    <n v="96.5"/>
    <x v="3"/>
    <n v="8"/>
    <x v="9"/>
    <x v="5"/>
  </r>
  <r>
    <n v="10779"/>
    <x v="19"/>
    <n v="17.45"/>
    <n v="20"/>
    <n v="0"/>
    <n v="349"/>
    <x v="5"/>
    <n v="3"/>
    <x v="1"/>
    <x v="5"/>
  </r>
  <r>
    <n v="10779"/>
    <x v="29"/>
    <n v="49.3"/>
    <n v="20"/>
    <n v="0"/>
    <n v="986"/>
    <x v="5"/>
    <n v="3"/>
    <x v="1"/>
    <x v="5"/>
  </r>
  <r>
    <n v="10780"/>
    <x v="30"/>
    <n v="15"/>
    <n v="35"/>
    <n v="0"/>
    <n v="525"/>
    <x v="6"/>
    <n v="1"/>
    <x v="5"/>
    <x v="5"/>
  </r>
  <r>
    <n v="10780"/>
    <x v="23"/>
    <n v="13"/>
    <n v="15"/>
    <n v="0"/>
    <n v="195"/>
    <x v="4"/>
    <n v="2"/>
    <x v="5"/>
    <x v="5"/>
  </r>
  <r>
    <n v="10781"/>
    <x v="55"/>
    <n v="7.45"/>
    <n v="3"/>
    <n v="0.2"/>
    <n v="17.880000000000003"/>
    <x v="7"/>
    <n v="6"/>
    <x v="10"/>
    <x v="5"/>
  </r>
  <r>
    <n v="10781"/>
    <x v="33"/>
    <n v="38"/>
    <n v="20"/>
    <n v="0.2"/>
    <n v="608"/>
    <x v="1"/>
    <n v="5"/>
    <x v="10"/>
    <x v="5"/>
  </r>
  <r>
    <n v="10781"/>
    <x v="17"/>
    <n v="10"/>
    <n v="35"/>
    <n v="0"/>
    <n v="350"/>
    <x v="2"/>
    <n v="7"/>
    <x v="10"/>
    <x v="5"/>
  </r>
  <r>
    <n v="10782"/>
    <x v="12"/>
    <n v="12.5"/>
    <n v="1"/>
    <n v="0"/>
    <n v="12.5"/>
    <x v="0"/>
    <n v="4"/>
    <x v="20"/>
    <x v="5"/>
  </r>
  <r>
    <n v="10783"/>
    <x v="12"/>
    <n v="12.5"/>
    <n v="10"/>
    <n v="0"/>
    <n v="125"/>
    <x v="0"/>
    <n v="4"/>
    <x v="2"/>
    <x v="5"/>
  </r>
  <r>
    <n v="10783"/>
    <x v="67"/>
    <n v="263.5"/>
    <n v="5"/>
    <n v="0"/>
    <n v="1317.5"/>
    <x v="6"/>
    <n v="1"/>
    <x v="2"/>
    <x v="5"/>
  </r>
  <r>
    <n v="10784"/>
    <x v="20"/>
    <n v="19"/>
    <n v="30"/>
    <n v="0"/>
    <n v="570"/>
    <x v="3"/>
    <n v="8"/>
    <x v="11"/>
    <x v="5"/>
  </r>
  <r>
    <n v="10784"/>
    <x v="13"/>
    <n v="18"/>
    <n v="2"/>
    <n v="0.15"/>
    <n v="30.599999999999998"/>
    <x v="6"/>
    <n v="1"/>
    <x v="11"/>
    <x v="5"/>
  </r>
  <r>
    <n v="10784"/>
    <x v="2"/>
    <n v="34.799999999999997"/>
    <n v="30"/>
    <n v="0.15"/>
    <n v="887.4"/>
    <x v="0"/>
    <n v="4"/>
    <x v="11"/>
    <x v="5"/>
  </r>
  <r>
    <n v="10785"/>
    <x v="41"/>
    <n v="31"/>
    <n v="10"/>
    <n v="0"/>
    <n v="310"/>
    <x v="3"/>
    <n v="8"/>
    <x v="5"/>
    <x v="5"/>
  </r>
  <r>
    <n v="10785"/>
    <x v="48"/>
    <n v="7.75"/>
    <n v="10"/>
    <n v="0"/>
    <n v="77.5"/>
    <x v="6"/>
    <n v="1"/>
    <x v="5"/>
    <x v="5"/>
  </r>
  <r>
    <n v="10786"/>
    <x v="71"/>
    <n v="40"/>
    <n v="30"/>
    <n v="0.2"/>
    <n v="960"/>
    <x v="4"/>
    <n v="2"/>
    <x v="2"/>
    <x v="5"/>
  </r>
  <r>
    <n v="10786"/>
    <x v="34"/>
    <n v="25.89"/>
    <n v="15"/>
    <n v="0.2"/>
    <n v="310.68000000000006"/>
    <x v="3"/>
    <n v="8"/>
    <x v="2"/>
    <x v="5"/>
  </r>
  <r>
    <n v="10786"/>
    <x v="48"/>
    <n v="7.75"/>
    <n v="42"/>
    <n v="0.2"/>
    <n v="260.40000000000003"/>
    <x v="6"/>
    <n v="1"/>
    <x v="2"/>
    <x v="5"/>
  </r>
  <r>
    <n v="10787"/>
    <x v="18"/>
    <n v="19"/>
    <n v="15"/>
    <n v="0.05"/>
    <n v="270.75"/>
    <x v="6"/>
    <n v="1"/>
    <x v="0"/>
    <x v="5"/>
  </r>
  <r>
    <n v="10787"/>
    <x v="39"/>
    <n v="123.79"/>
    <n v="20"/>
    <n v="0.05"/>
    <n v="2352.0100000000002"/>
    <x v="7"/>
    <n v="6"/>
    <x v="0"/>
    <x v="5"/>
  </r>
  <r>
    <n v="10788"/>
    <x v="49"/>
    <n v="9.1999999999999993"/>
    <n v="50"/>
    <n v="0.05"/>
    <n v="436.99999999999994"/>
    <x v="5"/>
    <n v="3"/>
    <x v="1"/>
    <x v="5"/>
  </r>
  <r>
    <n v="10788"/>
    <x v="48"/>
    <n v="7.75"/>
    <n v="40"/>
    <n v="0.05"/>
    <n v="294.5"/>
    <x v="6"/>
    <n v="1"/>
    <x v="1"/>
    <x v="5"/>
  </r>
  <r>
    <n v="10789"/>
    <x v="59"/>
    <n v="62.5"/>
    <n v="30"/>
    <n v="0"/>
    <n v="1875"/>
    <x v="3"/>
    <n v="8"/>
    <x v="0"/>
    <x v="5"/>
  </r>
  <r>
    <n v="10789"/>
    <x v="31"/>
    <n v="18"/>
    <n v="15"/>
    <n v="0"/>
    <n v="270"/>
    <x v="6"/>
    <n v="1"/>
    <x v="0"/>
    <x v="5"/>
  </r>
  <r>
    <n v="10789"/>
    <x v="46"/>
    <n v="43.9"/>
    <n v="30"/>
    <n v="0"/>
    <n v="1317"/>
    <x v="4"/>
    <n v="2"/>
    <x v="0"/>
    <x v="5"/>
  </r>
  <r>
    <n v="10789"/>
    <x v="56"/>
    <n v="12.5"/>
    <n v="18"/>
    <n v="0"/>
    <n v="225"/>
    <x v="5"/>
    <n v="3"/>
    <x v="0"/>
    <x v="5"/>
  </r>
  <r>
    <n v="10790"/>
    <x v="32"/>
    <n v="30"/>
    <n v="3"/>
    <n v="0.15"/>
    <n v="76.5"/>
    <x v="2"/>
    <n v="7"/>
    <x v="2"/>
    <x v="5"/>
  </r>
  <r>
    <n v="10790"/>
    <x v="33"/>
    <n v="38"/>
    <n v="20"/>
    <n v="0.15"/>
    <n v="646"/>
    <x v="1"/>
    <n v="5"/>
    <x v="2"/>
    <x v="5"/>
  </r>
  <r>
    <n v="10791"/>
    <x v="39"/>
    <n v="123.79"/>
    <n v="14"/>
    <n v="0.05"/>
    <n v="1646.4070000000002"/>
    <x v="7"/>
    <n v="6"/>
    <x v="1"/>
    <x v="5"/>
  </r>
  <r>
    <n v="10791"/>
    <x v="5"/>
    <n v="9.65"/>
    <n v="20"/>
    <n v="0.05"/>
    <n v="183.35"/>
    <x v="3"/>
    <n v="8"/>
    <x v="1"/>
    <x v="5"/>
  </r>
  <r>
    <n v="10792"/>
    <x v="18"/>
    <n v="19"/>
    <n v="10"/>
    <n v="0"/>
    <n v="190"/>
    <x v="6"/>
    <n v="1"/>
    <x v="18"/>
    <x v="5"/>
  </r>
  <r>
    <n v="10792"/>
    <x v="55"/>
    <n v="7.45"/>
    <n v="3"/>
    <n v="0"/>
    <n v="22.35"/>
    <x v="7"/>
    <n v="6"/>
    <x v="18"/>
    <x v="5"/>
  </r>
  <r>
    <n v="10792"/>
    <x v="56"/>
    <n v="12.5"/>
    <n v="15"/>
    <n v="0"/>
    <n v="187.5"/>
    <x v="5"/>
    <n v="3"/>
    <x v="18"/>
    <x v="5"/>
  </r>
  <r>
    <n v="10793"/>
    <x v="5"/>
    <n v="9.65"/>
    <n v="14"/>
    <n v="0"/>
    <n v="135.1"/>
    <x v="3"/>
    <n v="8"/>
    <x v="13"/>
    <x v="5"/>
  </r>
  <r>
    <n v="10793"/>
    <x v="65"/>
    <n v="7"/>
    <n v="8"/>
    <n v="0"/>
    <n v="56"/>
    <x v="1"/>
    <n v="5"/>
    <x v="13"/>
    <x v="5"/>
  </r>
  <r>
    <n v="10794"/>
    <x v="3"/>
    <n v="23.25"/>
    <n v="15"/>
    <n v="0.2"/>
    <n v="279"/>
    <x v="2"/>
    <n v="7"/>
    <x v="2"/>
    <x v="5"/>
  </r>
  <r>
    <n v="10794"/>
    <x v="55"/>
    <n v="7.45"/>
    <n v="6"/>
    <n v="0.2"/>
    <n v="35.760000000000005"/>
    <x v="7"/>
    <n v="6"/>
    <x v="2"/>
    <x v="5"/>
  </r>
  <r>
    <n v="10795"/>
    <x v="19"/>
    <n v="17.45"/>
    <n v="65"/>
    <n v="0"/>
    <n v="1134.25"/>
    <x v="5"/>
    <n v="3"/>
    <x v="6"/>
    <x v="5"/>
  </r>
  <r>
    <n v="10795"/>
    <x v="35"/>
    <n v="39"/>
    <n v="35"/>
    <n v="0.25"/>
    <n v="1023.75"/>
    <x v="7"/>
    <n v="6"/>
    <x v="6"/>
    <x v="5"/>
  </r>
  <r>
    <n v="10796"/>
    <x v="68"/>
    <n v="31.23"/>
    <n v="21"/>
    <n v="0.2"/>
    <n v="524.6640000000001"/>
    <x v="5"/>
    <n v="3"/>
    <x v="5"/>
    <x v="5"/>
  </r>
  <r>
    <n v="10796"/>
    <x v="45"/>
    <n v="19.45"/>
    <n v="10"/>
    <n v="0"/>
    <n v="194.5"/>
    <x v="4"/>
    <n v="2"/>
    <x v="5"/>
    <x v="5"/>
  </r>
  <r>
    <n v="10796"/>
    <x v="58"/>
    <n v="33.25"/>
    <n v="35"/>
    <n v="0.2"/>
    <n v="931"/>
    <x v="1"/>
    <n v="5"/>
    <x v="5"/>
    <x v="5"/>
  </r>
  <r>
    <n v="10796"/>
    <x v="60"/>
    <n v="36"/>
    <n v="24"/>
    <n v="0.2"/>
    <n v="691.2"/>
    <x v="0"/>
    <n v="4"/>
    <x v="5"/>
    <x v="5"/>
  </r>
  <r>
    <n v="10797"/>
    <x v="0"/>
    <n v="21"/>
    <n v="20"/>
    <n v="0"/>
    <n v="420"/>
    <x v="0"/>
    <n v="4"/>
    <x v="1"/>
    <x v="5"/>
  </r>
  <r>
    <n v="10798"/>
    <x v="29"/>
    <n v="49.3"/>
    <n v="2"/>
    <n v="0"/>
    <n v="98.6"/>
    <x v="5"/>
    <n v="3"/>
    <x v="13"/>
    <x v="5"/>
  </r>
  <r>
    <n v="10798"/>
    <x v="2"/>
    <n v="34.799999999999997"/>
    <n v="10"/>
    <n v="0"/>
    <n v="348"/>
    <x v="0"/>
    <n v="4"/>
    <x v="13"/>
    <x v="5"/>
  </r>
  <r>
    <n v="10799"/>
    <x v="43"/>
    <n v="6"/>
    <n v="20"/>
    <n v="0.15"/>
    <n v="102"/>
    <x v="3"/>
    <n v="8"/>
    <x v="1"/>
    <x v="5"/>
  </r>
  <r>
    <n v="10799"/>
    <x v="15"/>
    <n v="4.5"/>
    <n v="20"/>
    <n v="0.15"/>
    <n v="76.5"/>
    <x v="6"/>
    <n v="1"/>
    <x v="1"/>
    <x v="5"/>
  </r>
  <r>
    <n v="10799"/>
    <x v="21"/>
    <n v="55"/>
    <n v="25"/>
    <n v="0"/>
    <n v="1375"/>
    <x v="0"/>
    <n v="4"/>
    <x v="1"/>
    <x v="5"/>
  </r>
  <r>
    <n v="10800"/>
    <x v="0"/>
    <n v="21"/>
    <n v="50"/>
    <n v="0.1"/>
    <n v="945"/>
    <x v="0"/>
    <n v="4"/>
    <x v="13"/>
    <x v="5"/>
  </r>
  <r>
    <n v="10800"/>
    <x v="4"/>
    <n v="53"/>
    <n v="10"/>
    <n v="0.1"/>
    <n v="477"/>
    <x v="2"/>
    <n v="7"/>
    <x v="13"/>
    <x v="5"/>
  </r>
  <r>
    <n v="10800"/>
    <x v="55"/>
    <n v="7.45"/>
    <n v="7"/>
    <n v="0.1"/>
    <n v="46.935000000000002"/>
    <x v="7"/>
    <n v="6"/>
    <x v="13"/>
    <x v="5"/>
  </r>
  <r>
    <n v="10801"/>
    <x v="35"/>
    <n v="39"/>
    <n v="40"/>
    <n v="0.25"/>
    <n v="1170"/>
    <x v="7"/>
    <n v="6"/>
    <x v="12"/>
    <x v="5"/>
  </r>
  <r>
    <n v="10801"/>
    <x v="39"/>
    <n v="123.79"/>
    <n v="20"/>
    <n v="0.25"/>
    <n v="1856.8500000000001"/>
    <x v="7"/>
    <n v="6"/>
    <x v="12"/>
    <x v="5"/>
  </r>
  <r>
    <n v="10802"/>
    <x v="34"/>
    <n v="25.89"/>
    <n v="25"/>
    <n v="0.25"/>
    <n v="485.4375"/>
    <x v="3"/>
    <n v="8"/>
    <x v="17"/>
    <x v="5"/>
  </r>
  <r>
    <n v="10802"/>
    <x v="4"/>
    <n v="53"/>
    <n v="30"/>
    <n v="0.25"/>
    <n v="1192.5"/>
    <x v="2"/>
    <n v="7"/>
    <x v="17"/>
    <x v="5"/>
  </r>
  <r>
    <n v="10802"/>
    <x v="16"/>
    <n v="24"/>
    <n v="60"/>
    <n v="0.25"/>
    <n v="1080"/>
    <x v="7"/>
    <n v="6"/>
    <x v="17"/>
    <x v="5"/>
  </r>
  <r>
    <n v="10802"/>
    <x v="29"/>
    <n v="49.3"/>
    <n v="5"/>
    <n v="0.25"/>
    <n v="184.875"/>
    <x v="5"/>
    <n v="3"/>
    <x v="17"/>
    <x v="5"/>
  </r>
  <r>
    <n v="10803"/>
    <x v="49"/>
    <n v="9.1999999999999993"/>
    <n v="24"/>
    <n v="0.05"/>
    <n v="209.75999999999996"/>
    <x v="5"/>
    <n v="3"/>
    <x v="2"/>
    <x v="5"/>
  </r>
  <r>
    <n v="10803"/>
    <x v="66"/>
    <n v="14"/>
    <n v="15"/>
    <n v="0.05"/>
    <n v="199.5"/>
    <x v="5"/>
    <n v="3"/>
    <x v="2"/>
    <x v="5"/>
  </r>
  <r>
    <n v="10803"/>
    <x v="21"/>
    <n v="55"/>
    <n v="15"/>
    <n v="0.05"/>
    <n v="783.75"/>
    <x v="0"/>
    <n v="4"/>
    <x v="2"/>
    <x v="5"/>
  </r>
  <r>
    <n v="10804"/>
    <x v="41"/>
    <n v="31"/>
    <n v="36"/>
    <n v="0"/>
    <n v="1116"/>
    <x v="3"/>
    <n v="8"/>
    <x v="13"/>
    <x v="5"/>
  </r>
  <r>
    <n v="10804"/>
    <x v="44"/>
    <n v="45.6"/>
    <n v="24"/>
    <n v="0"/>
    <n v="1094.4000000000001"/>
    <x v="2"/>
    <n v="7"/>
    <x v="13"/>
    <x v="5"/>
  </r>
  <r>
    <n v="10804"/>
    <x v="14"/>
    <n v="20"/>
    <n v="4"/>
    <n v="0.15"/>
    <n v="68"/>
    <x v="5"/>
    <n v="3"/>
    <x v="13"/>
    <x v="5"/>
  </r>
  <r>
    <n v="10805"/>
    <x v="53"/>
    <n v="14"/>
    <n v="10"/>
    <n v="0"/>
    <n v="140"/>
    <x v="6"/>
    <n v="1"/>
    <x v="8"/>
    <x v="5"/>
  </r>
  <r>
    <n v="10805"/>
    <x v="67"/>
    <n v="263.5"/>
    <n v="10"/>
    <n v="0"/>
    <n v="2635"/>
    <x v="6"/>
    <n v="1"/>
    <x v="8"/>
    <x v="5"/>
  </r>
  <r>
    <n v="10806"/>
    <x v="18"/>
    <n v="19"/>
    <n v="20"/>
    <n v="0.25"/>
    <n v="285"/>
    <x v="6"/>
    <n v="1"/>
    <x v="0"/>
    <x v="5"/>
  </r>
  <r>
    <n v="10806"/>
    <x v="6"/>
    <n v="21.05"/>
    <n v="2"/>
    <n v="0"/>
    <n v="42.1"/>
    <x v="4"/>
    <n v="2"/>
    <x v="0"/>
    <x v="5"/>
  </r>
  <r>
    <n v="10806"/>
    <x v="17"/>
    <n v="10"/>
    <n v="15"/>
    <n v="0.25"/>
    <n v="112.5"/>
    <x v="2"/>
    <n v="7"/>
    <x v="0"/>
    <x v="5"/>
  </r>
  <r>
    <n v="10807"/>
    <x v="37"/>
    <n v="18.399999999999999"/>
    <n v="1"/>
    <n v="0"/>
    <n v="18.399999999999999"/>
    <x v="3"/>
    <n v="8"/>
    <x v="11"/>
    <x v="5"/>
  </r>
  <r>
    <n v="10808"/>
    <x v="33"/>
    <n v="38"/>
    <n v="20"/>
    <n v="0.15"/>
    <n v="646"/>
    <x v="1"/>
    <n v="5"/>
    <x v="8"/>
    <x v="6"/>
  </r>
  <r>
    <n v="10808"/>
    <x v="38"/>
    <n v="18"/>
    <n v="50"/>
    <n v="0.15"/>
    <n v="765"/>
    <x v="6"/>
    <n v="1"/>
    <x v="8"/>
    <x v="6"/>
  </r>
  <r>
    <n v="10809"/>
    <x v="65"/>
    <n v="7"/>
    <n v="20"/>
    <n v="0"/>
    <n v="140"/>
    <x v="1"/>
    <n v="5"/>
    <x v="2"/>
    <x v="6"/>
  </r>
  <r>
    <n v="10810"/>
    <x v="43"/>
    <n v="6"/>
    <n v="7"/>
    <n v="0"/>
    <n v="42"/>
    <x v="3"/>
    <n v="8"/>
    <x v="16"/>
    <x v="6"/>
  </r>
  <r>
    <n v="10810"/>
    <x v="66"/>
    <n v="14"/>
    <n v="5"/>
    <n v="0"/>
    <n v="70"/>
    <x v="5"/>
    <n v="3"/>
    <x v="16"/>
    <x v="6"/>
  </r>
  <r>
    <n v="10810"/>
    <x v="30"/>
    <n v="15"/>
    <n v="5"/>
    <n v="0"/>
    <n v="75"/>
    <x v="6"/>
    <n v="1"/>
    <x v="16"/>
    <x v="6"/>
  </r>
  <r>
    <n v="10811"/>
    <x v="49"/>
    <n v="9.1999999999999993"/>
    <n v="15"/>
    <n v="0"/>
    <n v="138"/>
    <x v="5"/>
    <n v="3"/>
    <x v="5"/>
    <x v="6"/>
  </r>
  <r>
    <n v="10811"/>
    <x v="70"/>
    <n v="9"/>
    <n v="18"/>
    <n v="0"/>
    <n v="162"/>
    <x v="1"/>
    <n v="5"/>
    <x v="5"/>
    <x v="6"/>
  </r>
  <r>
    <n v="10811"/>
    <x v="37"/>
    <n v="18.399999999999999"/>
    <n v="30"/>
    <n v="0"/>
    <n v="552"/>
    <x v="3"/>
    <n v="8"/>
    <x v="5"/>
    <x v="6"/>
  </r>
  <r>
    <n v="10812"/>
    <x v="12"/>
    <n v="12.5"/>
    <n v="16"/>
    <n v="0.1"/>
    <n v="180"/>
    <x v="0"/>
    <n v="4"/>
    <x v="11"/>
    <x v="6"/>
  </r>
  <r>
    <n v="10812"/>
    <x v="2"/>
    <n v="34.799999999999997"/>
    <n v="40"/>
    <n v="0.1"/>
    <n v="1252.8"/>
    <x v="0"/>
    <n v="4"/>
    <x v="11"/>
    <x v="6"/>
  </r>
  <r>
    <n v="10812"/>
    <x v="23"/>
    <n v="13"/>
    <n v="20"/>
    <n v="0"/>
    <n v="260"/>
    <x v="4"/>
    <n v="2"/>
    <x v="11"/>
    <x v="6"/>
  </r>
  <r>
    <n v="10813"/>
    <x v="18"/>
    <n v="19"/>
    <n v="12"/>
    <n v="0.2"/>
    <n v="182.4"/>
    <x v="6"/>
    <n v="1"/>
    <x v="2"/>
    <x v="6"/>
  </r>
  <r>
    <n v="10813"/>
    <x v="54"/>
    <n v="12"/>
    <n v="35"/>
    <n v="0"/>
    <n v="420"/>
    <x v="3"/>
    <n v="8"/>
    <x v="2"/>
    <x v="6"/>
  </r>
  <r>
    <n v="10814"/>
    <x v="5"/>
    <n v="9.65"/>
    <n v="20"/>
    <n v="0"/>
    <n v="193"/>
    <x v="3"/>
    <n v="8"/>
    <x v="0"/>
    <x v="6"/>
  </r>
  <r>
    <n v="10814"/>
    <x v="40"/>
    <n v="46"/>
    <n v="20"/>
    <n v="0.15"/>
    <n v="782"/>
    <x v="6"/>
    <n v="1"/>
    <x v="0"/>
    <x v="6"/>
  </r>
  <r>
    <n v="10814"/>
    <x v="74"/>
    <n v="12.75"/>
    <n v="8"/>
    <n v="0.15"/>
    <n v="86.7"/>
    <x v="5"/>
    <n v="3"/>
    <x v="0"/>
    <x v="6"/>
  </r>
  <r>
    <n v="10814"/>
    <x v="75"/>
    <n v="28.5"/>
    <n v="30"/>
    <n v="0.15"/>
    <n v="726.75"/>
    <x v="4"/>
    <n v="2"/>
    <x v="0"/>
    <x v="6"/>
  </r>
  <r>
    <n v="10815"/>
    <x v="10"/>
    <n v="2.5"/>
    <n v="16"/>
    <n v="0"/>
    <n v="40"/>
    <x v="0"/>
    <n v="4"/>
    <x v="8"/>
    <x v="6"/>
  </r>
  <r>
    <n v="10816"/>
    <x v="67"/>
    <n v="263.5"/>
    <n v="30"/>
    <n v="0.05"/>
    <n v="7509.75"/>
    <x v="6"/>
    <n v="1"/>
    <x v="8"/>
    <x v="6"/>
  </r>
  <r>
    <n v="10816"/>
    <x v="29"/>
    <n v="49.3"/>
    <n v="20"/>
    <n v="0.05"/>
    <n v="936.69999999999993"/>
    <x v="5"/>
    <n v="3"/>
    <x v="8"/>
    <x v="6"/>
  </r>
  <r>
    <n v="10817"/>
    <x v="68"/>
    <n v="31.23"/>
    <n v="40"/>
    <n v="0.15"/>
    <n v="1061.82"/>
    <x v="5"/>
    <n v="3"/>
    <x v="1"/>
    <x v="6"/>
  </r>
  <r>
    <n v="10817"/>
    <x v="67"/>
    <n v="263.5"/>
    <n v="30"/>
    <n v="0"/>
    <n v="7905"/>
    <x v="6"/>
    <n v="1"/>
    <x v="1"/>
    <x v="6"/>
  </r>
  <r>
    <n v="10817"/>
    <x v="37"/>
    <n v="18.399999999999999"/>
    <n v="60"/>
    <n v="0.15"/>
    <n v="938.4"/>
    <x v="3"/>
    <n v="8"/>
    <x v="1"/>
    <x v="6"/>
  </r>
  <r>
    <n v="10817"/>
    <x v="29"/>
    <n v="49.3"/>
    <n v="25"/>
    <n v="0.15"/>
    <n v="1047.625"/>
    <x v="5"/>
    <n v="3"/>
    <x v="1"/>
    <x v="6"/>
  </r>
  <r>
    <n v="10818"/>
    <x v="26"/>
    <n v="32"/>
    <n v="20"/>
    <n v="0"/>
    <n v="640"/>
    <x v="0"/>
    <n v="4"/>
    <x v="11"/>
    <x v="6"/>
  </r>
  <r>
    <n v="10818"/>
    <x v="5"/>
    <n v="9.65"/>
    <n v="20"/>
    <n v="0"/>
    <n v="193"/>
    <x v="3"/>
    <n v="8"/>
    <x v="11"/>
    <x v="6"/>
  </r>
  <r>
    <n v="10819"/>
    <x v="40"/>
    <n v="46"/>
    <n v="7"/>
    <n v="0"/>
    <n v="322"/>
    <x v="6"/>
    <n v="1"/>
    <x v="20"/>
    <x v="6"/>
  </r>
  <r>
    <n v="10819"/>
    <x v="48"/>
    <n v="7.75"/>
    <n v="20"/>
    <n v="0"/>
    <n v="155"/>
    <x v="6"/>
    <n v="1"/>
    <x v="20"/>
    <x v="6"/>
  </r>
  <r>
    <n v="10820"/>
    <x v="33"/>
    <n v="38"/>
    <n v="30"/>
    <n v="0"/>
    <n v="1140"/>
    <x v="1"/>
    <n v="5"/>
    <x v="8"/>
    <x v="6"/>
  </r>
  <r>
    <n v="10821"/>
    <x v="31"/>
    <n v="18"/>
    <n v="20"/>
    <n v="0"/>
    <n v="360"/>
    <x v="6"/>
    <n v="1"/>
    <x v="8"/>
    <x v="6"/>
  </r>
  <r>
    <n v="10821"/>
    <x v="4"/>
    <n v="53"/>
    <n v="6"/>
    <n v="0"/>
    <n v="318"/>
    <x v="2"/>
    <n v="7"/>
    <x v="8"/>
    <x v="6"/>
  </r>
  <r>
    <n v="10822"/>
    <x v="29"/>
    <n v="49.3"/>
    <n v="3"/>
    <n v="0"/>
    <n v="147.89999999999998"/>
    <x v="5"/>
    <n v="3"/>
    <x v="8"/>
    <x v="6"/>
  </r>
  <r>
    <n v="10822"/>
    <x v="30"/>
    <n v="15"/>
    <n v="6"/>
    <n v="0"/>
    <n v="90"/>
    <x v="6"/>
    <n v="1"/>
    <x v="8"/>
    <x v="6"/>
  </r>
  <r>
    <n v="10823"/>
    <x v="0"/>
    <n v="21"/>
    <n v="20"/>
    <n v="0.1"/>
    <n v="378"/>
    <x v="0"/>
    <n v="4"/>
    <x v="5"/>
    <x v="6"/>
  </r>
  <r>
    <n v="10823"/>
    <x v="8"/>
    <n v="19.5"/>
    <n v="15"/>
    <n v="0"/>
    <n v="292.5"/>
    <x v="1"/>
    <n v="5"/>
    <x v="5"/>
    <x v="6"/>
  </r>
  <r>
    <n v="10823"/>
    <x v="21"/>
    <n v="55"/>
    <n v="40"/>
    <n v="0.1"/>
    <n v="1980"/>
    <x v="0"/>
    <n v="4"/>
    <x v="5"/>
    <x v="6"/>
  </r>
  <r>
    <n v="10823"/>
    <x v="23"/>
    <n v="13"/>
    <n v="15"/>
    <n v="0.1"/>
    <n v="175.5"/>
    <x v="4"/>
    <n v="2"/>
    <x v="5"/>
    <x v="6"/>
  </r>
  <r>
    <n v="10824"/>
    <x v="5"/>
    <n v="9.65"/>
    <n v="12"/>
    <n v="0"/>
    <n v="115.80000000000001"/>
    <x v="3"/>
    <n v="8"/>
    <x v="9"/>
    <x v="6"/>
  </r>
  <r>
    <n v="10824"/>
    <x v="30"/>
    <n v="15"/>
    <n v="9"/>
    <n v="0"/>
    <n v="135"/>
    <x v="6"/>
    <n v="1"/>
    <x v="9"/>
    <x v="6"/>
  </r>
  <r>
    <n v="10825"/>
    <x v="68"/>
    <n v="31.23"/>
    <n v="12"/>
    <n v="0"/>
    <n v="374.76"/>
    <x v="5"/>
    <n v="3"/>
    <x v="1"/>
    <x v="6"/>
  </r>
  <r>
    <n v="10825"/>
    <x v="22"/>
    <n v="32.799999999999997"/>
    <n v="20"/>
    <n v="0"/>
    <n v="656"/>
    <x v="7"/>
    <n v="6"/>
    <x v="1"/>
    <x v="6"/>
  </r>
  <r>
    <n v="10826"/>
    <x v="12"/>
    <n v="12.5"/>
    <n v="35"/>
    <n v="0"/>
    <n v="437.5"/>
    <x v="0"/>
    <n v="4"/>
    <x v="0"/>
    <x v="6"/>
  </r>
  <r>
    <n v="10826"/>
    <x v="8"/>
    <n v="19.5"/>
    <n v="15"/>
    <n v="0"/>
    <n v="292.5"/>
    <x v="1"/>
    <n v="5"/>
    <x v="0"/>
    <x v="6"/>
  </r>
  <r>
    <n v="10827"/>
    <x v="41"/>
    <n v="31"/>
    <n v="15"/>
    <n v="0"/>
    <n v="465"/>
    <x v="3"/>
    <n v="8"/>
    <x v="0"/>
    <x v="6"/>
  </r>
  <r>
    <n v="10827"/>
    <x v="13"/>
    <n v="18"/>
    <n v="21"/>
    <n v="0"/>
    <n v="378"/>
    <x v="6"/>
    <n v="1"/>
    <x v="0"/>
    <x v="6"/>
  </r>
  <r>
    <n v="10828"/>
    <x v="9"/>
    <n v="81"/>
    <n v="5"/>
    <n v="0"/>
    <n v="405"/>
    <x v="5"/>
    <n v="3"/>
    <x v="20"/>
    <x v="6"/>
  </r>
  <r>
    <n v="10828"/>
    <x v="67"/>
    <n v="263.5"/>
    <n v="2"/>
    <n v="0"/>
    <n v="527"/>
    <x v="6"/>
    <n v="1"/>
    <x v="20"/>
    <x v="6"/>
  </r>
  <r>
    <n v="10829"/>
    <x v="18"/>
    <n v="19"/>
    <n v="10"/>
    <n v="0"/>
    <n v="190"/>
    <x v="6"/>
    <n v="1"/>
    <x v="13"/>
    <x v="6"/>
  </r>
  <r>
    <n v="10829"/>
    <x v="71"/>
    <n v="40"/>
    <n v="20"/>
    <n v="0"/>
    <n v="800"/>
    <x v="4"/>
    <n v="2"/>
    <x v="13"/>
    <x v="6"/>
  </r>
  <r>
    <n v="10829"/>
    <x v="43"/>
    <n v="6"/>
    <n v="10"/>
    <n v="0"/>
    <n v="60"/>
    <x v="3"/>
    <n v="8"/>
    <x v="13"/>
    <x v="6"/>
  </r>
  <r>
    <n v="10829"/>
    <x v="11"/>
    <n v="34"/>
    <n v="21"/>
    <n v="0"/>
    <n v="714"/>
    <x v="0"/>
    <n v="4"/>
    <x v="13"/>
    <x v="6"/>
  </r>
  <r>
    <n v="10830"/>
    <x v="63"/>
    <n v="25"/>
    <n v="6"/>
    <n v="0"/>
    <n v="150"/>
    <x v="4"/>
    <n v="2"/>
    <x v="2"/>
    <x v="6"/>
  </r>
  <r>
    <n v="10830"/>
    <x v="13"/>
    <n v="18"/>
    <n v="28"/>
    <n v="0"/>
    <n v="504"/>
    <x v="6"/>
    <n v="1"/>
    <x v="2"/>
    <x v="6"/>
  </r>
  <r>
    <n v="10830"/>
    <x v="11"/>
    <n v="34"/>
    <n v="30"/>
    <n v="0"/>
    <n v="1020"/>
    <x v="0"/>
    <n v="4"/>
    <x v="2"/>
    <x v="6"/>
  </r>
  <r>
    <n v="10830"/>
    <x v="56"/>
    <n v="12.5"/>
    <n v="24"/>
    <n v="0"/>
    <n v="300"/>
    <x v="5"/>
    <n v="3"/>
    <x v="2"/>
    <x v="6"/>
  </r>
  <r>
    <n v="10831"/>
    <x v="49"/>
    <n v="9.1999999999999993"/>
    <n v="2"/>
    <n v="0"/>
    <n v="18.399999999999999"/>
    <x v="5"/>
    <n v="3"/>
    <x v="19"/>
    <x v="6"/>
  </r>
  <r>
    <n v="10831"/>
    <x v="31"/>
    <n v="18"/>
    <n v="8"/>
    <n v="0"/>
    <n v="144"/>
    <x v="6"/>
    <n v="1"/>
    <x v="19"/>
    <x v="6"/>
  </r>
  <r>
    <n v="10831"/>
    <x v="67"/>
    <n v="263.5"/>
    <n v="8"/>
    <n v="0"/>
    <n v="2108"/>
    <x v="6"/>
    <n v="1"/>
    <x v="19"/>
    <x v="6"/>
  </r>
  <r>
    <n v="10831"/>
    <x v="40"/>
    <n v="46"/>
    <n v="9"/>
    <n v="0"/>
    <n v="414"/>
    <x v="6"/>
    <n v="1"/>
    <x v="19"/>
    <x v="6"/>
  </r>
  <r>
    <n v="10832"/>
    <x v="43"/>
    <n v="6"/>
    <n v="3"/>
    <n v="0.2"/>
    <n v="14.4"/>
    <x v="3"/>
    <n v="8"/>
    <x v="0"/>
    <x v="6"/>
  </r>
  <r>
    <n v="10832"/>
    <x v="66"/>
    <n v="14"/>
    <n v="10"/>
    <n v="0.2"/>
    <n v="112"/>
    <x v="5"/>
    <n v="3"/>
    <x v="0"/>
    <x v="6"/>
  </r>
  <r>
    <n v="10832"/>
    <x v="45"/>
    <n v="19.45"/>
    <n v="16"/>
    <n v="0.2"/>
    <n v="248.96"/>
    <x v="4"/>
    <n v="2"/>
    <x v="0"/>
    <x v="6"/>
  </r>
  <r>
    <n v="10832"/>
    <x v="58"/>
    <n v="33.25"/>
    <n v="3"/>
    <n v="0"/>
    <n v="99.75"/>
    <x v="1"/>
    <n v="5"/>
    <x v="0"/>
    <x v="6"/>
  </r>
  <r>
    <n v="10833"/>
    <x v="32"/>
    <n v="30"/>
    <n v="20"/>
    <n v="0.1"/>
    <n v="540"/>
    <x v="2"/>
    <n v="7"/>
    <x v="1"/>
    <x v="6"/>
  </r>
  <r>
    <n v="10833"/>
    <x v="12"/>
    <n v="12.5"/>
    <n v="9"/>
    <n v="0.1"/>
    <n v="101.25"/>
    <x v="0"/>
    <n v="4"/>
    <x v="1"/>
    <x v="6"/>
  </r>
  <r>
    <n v="10833"/>
    <x v="22"/>
    <n v="32.799999999999997"/>
    <n v="9"/>
    <n v="0.1"/>
    <n v="265.68"/>
    <x v="7"/>
    <n v="6"/>
    <x v="1"/>
    <x v="6"/>
  </r>
  <r>
    <n v="10834"/>
    <x v="39"/>
    <n v="123.79"/>
    <n v="8"/>
    <n v="0.05"/>
    <n v="940.80399999999997"/>
    <x v="7"/>
    <n v="6"/>
    <x v="2"/>
    <x v="6"/>
  </r>
  <r>
    <n v="10834"/>
    <x v="34"/>
    <n v="25.89"/>
    <n v="20"/>
    <n v="0.05"/>
    <n v="491.90999999999991"/>
    <x v="3"/>
    <n v="8"/>
    <x v="2"/>
    <x v="6"/>
  </r>
  <r>
    <n v="10835"/>
    <x v="21"/>
    <n v="55"/>
    <n v="15"/>
    <n v="0"/>
    <n v="825"/>
    <x v="0"/>
    <n v="4"/>
    <x v="1"/>
    <x v="6"/>
  </r>
  <r>
    <n v="10835"/>
    <x v="23"/>
    <n v="13"/>
    <n v="2"/>
    <n v="0.2"/>
    <n v="20.8"/>
    <x v="4"/>
    <n v="2"/>
    <x v="1"/>
    <x v="6"/>
  </r>
  <r>
    <n v="10836"/>
    <x v="7"/>
    <n v="21"/>
    <n v="52"/>
    <n v="0"/>
    <n v="1092"/>
    <x v="1"/>
    <n v="5"/>
    <x v="6"/>
    <x v="6"/>
  </r>
  <r>
    <n v="10836"/>
    <x v="31"/>
    <n v="18"/>
    <n v="6"/>
    <n v="0"/>
    <n v="108"/>
    <x v="6"/>
    <n v="1"/>
    <x v="6"/>
    <x v="6"/>
  </r>
  <r>
    <n v="10836"/>
    <x v="8"/>
    <n v="19.5"/>
    <n v="24"/>
    <n v="0"/>
    <n v="468"/>
    <x v="1"/>
    <n v="5"/>
    <x v="6"/>
    <x v="6"/>
  </r>
  <r>
    <n v="10836"/>
    <x v="11"/>
    <n v="34"/>
    <n v="60"/>
    <n v="0"/>
    <n v="2040"/>
    <x v="0"/>
    <n v="4"/>
    <x v="6"/>
    <x v="6"/>
  </r>
  <r>
    <n v="10836"/>
    <x v="58"/>
    <n v="33.25"/>
    <n v="30"/>
    <n v="0"/>
    <n v="997.5"/>
    <x v="1"/>
    <n v="5"/>
    <x v="6"/>
    <x v="6"/>
  </r>
  <r>
    <n v="10837"/>
    <x v="43"/>
    <n v="6"/>
    <n v="6"/>
    <n v="0"/>
    <n v="36"/>
    <x v="3"/>
    <n v="8"/>
    <x v="9"/>
    <x v="6"/>
  </r>
  <r>
    <n v="10837"/>
    <x v="37"/>
    <n v="18.399999999999999"/>
    <n v="25"/>
    <n v="0"/>
    <n v="459.99999999999994"/>
    <x v="3"/>
    <n v="8"/>
    <x v="9"/>
    <x v="6"/>
  </r>
  <r>
    <n v="10837"/>
    <x v="69"/>
    <n v="9.5"/>
    <n v="40"/>
    <n v="0.25"/>
    <n v="285"/>
    <x v="5"/>
    <n v="3"/>
    <x v="9"/>
    <x v="6"/>
  </r>
  <r>
    <n v="10837"/>
    <x v="38"/>
    <n v="18"/>
    <n v="21"/>
    <n v="0.25"/>
    <n v="283.5"/>
    <x v="6"/>
    <n v="1"/>
    <x v="9"/>
    <x v="6"/>
  </r>
  <r>
    <n v="10838"/>
    <x v="52"/>
    <n v="18"/>
    <n v="4"/>
    <n v="0.25"/>
    <n v="54"/>
    <x v="6"/>
    <n v="1"/>
    <x v="5"/>
    <x v="6"/>
  </r>
  <r>
    <n v="10838"/>
    <x v="59"/>
    <n v="62.5"/>
    <n v="25"/>
    <n v="0.25"/>
    <n v="1171.875"/>
    <x v="3"/>
    <n v="8"/>
    <x v="5"/>
    <x v="6"/>
  </r>
  <r>
    <n v="10838"/>
    <x v="20"/>
    <n v="19"/>
    <n v="50"/>
    <n v="0.25"/>
    <n v="712.5"/>
    <x v="3"/>
    <n v="8"/>
    <x v="5"/>
    <x v="6"/>
  </r>
  <r>
    <n v="10839"/>
    <x v="64"/>
    <n v="13.25"/>
    <n v="30"/>
    <n v="0.1"/>
    <n v="357.75"/>
    <x v="3"/>
    <n v="8"/>
    <x v="2"/>
    <x v="6"/>
  </r>
  <r>
    <n v="10839"/>
    <x v="2"/>
    <n v="34.799999999999997"/>
    <n v="15"/>
    <n v="0.1"/>
    <n v="469.8"/>
    <x v="0"/>
    <n v="4"/>
    <x v="2"/>
    <x v="6"/>
  </r>
  <r>
    <n v="10840"/>
    <x v="66"/>
    <n v="14"/>
    <n v="6"/>
    <n v="0.2"/>
    <n v="67.2"/>
    <x v="5"/>
    <n v="3"/>
    <x v="5"/>
    <x v="6"/>
  </r>
  <r>
    <n v="10840"/>
    <x v="13"/>
    <n v="18"/>
    <n v="10"/>
    <n v="0.2"/>
    <n v="144"/>
    <x v="6"/>
    <n v="1"/>
    <x v="5"/>
    <x v="6"/>
  </r>
  <r>
    <n v="10841"/>
    <x v="41"/>
    <n v="31"/>
    <n v="16"/>
    <n v="0"/>
    <n v="496"/>
    <x v="3"/>
    <n v="8"/>
    <x v="3"/>
    <x v="6"/>
  </r>
  <r>
    <n v="10841"/>
    <x v="33"/>
    <n v="38"/>
    <n v="30"/>
    <n v="0"/>
    <n v="1140"/>
    <x v="1"/>
    <n v="5"/>
    <x v="3"/>
    <x v="6"/>
  </r>
  <r>
    <n v="10841"/>
    <x v="21"/>
    <n v="55"/>
    <n v="50"/>
    <n v="0"/>
    <n v="2750"/>
    <x v="0"/>
    <n v="4"/>
    <x v="3"/>
    <x v="6"/>
  </r>
  <r>
    <n v="10841"/>
    <x v="23"/>
    <n v="13"/>
    <n v="15"/>
    <n v="0"/>
    <n v="195"/>
    <x v="4"/>
    <n v="2"/>
    <x v="3"/>
    <x v="6"/>
  </r>
  <r>
    <n v="10842"/>
    <x v="0"/>
    <n v="21"/>
    <n v="15"/>
    <n v="0"/>
    <n v="315"/>
    <x v="0"/>
    <n v="4"/>
    <x v="7"/>
    <x v="6"/>
  </r>
  <r>
    <n v="10842"/>
    <x v="40"/>
    <n v="46"/>
    <n v="5"/>
    <n v="0"/>
    <n v="230"/>
    <x v="6"/>
    <n v="1"/>
    <x v="7"/>
    <x v="6"/>
  </r>
  <r>
    <n v="10842"/>
    <x v="56"/>
    <n v="12.5"/>
    <n v="20"/>
    <n v="0"/>
    <n v="250"/>
    <x v="5"/>
    <n v="3"/>
    <x v="7"/>
    <x v="6"/>
  </r>
  <r>
    <n v="10842"/>
    <x v="30"/>
    <n v="15"/>
    <n v="12"/>
    <n v="0"/>
    <n v="180"/>
    <x v="6"/>
    <n v="1"/>
    <x v="7"/>
    <x v="6"/>
  </r>
  <r>
    <n v="10843"/>
    <x v="4"/>
    <n v="53"/>
    <n v="4"/>
    <n v="0.25"/>
    <n v="159"/>
    <x v="2"/>
    <n v="7"/>
    <x v="0"/>
    <x v="6"/>
  </r>
  <r>
    <n v="10844"/>
    <x v="7"/>
    <n v="21"/>
    <n v="35"/>
    <n v="0"/>
    <n v="735"/>
    <x v="1"/>
    <n v="5"/>
    <x v="6"/>
    <x v="6"/>
  </r>
  <r>
    <n v="10845"/>
    <x v="70"/>
    <n v="9"/>
    <n v="70"/>
    <n v="0.1"/>
    <n v="567"/>
    <x v="1"/>
    <n v="5"/>
    <x v="1"/>
    <x v="6"/>
  </r>
  <r>
    <n v="10845"/>
    <x v="31"/>
    <n v="18"/>
    <n v="25"/>
    <n v="0.1"/>
    <n v="405"/>
    <x v="6"/>
    <n v="1"/>
    <x v="1"/>
    <x v="6"/>
  </r>
  <r>
    <n v="10845"/>
    <x v="1"/>
    <n v="14"/>
    <n v="42"/>
    <n v="0.1"/>
    <n v="529.20000000000005"/>
    <x v="1"/>
    <n v="5"/>
    <x v="1"/>
    <x v="6"/>
  </r>
  <r>
    <n v="10845"/>
    <x v="64"/>
    <n v="13.25"/>
    <n v="60"/>
    <n v="0.1"/>
    <n v="715.5"/>
    <x v="3"/>
    <n v="8"/>
    <x v="1"/>
    <x v="6"/>
  </r>
  <r>
    <n v="10845"/>
    <x v="58"/>
    <n v="33.25"/>
    <n v="48"/>
    <n v="0"/>
    <n v="1596"/>
    <x v="1"/>
    <n v="5"/>
    <x v="1"/>
    <x v="6"/>
  </r>
  <r>
    <n v="10846"/>
    <x v="62"/>
    <n v="22"/>
    <n v="21"/>
    <n v="0"/>
    <n v="462"/>
    <x v="4"/>
    <n v="2"/>
    <x v="3"/>
    <x v="6"/>
  </r>
  <r>
    <n v="10846"/>
    <x v="30"/>
    <n v="15"/>
    <n v="30"/>
    <n v="0"/>
    <n v="450"/>
    <x v="6"/>
    <n v="1"/>
    <x v="3"/>
    <x v="6"/>
  </r>
  <r>
    <n v="10846"/>
    <x v="17"/>
    <n v="10"/>
    <n v="20"/>
    <n v="0"/>
    <n v="200"/>
    <x v="2"/>
    <n v="7"/>
    <x v="3"/>
    <x v="6"/>
  </r>
  <r>
    <n v="10847"/>
    <x v="52"/>
    <n v="18"/>
    <n v="80"/>
    <n v="0.2"/>
    <n v="1152"/>
    <x v="6"/>
    <n v="1"/>
    <x v="8"/>
    <x v="6"/>
  </r>
  <r>
    <n v="10847"/>
    <x v="49"/>
    <n v="9.1999999999999993"/>
    <n v="12"/>
    <n v="0.2"/>
    <n v="88.32"/>
    <x v="5"/>
    <n v="3"/>
    <x v="8"/>
    <x v="6"/>
  </r>
  <r>
    <n v="10847"/>
    <x v="28"/>
    <n v="26"/>
    <n v="60"/>
    <n v="0.2"/>
    <n v="1248"/>
    <x v="3"/>
    <n v="8"/>
    <x v="8"/>
    <x v="6"/>
  </r>
  <r>
    <n v="10847"/>
    <x v="73"/>
    <n v="9.5"/>
    <n v="36"/>
    <n v="0.2"/>
    <n v="273.60000000000002"/>
    <x v="3"/>
    <n v="8"/>
    <x v="8"/>
    <x v="6"/>
  </r>
  <r>
    <n v="10847"/>
    <x v="11"/>
    <n v="34"/>
    <n v="45"/>
    <n v="0.2"/>
    <n v="1224"/>
    <x v="0"/>
    <n v="4"/>
    <x v="8"/>
    <x v="6"/>
  </r>
  <r>
    <n v="10847"/>
    <x v="42"/>
    <n v="21.5"/>
    <n v="55"/>
    <n v="0.2"/>
    <n v="946"/>
    <x v="0"/>
    <n v="4"/>
    <x v="8"/>
    <x v="6"/>
  </r>
  <r>
    <n v="10848"/>
    <x v="25"/>
    <n v="21.35"/>
    <n v="30"/>
    <n v="0"/>
    <n v="640.5"/>
    <x v="4"/>
    <n v="2"/>
    <x v="13"/>
    <x v="6"/>
  </r>
  <r>
    <n v="10848"/>
    <x v="76"/>
    <n v="97"/>
    <n v="3"/>
    <n v="0"/>
    <n v="291"/>
    <x v="7"/>
    <n v="6"/>
    <x v="13"/>
    <x v="6"/>
  </r>
  <r>
    <n v="10849"/>
    <x v="57"/>
    <n v="10"/>
    <n v="49"/>
    <n v="0"/>
    <n v="490"/>
    <x v="4"/>
    <n v="2"/>
    <x v="1"/>
    <x v="6"/>
  </r>
  <r>
    <n v="10849"/>
    <x v="68"/>
    <n v="31.23"/>
    <n v="18"/>
    <n v="0.15"/>
    <n v="477.81899999999996"/>
    <x v="5"/>
    <n v="3"/>
    <x v="1"/>
    <x v="6"/>
  </r>
  <r>
    <n v="10850"/>
    <x v="66"/>
    <n v="14"/>
    <n v="20"/>
    <n v="0.15"/>
    <n v="238"/>
    <x v="5"/>
    <n v="3"/>
    <x v="0"/>
    <x v="6"/>
  </r>
  <r>
    <n v="10850"/>
    <x v="10"/>
    <n v="2.5"/>
    <n v="4"/>
    <n v="0.15"/>
    <n v="8.5"/>
    <x v="0"/>
    <n v="4"/>
    <x v="0"/>
    <x v="6"/>
  </r>
  <r>
    <n v="10850"/>
    <x v="30"/>
    <n v="15"/>
    <n v="30"/>
    <n v="0.15"/>
    <n v="382.5"/>
    <x v="6"/>
    <n v="1"/>
    <x v="0"/>
    <x v="6"/>
  </r>
  <r>
    <n v="10851"/>
    <x v="18"/>
    <n v="19"/>
    <n v="5"/>
    <n v="0.05"/>
    <n v="90.25"/>
    <x v="6"/>
    <n v="1"/>
    <x v="2"/>
    <x v="6"/>
  </r>
  <r>
    <n v="10851"/>
    <x v="66"/>
    <n v="14"/>
    <n v="10"/>
    <n v="0.05"/>
    <n v="133"/>
    <x v="5"/>
    <n v="3"/>
    <x v="2"/>
    <x v="6"/>
  </r>
  <r>
    <n v="10851"/>
    <x v="8"/>
    <n v="19.5"/>
    <n v="10"/>
    <n v="0.05"/>
    <n v="185.25"/>
    <x v="1"/>
    <n v="5"/>
    <x v="2"/>
    <x v="6"/>
  </r>
  <r>
    <n v="10851"/>
    <x v="21"/>
    <n v="55"/>
    <n v="42"/>
    <n v="0.05"/>
    <n v="2194.5"/>
    <x v="0"/>
    <n v="4"/>
    <x v="2"/>
    <x v="6"/>
  </r>
  <r>
    <n v="10852"/>
    <x v="18"/>
    <n v="19"/>
    <n v="15"/>
    <n v="0"/>
    <n v="285"/>
    <x v="6"/>
    <n v="1"/>
    <x v="8"/>
    <x v="6"/>
  </r>
  <r>
    <n v="10852"/>
    <x v="35"/>
    <n v="39"/>
    <n v="6"/>
    <n v="0"/>
    <n v="234"/>
    <x v="7"/>
    <n v="6"/>
    <x v="8"/>
    <x v="6"/>
  </r>
  <r>
    <n v="10852"/>
    <x v="29"/>
    <n v="49.3"/>
    <n v="50"/>
    <n v="0"/>
    <n v="2465"/>
    <x v="5"/>
    <n v="3"/>
    <x v="8"/>
    <x v="6"/>
  </r>
  <r>
    <n v="10853"/>
    <x v="59"/>
    <n v="62.5"/>
    <n v="10"/>
    <n v="0"/>
    <n v="625"/>
    <x v="3"/>
    <n v="8"/>
    <x v="1"/>
    <x v="6"/>
  </r>
  <r>
    <n v="10854"/>
    <x v="41"/>
    <n v="31"/>
    <n v="100"/>
    <n v="0.15"/>
    <n v="2635"/>
    <x v="3"/>
    <n v="8"/>
    <x v="6"/>
    <x v="6"/>
  </r>
  <r>
    <n v="10854"/>
    <x v="43"/>
    <n v="6"/>
    <n v="65"/>
    <n v="0.15"/>
    <n v="331.5"/>
    <x v="3"/>
    <n v="8"/>
    <x v="6"/>
    <x v="6"/>
  </r>
  <r>
    <n v="10855"/>
    <x v="19"/>
    <n v="17.45"/>
    <n v="50"/>
    <n v="0"/>
    <n v="872.5"/>
    <x v="5"/>
    <n v="3"/>
    <x v="8"/>
    <x v="6"/>
  </r>
  <r>
    <n v="10855"/>
    <x v="12"/>
    <n v="12.5"/>
    <n v="14"/>
    <n v="0"/>
    <n v="175"/>
    <x v="0"/>
    <n v="4"/>
    <x v="8"/>
    <x v="6"/>
  </r>
  <r>
    <n v="10855"/>
    <x v="33"/>
    <n v="38"/>
    <n v="24"/>
    <n v="0"/>
    <n v="912"/>
    <x v="1"/>
    <n v="5"/>
    <x v="8"/>
    <x v="6"/>
  </r>
  <r>
    <n v="10855"/>
    <x v="6"/>
    <n v="21.05"/>
    <n v="15"/>
    <n v="0.15"/>
    <n v="268.38749999999999"/>
    <x v="4"/>
    <n v="2"/>
    <x v="8"/>
    <x v="6"/>
  </r>
  <r>
    <n v="10856"/>
    <x v="18"/>
    <n v="19"/>
    <n v="20"/>
    <n v="0"/>
    <n v="380"/>
    <x v="6"/>
    <n v="1"/>
    <x v="7"/>
    <x v="6"/>
  </r>
  <r>
    <n v="10856"/>
    <x v="1"/>
    <n v="14"/>
    <n v="20"/>
    <n v="0"/>
    <n v="280"/>
    <x v="1"/>
    <n v="5"/>
    <x v="7"/>
    <x v="6"/>
  </r>
  <r>
    <n v="10857"/>
    <x v="57"/>
    <n v="10"/>
    <n v="30"/>
    <n v="0"/>
    <n v="300"/>
    <x v="4"/>
    <n v="2"/>
    <x v="9"/>
    <x v="6"/>
  </r>
  <r>
    <n v="10857"/>
    <x v="68"/>
    <n v="31.23"/>
    <n v="35"/>
    <n v="0.25"/>
    <n v="819.78749999999991"/>
    <x v="5"/>
    <n v="3"/>
    <x v="9"/>
    <x v="6"/>
  </r>
  <r>
    <n v="10857"/>
    <x v="39"/>
    <n v="123.79"/>
    <n v="10"/>
    <n v="0.25"/>
    <n v="928.42500000000007"/>
    <x v="7"/>
    <n v="6"/>
    <x v="9"/>
    <x v="6"/>
  </r>
  <r>
    <n v="10858"/>
    <x v="32"/>
    <n v="30"/>
    <n v="5"/>
    <n v="0"/>
    <n v="150"/>
    <x v="2"/>
    <n v="7"/>
    <x v="0"/>
    <x v="6"/>
  </r>
  <r>
    <n v="10858"/>
    <x v="24"/>
    <n v="43.9"/>
    <n v="10"/>
    <n v="0"/>
    <n v="439"/>
    <x v="5"/>
    <n v="3"/>
    <x v="0"/>
    <x v="6"/>
  </r>
  <r>
    <n v="10858"/>
    <x v="30"/>
    <n v="15"/>
    <n v="4"/>
    <n v="0"/>
    <n v="60"/>
    <x v="6"/>
    <n v="1"/>
    <x v="0"/>
    <x v="6"/>
  </r>
  <r>
    <n v="10859"/>
    <x v="15"/>
    <n v="4.5"/>
    <n v="40"/>
    <n v="0.25"/>
    <n v="135"/>
    <x v="6"/>
    <n v="1"/>
    <x v="1"/>
    <x v="6"/>
  </r>
  <r>
    <n v="10859"/>
    <x v="55"/>
    <n v="7.45"/>
    <n v="35"/>
    <n v="0.25"/>
    <n v="195.5625"/>
    <x v="7"/>
    <n v="6"/>
    <x v="1"/>
    <x v="6"/>
  </r>
  <r>
    <n v="10859"/>
    <x v="58"/>
    <n v="33.25"/>
    <n v="30"/>
    <n v="0.25"/>
    <n v="748.125"/>
    <x v="1"/>
    <n v="5"/>
    <x v="1"/>
    <x v="6"/>
  </r>
  <r>
    <n v="10860"/>
    <x v="4"/>
    <n v="53"/>
    <n v="3"/>
    <n v="0"/>
    <n v="159"/>
    <x v="2"/>
    <n v="7"/>
    <x v="0"/>
    <x v="6"/>
  </r>
  <r>
    <n v="10860"/>
    <x v="38"/>
    <n v="18"/>
    <n v="20"/>
    <n v="0"/>
    <n v="360"/>
    <x v="6"/>
    <n v="1"/>
    <x v="0"/>
    <x v="6"/>
  </r>
  <r>
    <n v="10861"/>
    <x v="35"/>
    <n v="39"/>
    <n v="42"/>
    <n v="0"/>
    <n v="1638"/>
    <x v="7"/>
    <n v="6"/>
    <x v="8"/>
    <x v="7"/>
  </r>
  <r>
    <n v="10861"/>
    <x v="59"/>
    <n v="62.5"/>
    <n v="20"/>
    <n v="0"/>
    <n v="1250"/>
    <x v="3"/>
    <n v="8"/>
    <x v="8"/>
    <x v="7"/>
  </r>
  <r>
    <n v="10861"/>
    <x v="27"/>
    <n v="10"/>
    <n v="40"/>
    <n v="0"/>
    <n v="400"/>
    <x v="5"/>
    <n v="3"/>
    <x v="8"/>
    <x v="7"/>
  </r>
  <r>
    <n v="10861"/>
    <x v="10"/>
    <n v="2.5"/>
    <n v="35"/>
    <n v="0"/>
    <n v="87.5"/>
    <x v="0"/>
    <n v="4"/>
    <x v="8"/>
    <x v="7"/>
  </r>
  <r>
    <n v="10861"/>
    <x v="29"/>
    <n v="49.3"/>
    <n v="3"/>
    <n v="0"/>
    <n v="147.89999999999998"/>
    <x v="5"/>
    <n v="3"/>
    <x v="8"/>
    <x v="7"/>
  </r>
  <r>
    <n v="10862"/>
    <x v="0"/>
    <n v="21"/>
    <n v="25"/>
    <n v="0"/>
    <n v="525"/>
    <x v="0"/>
    <n v="4"/>
    <x v="1"/>
    <x v="7"/>
  </r>
  <r>
    <n v="10862"/>
    <x v="65"/>
    <n v="7"/>
    <n v="8"/>
    <n v="0"/>
    <n v="56"/>
    <x v="1"/>
    <n v="5"/>
    <x v="1"/>
    <x v="7"/>
  </r>
  <r>
    <n v="10863"/>
    <x v="52"/>
    <n v="18"/>
    <n v="20"/>
    <n v="0.15"/>
    <n v="306"/>
    <x v="6"/>
    <n v="1"/>
    <x v="5"/>
    <x v="7"/>
  </r>
  <r>
    <n v="10863"/>
    <x v="64"/>
    <n v="13.25"/>
    <n v="12"/>
    <n v="0.15"/>
    <n v="135.15"/>
    <x v="3"/>
    <n v="8"/>
    <x v="5"/>
    <x v="7"/>
  </r>
  <r>
    <n v="10864"/>
    <x v="31"/>
    <n v="18"/>
    <n v="4"/>
    <n v="0"/>
    <n v="72"/>
    <x v="6"/>
    <n v="1"/>
    <x v="13"/>
    <x v="7"/>
  </r>
  <r>
    <n v="10864"/>
    <x v="51"/>
    <n v="14"/>
    <n v="15"/>
    <n v="0"/>
    <n v="210"/>
    <x v="6"/>
    <n v="1"/>
    <x v="13"/>
    <x v="7"/>
  </r>
  <r>
    <n v="10865"/>
    <x v="67"/>
    <n v="263.5"/>
    <n v="60"/>
    <n v="0.05"/>
    <n v="15019.5"/>
    <x v="6"/>
    <n v="1"/>
    <x v="1"/>
    <x v="7"/>
  </r>
  <r>
    <n v="10865"/>
    <x v="13"/>
    <n v="18"/>
    <n v="80"/>
    <n v="0.05"/>
    <n v="1368"/>
    <x v="6"/>
    <n v="1"/>
    <x v="1"/>
    <x v="7"/>
  </r>
  <r>
    <n v="10866"/>
    <x v="18"/>
    <n v="19"/>
    <n v="21"/>
    <n v="0.25"/>
    <n v="299.25"/>
    <x v="6"/>
    <n v="1"/>
    <x v="9"/>
    <x v="7"/>
  </r>
  <r>
    <n v="10866"/>
    <x v="15"/>
    <n v="4.5"/>
    <n v="6"/>
    <n v="0.25"/>
    <n v="20.25"/>
    <x v="6"/>
    <n v="1"/>
    <x v="9"/>
    <x v="7"/>
  </r>
  <r>
    <n v="10866"/>
    <x v="34"/>
    <n v="25.89"/>
    <n v="40"/>
    <n v="0.25"/>
    <n v="776.69999999999993"/>
    <x v="3"/>
    <n v="8"/>
    <x v="9"/>
    <x v="7"/>
  </r>
  <r>
    <n v="10867"/>
    <x v="22"/>
    <n v="32.799999999999997"/>
    <n v="3"/>
    <n v="0"/>
    <n v="98.399999999999991"/>
    <x v="7"/>
    <n v="6"/>
    <x v="8"/>
    <x v="7"/>
  </r>
  <r>
    <n v="10868"/>
    <x v="68"/>
    <n v="31.23"/>
    <n v="20"/>
    <n v="0"/>
    <n v="624.6"/>
    <x v="5"/>
    <n v="3"/>
    <x v="2"/>
    <x v="7"/>
  </r>
  <r>
    <n v="10868"/>
    <x v="31"/>
    <n v="18"/>
    <n v="30"/>
    <n v="0"/>
    <n v="540"/>
    <x v="6"/>
    <n v="1"/>
    <x v="2"/>
    <x v="7"/>
  </r>
  <r>
    <n v="10868"/>
    <x v="14"/>
    <n v="20"/>
    <n v="42"/>
    <n v="0.1"/>
    <n v="756"/>
    <x v="5"/>
    <n v="3"/>
    <x v="2"/>
    <x v="7"/>
  </r>
  <r>
    <n v="10869"/>
    <x v="52"/>
    <n v="18"/>
    <n v="40"/>
    <n v="0"/>
    <n v="720"/>
    <x v="6"/>
    <n v="1"/>
    <x v="13"/>
    <x v="7"/>
  </r>
  <r>
    <n v="10869"/>
    <x v="0"/>
    <n v="21"/>
    <n v="10"/>
    <n v="0"/>
    <n v="210"/>
    <x v="0"/>
    <n v="4"/>
    <x v="13"/>
    <x v="7"/>
  </r>
  <r>
    <n v="10869"/>
    <x v="70"/>
    <n v="9"/>
    <n v="50"/>
    <n v="0"/>
    <n v="450"/>
    <x v="1"/>
    <n v="5"/>
    <x v="13"/>
    <x v="7"/>
  </r>
  <r>
    <n v="10869"/>
    <x v="56"/>
    <n v="12.5"/>
    <n v="20"/>
    <n v="0"/>
    <n v="250"/>
    <x v="5"/>
    <n v="3"/>
    <x v="13"/>
    <x v="7"/>
  </r>
  <r>
    <n v="10870"/>
    <x v="31"/>
    <n v="18"/>
    <n v="3"/>
    <n v="0"/>
    <n v="54"/>
    <x v="6"/>
    <n v="1"/>
    <x v="18"/>
    <x v="7"/>
  </r>
  <r>
    <n v="10870"/>
    <x v="4"/>
    <n v="53"/>
    <n v="2"/>
    <n v="0"/>
    <n v="106"/>
    <x v="2"/>
    <n v="7"/>
    <x v="18"/>
    <x v="7"/>
  </r>
  <r>
    <n v="10871"/>
    <x v="63"/>
    <n v="25"/>
    <n v="50"/>
    <n v="0.05"/>
    <n v="1187.5"/>
    <x v="4"/>
    <n v="2"/>
    <x v="0"/>
    <x v="7"/>
  </r>
  <r>
    <n v="10871"/>
    <x v="19"/>
    <n v="17.45"/>
    <n v="12"/>
    <n v="0.05"/>
    <n v="198.92999999999998"/>
    <x v="5"/>
    <n v="3"/>
    <x v="0"/>
    <x v="7"/>
  </r>
  <r>
    <n v="10871"/>
    <x v="35"/>
    <n v="39"/>
    <n v="16"/>
    <n v="0.05"/>
    <n v="592.79999999999995"/>
    <x v="7"/>
    <n v="6"/>
    <x v="0"/>
    <x v="7"/>
  </r>
  <r>
    <n v="10872"/>
    <x v="16"/>
    <n v="24"/>
    <n v="10"/>
    <n v="0.05"/>
    <n v="228"/>
    <x v="7"/>
    <n v="6"/>
    <x v="12"/>
    <x v="7"/>
  </r>
  <r>
    <n v="10872"/>
    <x v="29"/>
    <n v="49.3"/>
    <n v="20"/>
    <n v="0.05"/>
    <n v="936.69999999999993"/>
    <x v="5"/>
    <n v="3"/>
    <x v="12"/>
    <x v="7"/>
  </r>
  <r>
    <n v="10872"/>
    <x v="58"/>
    <n v="33.25"/>
    <n v="15"/>
    <n v="0.05"/>
    <n v="473.8125"/>
    <x v="1"/>
    <n v="5"/>
    <x v="12"/>
    <x v="7"/>
  </r>
  <r>
    <n v="10872"/>
    <x v="6"/>
    <n v="21.05"/>
    <n v="21"/>
    <n v="0.05"/>
    <n v="419.94749999999999"/>
    <x v="4"/>
    <n v="2"/>
    <x v="12"/>
    <x v="7"/>
  </r>
  <r>
    <n v="10873"/>
    <x v="27"/>
    <n v="10"/>
    <n v="20"/>
    <n v="0"/>
    <n v="200"/>
    <x v="5"/>
    <n v="3"/>
    <x v="10"/>
    <x v="7"/>
  </r>
  <r>
    <n v="10873"/>
    <x v="44"/>
    <n v="45.6"/>
    <n v="3"/>
    <n v="0"/>
    <n v="136.80000000000001"/>
    <x v="2"/>
    <n v="7"/>
    <x v="10"/>
    <x v="7"/>
  </r>
  <r>
    <n v="10874"/>
    <x v="41"/>
    <n v="31"/>
    <n v="10"/>
    <n v="0"/>
    <n v="310"/>
    <x v="3"/>
    <n v="8"/>
    <x v="12"/>
    <x v="7"/>
  </r>
  <r>
    <n v="10875"/>
    <x v="49"/>
    <n v="9.1999999999999993"/>
    <n v="25"/>
    <n v="0"/>
    <n v="229.99999999999997"/>
    <x v="5"/>
    <n v="3"/>
    <x v="9"/>
    <x v="7"/>
  </r>
  <r>
    <n v="10875"/>
    <x v="69"/>
    <n v="9.5"/>
    <n v="21"/>
    <n v="0.1"/>
    <n v="179.55"/>
    <x v="5"/>
    <n v="3"/>
    <x v="9"/>
    <x v="7"/>
  </r>
  <r>
    <n v="10875"/>
    <x v="14"/>
    <n v="20"/>
    <n v="15"/>
    <n v="0"/>
    <n v="300"/>
    <x v="5"/>
    <n v="3"/>
    <x v="9"/>
    <x v="7"/>
  </r>
  <r>
    <n v="10876"/>
    <x v="54"/>
    <n v="12"/>
    <n v="21"/>
    <n v="0"/>
    <n v="252"/>
    <x v="3"/>
    <n v="8"/>
    <x v="0"/>
    <x v="7"/>
  </r>
  <r>
    <n v="10876"/>
    <x v="58"/>
    <n v="33.25"/>
    <n v="20"/>
    <n v="0"/>
    <n v="665"/>
    <x v="1"/>
    <n v="5"/>
    <x v="0"/>
    <x v="7"/>
  </r>
  <r>
    <n v="10877"/>
    <x v="19"/>
    <n v="17.45"/>
    <n v="30"/>
    <n v="0.25"/>
    <n v="392.625"/>
    <x v="5"/>
    <n v="3"/>
    <x v="2"/>
    <x v="7"/>
  </r>
  <r>
    <n v="10877"/>
    <x v="59"/>
    <n v="62.5"/>
    <n v="25"/>
    <n v="0"/>
    <n v="1562.5"/>
    <x v="3"/>
    <n v="8"/>
    <x v="2"/>
    <x v="7"/>
  </r>
  <r>
    <n v="10878"/>
    <x v="9"/>
    <n v="81"/>
    <n v="20"/>
    <n v="0.05"/>
    <n v="1539"/>
    <x v="5"/>
    <n v="3"/>
    <x v="1"/>
    <x v="7"/>
  </r>
  <r>
    <n v="10879"/>
    <x v="37"/>
    <n v="18.399999999999999"/>
    <n v="12"/>
    <n v="0"/>
    <n v="220.79999999999998"/>
    <x v="3"/>
    <n v="8"/>
    <x v="10"/>
    <x v="7"/>
  </r>
  <r>
    <n v="10879"/>
    <x v="6"/>
    <n v="21.05"/>
    <n v="10"/>
    <n v="0"/>
    <n v="210.5"/>
    <x v="4"/>
    <n v="2"/>
    <x v="10"/>
    <x v="7"/>
  </r>
  <r>
    <n v="10879"/>
    <x v="38"/>
    <n v="18"/>
    <n v="10"/>
    <n v="0"/>
    <n v="180"/>
    <x v="6"/>
    <n v="1"/>
    <x v="10"/>
    <x v="7"/>
  </r>
  <r>
    <n v="10880"/>
    <x v="70"/>
    <n v="9"/>
    <n v="30"/>
    <n v="0.2"/>
    <n v="216"/>
    <x v="1"/>
    <n v="5"/>
    <x v="9"/>
    <x v="7"/>
  </r>
  <r>
    <n v="10880"/>
    <x v="75"/>
    <n v="28.5"/>
    <n v="30"/>
    <n v="0.2"/>
    <n v="684"/>
    <x v="4"/>
    <n v="2"/>
    <x v="9"/>
    <x v="7"/>
  </r>
  <r>
    <n v="10880"/>
    <x v="30"/>
    <n v="15"/>
    <n v="50"/>
    <n v="0.2"/>
    <n v="600"/>
    <x v="6"/>
    <n v="1"/>
    <x v="9"/>
    <x v="7"/>
  </r>
  <r>
    <n v="10881"/>
    <x v="47"/>
    <n v="15"/>
    <n v="10"/>
    <n v="0"/>
    <n v="150"/>
    <x v="3"/>
    <n v="8"/>
    <x v="20"/>
    <x v="7"/>
  </r>
  <r>
    <n v="10882"/>
    <x v="1"/>
    <n v="14"/>
    <n v="25"/>
    <n v="0"/>
    <n v="350"/>
    <x v="1"/>
    <n v="5"/>
    <x v="8"/>
    <x v="7"/>
  </r>
  <r>
    <n v="10882"/>
    <x v="14"/>
    <n v="20"/>
    <n v="20"/>
    <n v="0.15"/>
    <n v="340"/>
    <x v="5"/>
    <n v="3"/>
    <x v="8"/>
    <x v="7"/>
  </r>
  <r>
    <n v="10882"/>
    <x v="55"/>
    <n v="7.45"/>
    <n v="32"/>
    <n v="0.15"/>
    <n v="202.64"/>
    <x v="7"/>
    <n v="6"/>
    <x v="8"/>
    <x v="7"/>
  </r>
  <r>
    <n v="10883"/>
    <x v="15"/>
    <n v="4.5"/>
    <n v="8"/>
    <n v="0"/>
    <n v="36"/>
    <x v="6"/>
    <n v="1"/>
    <x v="8"/>
    <x v="7"/>
  </r>
  <r>
    <n v="10884"/>
    <x v="27"/>
    <n v="10"/>
    <n v="40"/>
    <n v="0.05"/>
    <n v="380"/>
    <x v="5"/>
    <n v="3"/>
    <x v="8"/>
    <x v="7"/>
  </r>
  <r>
    <n v="10884"/>
    <x v="33"/>
    <n v="38"/>
    <n v="21"/>
    <n v="0.05"/>
    <n v="758.09999999999991"/>
    <x v="1"/>
    <n v="5"/>
    <x v="8"/>
    <x v="7"/>
  </r>
  <r>
    <n v="10884"/>
    <x v="6"/>
    <n v="21.05"/>
    <n v="12"/>
    <n v="0.05"/>
    <n v="239.97"/>
    <x v="4"/>
    <n v="2"/>
    <x v="8"/>
    <x v="7"/>
  </r>
  <r>
    <n v="10885"/>
    <x v="18"/>
    <n v="19"/>
    <n v="20"/>
    <n v="0"/>
    <n v="380"/>
    <x v="6"/>
    <n v="1"/>
    <x v="3"/>
    <x v="7"/>
  </r>
  <r>
    <n v="10885"/>
    <x v="15"/>
    <n v="4.5"/>
    <n v="12"/>
    <n v="0"/>
    <n v="54"/>
    <x v="6"/>
    <n v="1"/>
    <x v="3"/>
    <x v="7"/>
  </r>
  <r>
    <n v="10885"/>
    <x v="30"/>
    <n v="15"/>
    <n v="30"/>
    <n v="0"/>
    <n v="450"/>
    <x v="6"/>
    <n v="1"/>
    <x v="3"/>
    <x v="7"/>
  </r>
  <r>
    <n v="10885"/>
    <x v="23"/>
    <n v="13"/>
    <n v="25"/>
    <n v="0"/>
    <n v="325"/>
    <x v="4"/>
    <n v="2"/>
    <x v="3"/>
    <x v="7"/>
  </r>
  <r>
    <n v="10886"/>
    <x v="41"/>
    <n v="31"/>
    <n v="70"/>
    <n v="0"/>
    <n v="2170"/>
    <x v="3"/>
    <n v="8"/>
    <x v="2"/>
    <x v="7"/>
  </r>
  <r>
    <n v="10886"/>
    <x v="12"/>
    <n v="12.5"/>
    <n v="35"/>
    <n v="0"/>
    <n v="437.5"/>
    <x v="0"/>
    <n v="4"/>
    <x v="2"/>
    <x v="7"/>
  </r>
  <r>
    <n v="10886"/>
    <x v="23"/>
    <n v="13"/>
    <n v="40"/>
    <n v="0"/>
    <n v="520"/>
    <x v="4"/>
    <n v="2"/>
    <x v="2"/>
    <x v="7"/>
  </r>
  <r>
    <n v="10887"/>
    <x v="66"/>
    <n v="14"/>
    <n v="5"/>
    <n v="0"/>
    <n v="70"/>
    <x v="5"/>
    <n v="3"/>
    <x v="12"/>
    <x v="7"/>
  </r>
  <r>
    <n v="10888"/>
    <x v="18"/>
    <n v="19"/>
    <n v="20"/>
    <n v="0"/>
    <n v="380"/>
    <x v="6"/>
    <n v="1"/>
    <x v="12"/>
    <x v="7"/>
  </r>
  <r>
    <n v="10888"/>
    <x v="56"/>
    <n v="12.5"/>
    <n v="18"/>
    <n v="0"/>
    <n v="225"/>
    <x v="5"/>
    <n v="3"/>
    <x v="12"/>
    <x v="7"/>
  </r>
  <r>
    <n v="10889"/>
    <x v="0"/>
    <n v="21"/>
    <n v="40"/>
    <n v="0"/>
    <n v="840"/>
    <x v="0"/>
    <n v="4"/>
    <x v="8"/>
    <x v="7"/>
  </r>
  <r>
    <n v="10889"/>
    <x v="67"/>
    <n v="263.5"/>
    <n v="40"/>
    <n v="0"/>
    <n v="10540"/>
    <x v="6"/>
    <n v="1"/>
    <x v="8"/>
    <x v="7"/>
  </r>
  <r>
    <n v="10890"/>
    <x v="35"/>
    <n v="39"/>
    <n v="15"/>
    <n v="0"/>
    <n v="585"/>
    <x v="7"/>
    <n v="6"/>
    <x v="0"/>
    <x v="7"/>
  </r>
  <r>
    <n v="10890"/>
    <x v="53"/>
    <n v="14"/>
    <n v="10"/>
    <n v="0"/>
    <n v="140"/>
    <x v="6"/>
    <n v="1"/>
    <x v="0"/>
    <x v="7"/>
  </r>
  <r>
    <n v="10890"/>
    <x v="5"/>
    <n v="9.65"/>
    <n v="14"/>
    <n v="0"/>
    <n v="135.1"/>
    <x v="3"/>
    <n v="8"/>
    <x v="0"/>
    <x v="7"/>
  </r>
  <r>
    <n v="10891"/>
    <x v="34"/>
    <n v="25.89"/>
    <n v="15"/>
    <n v="0.05"/>
    <n v="368.9325"/>
    <x v="3"/>
    <n v="8"/>
    <x v="1"/>
    <x v="7"/>
  </r>
  <r>
    <n v="10892"/>
    <x v="21"/>
    <n v="55"/>
    <n v="40"/>
    <n v="0.05"/>
    <n v="2090"/>
    <x v="0"/>
    <n v="4"/>
    <x v="3"/>
    <x v="7"/>
  </r>
  <r>
    <n v="10893"/>
    <x v="71"/>
    <n v="40"/>
    <n v="30"/>
    <n v="0"/>
    <n v="1200"/>
    <x v="4"/>
    <n v="2"/>
    <x v="1"/>
    <x v="7"/>
  </r>
  <r>
    <n v="10893"/>
    <x v="15"/>
    <n v="4.5"/>
    <n v="10"/>
    <n v="0"/>
    <n v="45"/>
    <x v="6"/>
    <n v="1"/>
    <x v="1"/>
    <x v="7"/>
  </r>
  <r>
    <n v="10893"/>
    <x v="39"/>
    <n v="123.79"/>
    <n v="24"/>
    <n v="0"/>
    <n v="2970.96"/>
    <x v="7"/>
    <n v="6"/>
    <x v="1"/>
    <x v="7"/>
  </r>
  <r>
    <n v="10893"/>
    <x v="34"/>
    <n v="25.89"/>
    <n v="35"/>
    <n v="0"/>
    <n v="906.15"/>
    <x v="3"/>
    <n v="8"/>
    <x v="1"/>
    <x v="7"/>
  </r>
  <r>
    <n v="10893"/>
    <x v="20"/>
    <n v="19"/>
    <n v="20"/>
    <n v="0"/>
    <n v="380"/>
    <x v="3"/>
    <n v="8"/>
    <x v="1"/>
    <x v="7"/>
  </r>
  <r>
    <n v="10894"/>
    <x v="43"/>
    <n v="6"/>
    <n v="28"/>
    <n v="0.05"/>
    <n v="159.6"/>
    <x v="3"/>
    <n v="8"/>
    <x v="8"/>
    <x v="7"/>
  </r>
  <r>
    <n v="10894"/>
    <x v="60"/>
    <n v="36"/>
    <n v="50"/>
    <n v="0.05"/>
    <n v="1710"/>
    <x v="0"/>
    <n v="4"/>
    <x v="8"/>
    <x v="7"/>
  </r>
  <r>
    <n v="10894"/>
    <x v="48"/>
    <n v="7.75"/>
    <n v="120"/>
    <n v="0.05"/>
    <n v="883.5"/>
    <x v="6"/>
    <n v="1"/>
    <x v="8"/>
    <x v="7"/>
  </r>
  <r>
    <n v="10895"/>
    <x v="15"/>
    <n v="4.5"/>
    <n v="110"/>
    <n v="0"/>
    <n v="495"/>
    <x v="6"/>
    <n v="1"/>
    <x v="6"/>
    <x v="7"/>
  </r>
  <r>
    <n v="10895"/>
    <x v="13"/>
    <n v="18"/>
    <n v="45"/>
    <n v="0"/>
    <n v="810"/>
    <x v="6"/>
    <n v="1"/>
    <x v="6"/>
    <x v="7"/>
  </r>
  <r>
    <n v="10895"/>
    <x v="37"/>
    <n v="18.399999999999999"/>
    <n v="91"/>
    <n v="0"/>
    <n v="1674.3999999999999"/>
    <x v="3"/>
    <n v="8"/>
    <x v="6"/>
    <x v="7"/>
  </r>
  <r>
    <n v="10895"/>
    <x v="11"/>
    <n v="34"/>
    <n v="100"/>
    <n v="0"/>
    <n v="3400"/>
    <x v="0"/>
    <n v="4"/>
    <x v="6"/>
    <x v="7"/>
  </r>
  <r>
    <n v="10896"/>
    <x v="73"/>
    <n v="9.5"/>
    <n v="15"/>
    <n v="0"/>
    <n v="142.5"/>
    <x v="3"/>
    <n v="8"/>
    <x v="3"/>
    <x v="7"/>
  </r>
  <r>
    <n v="10896"/>
    <x v="33"/>
    <n v="38"/>
    <n v="16"/>
    <n v="0"/>
    <n v="608"/>
    <x v="1"/>
    <n v="5"/>
    <x v="3"/>
    <x v="7"/>
  </r>
  <r>
    <n v="10897"/>
    <x v="39"/>
    <n v="123.79"/>
    <n v="80"/>
    <n v="0"/>
    <n v="9903.2000000000007"/>
    <x v="7"/>
    <n v="6"/>
    <x v="14"/>
    <x v="7"/>
  </r>
  <r>
    <n v="10897"/>
    <x v="34"/>
    <n v="25.89"/>
    <n v="36"/>
    <n v="0"/>
    <n v="932.04"/>
    <x v="3"/>
    <n v="8"/>
    <x v="14"/>
    <x v="7"/>
  </r>
  <r>
    <n v="10898"/>
    <x v="43"/>
    <n v="6"/>
    <n v="5"/>
    <n v="0"/>
    <n v="30"/>
    <x v="3"/>
    <n v="8"/>
    <x v="20"/>
    <x v="7"/>
  </r>
  <r>
    <n v="10899"/>
    <x v="13"/>
    <n v="18"/>
    <n v="8"/>
    <n v="0.15"/>
    <n v="122.39999999999999"/>
    <x v="6"/>
    <n v="1"/>
    <x v="5"/>
    <x v="7"/>
  </r>
  <r>
    <n v="10900"/>
    <x v="30"/>
    <n v="15"/>
    <n v="3"/>
    <n v="0.25"/>
    <n v="33.75"/>
    <x v="6"/>
    <n v="1"/>
    <x v="2"/>
    <x v="7"/>
  </r>
  <r>
    <n v="10901"/>
    <x v="5"/>
    <n v="9.65"/>
    <n v="30"/>
    <n v="0"/>
    <n v="289.5"/>
    <x v="3"/>
    <n v="8"/>
    <x v="5"/>
    <x v="7"/>
  </r>
  <r>
    <n v="10901"/>
    <x v="42"/>
    <n v="21.5"/>
    <n v="30"/>
    <n v="0"/>
    <n v="645"/>
    <x v="0"/>
    <n v="4"/>
    <x v="5"/>
    <x v="7"/>
  </r>
  <r>
    <n v="10902"/>
    <x v="16"/>
    <n v="24"/>
    <n v="30"/>
    <n v="0.15"/>
    <n v="612"/>
    <x v="7"/>
    <n v="6"/>
    <x v="9"/>
    <x v="7"/>
  </r>
  <r>
    <n v="10902"/>
    <x v="29"/>
    <n v="49.3"/>
    <n v="6"/>
    <n v="0.15"/>
    <n v="251.42999999999995"/>
    <x v="5"/>
    <n v="3"/>
    <x v="9"/>
    <x v="7"/>
  </r>
  <r>
    <n v="10903"/>
    <x v="43"/>
    <n v="6"/>
    <n v="40"/>
    <n v="0"/>
    <n v="240"/>
    <x v="3"/>
    <n v="8"/>
    <x v="2"/>
    <x v="7"/>
  </r>
  <r>
    <n v="10903"/>
    <x v="6"/>
    <n v="21.05"/>
    <n v="21"/>
    <n v="0"/>
    <n v="442.05"/>
    <x v="4"/>
    <n v="2"/>
    <x v="2"/>
    <x v="7"/>
  </r>
  <r>
    <n v="10903"/>
    <x v="56"/>
    <n v="12.5"/>
    <n v="20"/>
    <n v="0"/>
    <n v="250"/>
    <x v="5"/>
    <n v="3"/>
    <x v="2"/>
    <x v="7"/>
  </r>
  <r>
    <n v="10904"/>
    <x v="64"/>
    <n v="13.25"/>
    <n v="15"/>
    <n v="0"/>
    <n v="198.75"/>
    <x v="3"/>
    <n v="8"/>
    <x v="8"/>
    <x v="7"/>
  </r>
  <r>
    <n v="10904"/>
    <x v="29"/>
    <n v="49.3"/>
    <n v="35"/>
    <n v="0"/>
    <n v="1725.5"/>
    <x v="5"/>
    <n v="3"/>
    <x v="8"/>
    <x v="7"/>
  </r>
  <r>
    <n v="10905"/>
    <x v="52"/>
    <n v="18"/>
    <n v="20"/>
    <n v="0.05"/>
    <n v="342"/>
    <x v="6"/>
    <n v="1"/>
    <x v="2"/>
    <x v="7"/>
  </r>
  <r>
    <n v="10906"/>
    <x v="75"/>
    <n v="28.5"/>
    <n v="15"/>
    <n v="0"/>
    <n v="427.5"/>
    <x v="4"/>
    <n v="2"/>
    <x v="18"/>
    <x v="7"/>
  </r>
  <r>
    <n v="10907"/>
    <x v="48"/>
    <n v="7.75"/>
    <n v="14"/>
    <n v="0"/>
    <n v="108.5"/>
    <x v="6"/>
    <n v="1"/>
    <x v="0"/>
    <x v="7"/>
  </r>
  <r>
    <n v="10908"/>
    <x v="32"/>
    <n v="30"/>
    <n v="20"/>
    <n v="0.05"/>
    <n v="570"/>
    <x v="2"/>
    <n v="7"/>
    <x v="11"/>
    <x v="7"/>
  </r>
  <r>
    <n v="10908"/>
    <x v="65"/>
    <n v="7"/>
    <n v="14"/>
    <n v="0.05"/>
    <n v="93.1"/>
    <x v="1"/>
    <n v="5"/>
    <x v="11"/>
    <x v="7"/>
  </r>
  <r>
    <n v="10909"/>
    <x v="32"/>
    <n v="30"/>
    <n v="12"/>
    <n v="0"/>
    <n v="360"/>
    <x v="2"/>
    <n v="7"/>
    <x v="19"/>
    <x v="7"/>
  </r>
  <r>
    <n v="10909"/>
    <x v="19"/>
    <n v="17.45"/>
    <n v="15"/>
    <n v="0"/>
    <n v="261.75"/>
    <x v="5"/>
    <n v="3"/>
    <x v="19"/>
    <x v="7"/>
  </r>
  <r>
    <n v="10909"/>
    <x v="5"/>
    <n v="9.65"/>
    <n v="5"/>
    <n v="0"/>
    <n v="48.25"/>
    <x v="3"/>
    <n v="8"/>
    <x v="19"/>
    <x v="7"/>
  </r>
  <r>
    <n v="10910"/>
    <x v="49"/>
    <n v="9.1999999999999993"/>
    <n v="12"/>
    <n v="0"/>
    <n v="110.39999999999999"/>
    <x v="5"/>
    <n v="3"/>
    <x v="10"/>
    <x v="7"/>
  </r>
  <r>
    <n v="10910"/>
    <x v="14"/>
    <n v="20"/>
    <n v="10"/>
    <n v="0"/>
    <n v="200"/>
    <x v="5"/>
    <n v="3"/>
    <x v="10"/>
    <x v="7"/>
  </r>
  <r>
    <n v="10910"/>
    <x v="75"/>
    <n v="28.5"/>
    <n v="5"/>
    <n v="0"/>
    <n v="142.5"/>
    <x v="4"/>
    <n v="2"/>
    <x v="10"/>
    <x v="7"/>
  </r>
  <r>
    <n v="10911"/>
    <x v="52"/>
    <n v="18"/>
    <n v="10"/>
    <n v="0"/>
    <n v="180"/>
    <x v="6"/>
    <n v="1"/>
    <x v="12"/>
    <x v="7"/>
  </r>
  <r>
    <n v="10911"/>
    <x v="35"/>
    <n v="39"/>
    <n v="12"/>
    <n v="0"/>
    <n v="468"/>
    <x v="7"/>
    <n v="6"/>
    <x v="12"/>
    <x v="7"/>
  </r>
  <r>
    <n v="10911"/>
    <x v="51"/>
    <n v="14"/>
    <n v="15"/>
    <n v="0"/>
    <n v="210"/>
    <x v="6"/>
    <n v="1"/>
    <x v="12"/>
    <x v="7"/>
  </r>
  <r>
    <n v="10912"/>
    <x v="0"/>
    <n v="21"/>
    <n v="40"/>
    <n v="0.25"/>
    <n v="630"/>
    <x v="0"/>
    <n v="4"/>
    <x v="14"/>
    <x v="7"/>
  </r>
  <r>
    <n v="10912"/>
    <x v="39"/>
    <n v="123.79"/>
    <n v="60"/>
    <n v="0.25"/>
    <n v="5570.55"/>
    <x v="7"/>
    <n v="6"/>
    <x v="14"/>
    <x v="7"/>
  </r>
  <r>
    <n v="10913"/>
    <x v="62"/>
    <n v="22"/>
    <n v="30"/>
    <n v="0.25"/>
    <n v="495"/>
    <x v="4"/>
    <n v="2"/>
    <x v="2"/>
    <x v="7"/>
  </r>
  <r>
    <n v="10913"/>
    <x v="10"/>
    <n v="2.5"/>
    <n v="40"/>
    <n v="0.25"/>
    <n v="75"/>
    <x v="0"/>
    <n v="4"/>
    <x v="2"/>
    <x v="7"/>
  </r>
  <r>
    <n v="10913"/>
    <x v="64"/>
    <n v="13.25"/>
    <n v="15"/>
    <n v="0"/>
    <n v="198.75"/>
    <x v="3"/>
    <n v="8"/>
    <x v="2"/>
    <x v="7"/>
  </r>
  <r>
    <n v="10914"/>
    <x v="42"/>
    <n v="21.5"/>
    <n v="25"/>
    <n v="0"/>
    <n v="537.5"/>
    <x v="0"/>
    <n v="4"/>
    <x v="2"/>
    <x v="7"/>
  </r>
  <r>
    <n v="10915"/>
    <x v="35"/>
    <n v="39"/>
    <n v="10"/>
    <n v="0"/>
    <n v="390"/>
    <x v="7"/>
    <n v="6"/>
    <x v="7"/>
    <x v="7"/>
  </r>
  <r>
    <n v="10915"/>
    <x v="10"/>
    <n v="2.5"/>
    <n v="30"/>
    <n v="0"/>
    <n v="75"/>
    <x v="0"/>
    <n v="4"/>
    <x v="7"/>
    <x v="7"/>
  </r>
  <r>
    <n v="10915"/>
    <x v="55"/>
    <n v="7.45"/>
    <n v="10"/>
    <n v="0"/>
    <n v="74.5"/>
    <x v="7"/>
    <n v="6"/>
    <x v="7"/>
    <x v="7"/>
  </r>
  <r>
    <n v="10916"/>
    <x v="19"/>
    <n v="17.45"/>
    <n v="6"/>
    <n v="0"/>
    <n v="104.69999999999999"/>
    <x v="5"/>
    <n v="3"/>
    <x v="20"/>
    <x v="7"/>
  </r>
  <r>
    <n v="10916"/>
    <x v="26"/>
    <n v="32"/>
    <n v="6"/>
    <n v="0"/>
    <n v="192"/>
    <x v="0"/>
    <n v="4"/>
    <x v="20"/>
    <x v="7"/>
  </r>
  <r>
    <n v="10916"/>
    <x v="8"/>
    <n v="19.5"/>
    <n v="20"/>
    <n v="0"/>
    <n v="390"/>
    <x v="1"/>
    <n v="5"/>
    <x v="20"/>
    <x v="7"/>
  </r>
  <r>
    <n v="10917"/>
    <x v="34"/>
    <n v="25.89"/>
    <n v="1"/>
    <n v="0"/>
    <n v="25.89"/>
    <x v="3"/>
    <n v="8"/>
    <x v="12"/>
    <x v="8"/>
  </r>
  <r>
    <n v="10917"/>
    <x v="11"/>
    <n v="34"/>
    <n v="10"/>
    <n v="0"/>
    <n v="340"/>
    <x v="0"/>
    <n v="4"/>
    <x v="12"/>
    <x v="8"/>
  </r>
  <r>
    <n v="10918"/>
    <x v="52"/>
    <n v="18"/>
    <n v="60"/>
    <n v="0.25"/>
    <n v="810"/>
    <x v="6"/>
    <n v="1"/>
    <x v="16"/>
    <x v="8"/>
  </r>
  <r>
    <n v="10918"/>
    <x v="11"/>
    <n v="34"/>
    <n v="25"/>
    <n v="0.25"/>
    <n v="637.5"/>
    <x v="0"/>
    <n v="4"/>
    <x v="16"/>
    <x v="8"/>
  </r>
  <r>
    <n v="10919"/>
    <x v="19"/>
    <n v="17.45"/>
    <n v="24"/>
    <n v="0"/>
    <n v="418.79999999999995"/>
    <x v="5"/>
    <n v="3"/>
    <x v="5"/>
    <x v="8"/>
  </r>
  <r>
    <n v="10919"/>
    <x v="66"/>
    <n v="14"/>
    <n v="24"/>
    <n v="0"/>
    <n v="336"/>
    <x v="5"/>
    <n v="3"/>
    <x v="5"/>
    <x v="8"/>
  </r>
  <r>
    <n v="10919"/>
    <x v="37"/>
    <n v="18.399999999999999"/>
    <n v="20"/>
    <n v="0"/>
    <n v="368"/>
    <x v="3"/>
    <n v="8"/>
    <x v="5"/>
    <x v="8"/>
  </r>
  <r>
    <n v="10920"/>
    <x v="72"/>
    <n v="16.25"/>
    <n v="24"/>
    <n v="0"/>
    <n v="390"/>
    <x v="5"/>
    <n v="3"/>
    <x v="13"/>
    <x v="8"/>
  </r>
  <r>
    <n v="10921"/>
    <x v="31"/>
    <n v="18"/>
    <n v="10"/>
    <n v="0"/>
    <n v="180"/>
    <x v="6"/>
    <n v="1"/>
    <x v="17"/>
    <x v="8"/>
  </r>
  <r>
    <n v="10921"/>
    <x v="46"/>
    <n v="43.9"/>
    <n v="40"/>
    <n v="0"/>
    <n v="1756"/>
    <x v="4"/>
    <n v="2"/>
    <x v="17"/>
    <x v="8"/>
  </r>
  <r>
    <n v="10922"/>
    <x v="35"/>
    <n v="39"/>
    <n v="15"/>
    <n v="0"/>
    <n v="585"/>
    <x v="7"/>
    <n v="6"/>
    <x v="2"/>
    <x v="8"/>
  </r>
  <r>
    <n v="10922"/>
    <x v="15"/>
    <n v="4.5"/>
    <n v="35"/>
    <n v="0"/>
    <n v="157.5"/>
    <x v="6"/>
    <n v="1"/>
    <x v="2"/>
    <x v="8"/>
  </r>
  <r>
    <n v="10923"/>
    <x v="1"/>
    <n v="14"/>
    <n v="10"/>
    <n v="0.2"/>
    <n v="112"/>
    <x v="1"/>
    <n v="5"/>
    <x v="0"/>
    <x v="8"/>
  </r>
  <r>
    <n v="10923"/>
    <x v="40"/>
    <n v="46"/>
    <n v="10"/>
    <n v="0.2"/>
    <n v="368"/>
    <x v="6"/>
    <n v="1"/>
    <x v="0"/>
    <x v="8"/>
  </r>
  <r>
    <n v="10923"/>
    <x v="51"/>
    <n v="14"/>
    <n v="24"/>
    <n v="0.2"/>
    <n v="268.8"/>
    <x v="6"/>
    <n v="1"/>
    <x v="0"/>
    <x v="8"/>
  </r>
  <r>
    <n v="10924"/>
    <x v="41"/>
    <n v="31"/>
    <n v="20"/>
    <n v="0.1"/>
    <n v="558"/>
    <x v="3"/>
    <n v="8"/>
    <x v="9"/>
    <x v="8"/>
  </r>
  <r>
    <n v="10924"/>
    <x v="44"/>
    <n v="45.6"/>
    <n v="30"/>
    <n v="0.1"/>
    <n v="1231.2"/>
    <x v="2"/>
    <n v="7"/>
    <x v="9"/>
    <x v="8"/>
  </r>
  <r>
    <n v="10924"/>
    <x v="48"/>
    <n v="7.75"/>
    <n v="6"/>
    <n v="0"/>
    <n v="46.5"/>
    <x v="6"/>
    <n v="1"/>
    <x v="9"/>
    <x v="8"/>
  </r>
  <r>
    <n v="10925"/>
    <x v="20"/>
    <n v="19"/>
    <n v="25"/>
    <n v="0.15"/>
    <n v="403.75"/>
    <x v="3"/>
    <n v="8"/>
    <x v="2"/>
    <x v="8"/>
  </r>
  <r>
    <n v="10925"/>
    <x v="65"/>
    <n v="7"/>
    <n v="12"/>
    <n v="0.15"/>
    <n v="71.399999999999991"/>
    <x v="1"/>
    <n v="5"/>
    <x v="2"/>
    <x v="8"/>
  </r>
  <r>
    <n v="10926"/>
    <x v="0"/>
    <n v="21"/>
    <n v="2"/>
    <n v="0"/>
    <n v="42"/>
    <x v="0"/>
    <n v="4"/>
    <x v="7"/>
    <x v="8"/>
  </r>
  <r>
    <n v="10926"/>
    <x v="43"/>
    <n v="6"/>
    <n v="10"/>
    <n v="0"/>
    <n v="60"/>
    <x v="3"/>
    <n v="8"/>
    <x v="7"/>
    <x v="8"/>
  </r>
  <r>
    <n v="10926"/>
    <x v="49"/>
    <n v="9.1999999999999993"/>
    <n v="7"/>
    <n v="0"/>
    <n v="64.399999999999991"/>
    <x v="5"/>
    <n v="3"/>
    <x v="7"/>
    <x v="8"/>
  </r>
  <r>
    <n v="10926"/>
    <x v="2"/>
    <n v="34.799999999999997"/>
    <n v="10"/>
    <n v="0"/>
    <n v="348"/>
    <x v="0"/>
    <n v="4"/>
    <x v="7"/>
    <x v="8"/>
  </r>
  <r>
    <n v="10927"/>
    <x v="9"/>
    <n v="81"/>
    <n v="5"/>
    <n v="0"/>
    <n v="405"/>
    <x v="5"/>
    <n v="3"/>
    <x v="0"/>
    <x v="8"/>
  </r>
  <r>
    <n v="10927"/>
    <x v="65"/>
    <n v="7"/>
    <n v="5"/>
    <n v="0"/>
    <n v="35"/>
    <x v="1"/>
    <n v="5"/>
    <x v="0"/>
    <x v="8"/>
  </r>
  <r>
    <n v="10927"/>
    <x v="38"/>
    <n v="18"/>
    <n v="20"/>
    <n v="0"/>
    <n v="360"/>
    <x v="6"/>
    <n v="1"/>
    <x v="0"/>
    <x v="8"/>
  </r>
  <r>
    <n v="10928"/>
    <x v="69"/>
    <n v="9.5"/>
    <n v="5"/>
    <n v="0"/>
    <n v="47.5"/>
    <x v="5"/>
    <n v="3"/>
    <x v="12"/>
    <x v="8"/>
  </r>
  <r>
    <n v="10928"/>
    <x v="38"/>
    <n v="18"/>
    <n v="5"/>
    <n v="0"/>
    <n v="90"/>
    <x v="6"/>
    <n v="1"/>
    <x v="12"/>
    <x v="8"/>
  </r>
  <r>
    <n v="10929"/>
    <x v="27"/>
    <n v="10"/>
    <n v="60"/>
    <n v="0"/>
    <n v="600"/>
    <x v="5"/>
    <n v="3"/>
    <x v="1"/>
    <x v="8"/>
  </r>
  <r>
    <n v="10929"/>
    <x v="48"/>
    <n v="7.75"/>
    <n v="49"/>
    <n v="0"/>
    <n v="379.75"/>
    <x v="6"/>
    <n v="1"/>
    <x v="1"/>
    <x v="8"/>
  </r>
  <r>
    <n v="10929"/>
    <x v="23"/>
    <n v="13"/>
    <n v="15"/>
    <n v="0"/>
    <n v="195"/>
    <x v="4"/>
    <n v="2"/>
    <x v="1"/>
    <x v="8"/>
  </r>
  <r>
    <n v="10930"/>
    <x v="27"/>
    <n v="10"/>
    <n v="36"/>
    <n v="0"/>
    <n v="360"/>
    <x v="5"/>
    <n v="3"/>
    <x v="3"/>
    <x v="8"/>
  </r>
  <r>
    <n v="10930"/>
    <x v="24"/>
    <n v="43.9"/>
    <n v="25"/>
    <n v="0"/>
    <n v="1097.5"/>
    <x v="5"/>
    <n v="3"/>
    <x v="3"/>
    <x v="8"/>
  </r>
  <r>
    <n v="10930"/>
    <x v="16"/>
    <n v="24"/>
    <n v="25"/>
    <n v="0.2"/>
    <n v="480"/>
    <x v="7"/>
    <n v="6"/>
    <x v="3"/>
    <x v="8"/>
  </r>
  <r>
    <n v="10930"/>
    <x v="64"/>
    <n v="13.25"/>
    <n v="30"/>
    <n v="0.2"/>
    <n v="318"/>
    <x v="3"/>
    <n v="8"/>
    <x v="3"/>
    <x v="8"/>
  </r>
  <r>
    <n v="10931"/>
    <x v="43"/>
    <n v="6"/>
    <n v="42"/>
    <n v="0.15"/>
    <n v="214.2"/>
    <x v="3"/>
    <n v="8"/>
    <x v="4"/>
    <x v="8"/>
  </r>
  <r>
    <n v="10931"/>
    <x v="8"/>
    <n v="19.5"/>
    <n v="30"/>
    <n v="0"/>
    <n v="585"/>
    <x v="1"/>
    <n v="5"/>
    <x v="4"/>
    <x v="8"/>
  </r>
  <r>
    <n v="10932"/>
    <x v="19"/>
    <n v="17.45"/>
    <n v="30"/>
    <n v="0.1"/>
    <n v="471.15000000000003"/>
    <x v="5"/>
    <n v="3"/>
    <x v="0"/>
    <x v="8"/>
  </r>
  <r>
    <n v="10932"/>
    <x v="29"/>
    <n v="49.3"/>
    <n v="14"/>
    <n v="0.1"/>
    <n v="621.17999999999995"/>
    <x v="5"/>
    <n v="3"/>
    <x v="0"/>
    <x v="8"/>
  </r>
  <r>
    <n v="10932"/>
    <x v="2"/>
    <n v="34.799999999999997"/>
    <n v="16"/>
    <n v="0"/>
    <n v="556.79999999999995"/>
    <x v="0"/>
    <n v="4"/>
    <x v="0"/>
    <x v="8"/>
  </r>
  <r>
    <n v="10932"/>
    <x v="48"/>
    <n v="7.75"/>
    <n v="20"/>
    <n v="0.1"/>
    <n v="139.5"/>
    <x v="6"/>
    <n v="1"/>
    <x v="0"/>
    <x v="8"/>
  </r>
  <r>
    <n v="10933"/>
    <x v="22"/>
    <n v="32.799999999999997"/>
    <n v="2"/>
    <n v="0"/>
    <n v="65.599999999999994"/>
    <x v="7"/>
    <n v="6"/>
    <x v="13"/>
    <x v="8"/>
  </r>
  <r>
    <n v="10933"/>
    <x v="75"/>
    <n v="28.5"/>
    <n v="30"/>
    <n v="0"/>
    <n v="855"/>
    <x v="4"/>
    <n v="2"/>
    <x v="13"/>
    <x v="8"/>
  </r>
  <r>
    <n v="10934"/>
    <x v="63"/>
    <n v="25"/>
    <n v="20"/>
    <n v="0"/>
    <n v="500"/>
    <x v="4"/>
    <n v="2"/>
    <x v="1"/>
    <x v="8"/>
  </r>
  <r>
    <n v="10935"/>
    <x v="52"/>
    <n v="18"/>
    <n v="21"/>
    <n v="0"/>
    <n v="378"/>
    <x v="6"/>
    <n v="1"/>
    <x v="2"/>
    <x v="8"/>
  </r>
  <r>
    <n v="10935"/>
    <x v="59"/>
    <n v="62.5"/>
    <n v="4"/>
    <n v="0.25"/>
    <n v="187.5"/>
    <x v="3"/>
    <n v="8"/>
    <x v="2"/>
    <x v="8"/>
  </r>
  <r>
    <n v="10935"/>
    <x v="70"/>
    <n v="9"/>
    <n v="8"/>
    <n v="0.25"/>
    <n v="54"/>
    <x v="1"/>
    <n v="5"/>
    <x v="2"/>
    <x v="8"/>
  </r>
  <r>
    <n v="10936"/>
    <x v="20"/>
    <n v="19"/>
    <n v="30"/>
    <n v="0.2"/>
    <n v="456"/>
    <x v="3"/>
    <n v="8"/>
    <x v="8"/>
    <x v="8"/>
  </r>
  <r>
    <n v="10937"/>
    <x v="44"/>
    <n v="45.6"/>
    <n v="8"/>
    <n v="0"/>
    <n v="364.8"/>
    <x v="2"/>
    <n v="7"/>
    <x v="20"/>
    <x v="8"/>
  </r>
  <r>
    <n v="10937"/>
    <x v="53"/>
    <n v="14"/>
    <n v="20"/>
    <n v="0"/>
    <n v="280"/>
    <x v="6"/>
    <n v="1"/>
    <x v="20"/>
    <x v="8"/>
  </r>
  <r>
    <n v="10938"/>
    <x v="43"/>
    <n v="6"/>
    <n v="20"/>
    <n v="0.25"/>
    <n v="90"/>
    <x v="3"/>
    <n v="8"/>
    <x v="1"/>
    <x v="8"/>
  </r>
  <r>
    <n v="10938"/>
    <x v="40"/>
    <n v="46"/>
    <n v="24"/>
    <n v="0.25"/>
    <n v="828"/>
    <x v="6"/>
    <n v="1"/>
    <x v="1"/>
    <x v="8"/>
  </r>
  <r>
    <n v="10938"/>
    <x v="11"/>
    <n v="34"/>
    <n v="49"/>
    <n v="0.25"/>
    <n v="1249.5"/>
    <x v="0"/>
    <n v="4"/>
    <x v="1"/>
    <x v="8"/>
  </r>
  <r>
    <n v="10938"/>
    <x v="42"/>
    <n v="21.5"/>
    <n v="35"/>
    <n v="0.25"/>
    <n v="564.375"/>
    <x v="0"/>
    <n v="4"/>
    <x v="1"/>
    <x v="8"/>
  </r>
  <r>
    <n v="10939"/>
    <x v="18"/>
    <n v="19"/>
    <n v="10"/>
    <n v="0.15"/>
    <n v="161.5"/>
    <x v="6"/>
    <n v="1"/>
    <x v="11"/>
    <x v="8"/>
  </r>
  <r>
    <n v="10939"/>
    <x v="51"/>
    <n v="14"/>
    <n v="40"/>
    <n v="0.15"/>
    <n v="476"/>
    <x v="6"/>
    <n v="1"/>
    <x v="11"/>
    <x v="8"/>
  </r>
  <r>
    <n v="10940"/>
    <x v="32"/>
    <n v="30"/>
    <n v="8"/>
    <n v="0"/>
    <n v="240"/>
    <x v="2"/>
    <n v="7"/>
    <x v="0"/>
    <x v="8"/>
  </r>
  <r>
    <n v="10940"/>
    <x v="43"/>
    <n v="6"/>
    <n v="20"/>
    <n v="0"/>
    <n v="120"/>
    <x v="3"/>
    <n v="8"/>
    <x v="0"/>
    <x v="8"/>
  </r>
  <r>
    <n v="10941"/>
    <x v="12"/>
    <n v="12.5"/>
    <n v="44"/>
    <n v="0.25"/>
    <n v="412.5"/>
    <x v="0"/>
    <n v="4"/>
    <x v="8"/>
    <x v="8"/>
  </r>
  <r>
    <n v="10941"/>
    <x v="29"/>
    <n v="49.3"/>
    <n v="30"/>
    <n v="0.25"/>
    <n v="1109.25"/>
    <x v="5"/>
    <n v="3"/>
    <x v="8"/>
    <x v="8"/>
  </r>
  <r>
    <n v="10941"/>
    <x v="56"/>
    <n v="12.5"/>
    <n v="80"/>
    <n v="0.25"/>
    <n v="750"/>
    <x v="5"/>
    <n v="3"/>
    <x v="8"/>
    <x v="8"/>
  </r>
  <r>
    <n v="10941"/>
    <x v="2"/>
    <n v="34.799999999999997"/>
    <n v="50"/>
    <n v="0"/>
    <n v="1739.9999999999998"/>
    <x v="0"/>
    <n v="4"/>
    <x v="8"/>
    <x v="8"/>
  </r>
  <r>
    <n v="10942"/>
    <x v="14"/>
    <n v="20"/>
    <n v="28"/>
    <n v="0"/>
    <n v="560"/>
    <x v="5"/>
    <n v="3"/>
    <x v="11"/>
    <x v="8"/>
  </r>
  <r>
    <n v="10943"/>
    <x v="43"/>
    <n v="6"/>
    <n v="15"/>
    <n v="0"/>
    <n v="90"/>
    <x v="3"/>
    <n v="8"/>
    <x v="13"/>
    <x v="8"/>
  </r>
  <r>
    <n v="10943"/>
    <x v="7"/>
    <n v="21"/>
    <n v="21"/>
    <n v="0"/>
    <n v="441"/>
    <x v="1"/>
    <n v="5"/>
    <x v="13"/>
    <x v="8"/>
  </r>
  <r>
    <n v="10943"/>
    <x v="54"/>
    <n v="12"/>
    <n v="15"/>
    <n v="0"/>
    <n v="180"/>
    <x v="3"/>
    <n v="8"/>
    <x v="13"/>
    <x v="8"/>
  </r>
  <r>
    <n v="10944"/>
    <x v="0"/>
    <n v="21"/>
    <n v="5"/>
    <n v="0.25"/>
    <n v="78.75"/>
    <x v="0"/>
    <n v="4"/>
    <x v="16"/>
    <x v="8"/>
  </r>
  <r>
    <n v="10944"/>
    <x v="45"/>
    <n v="19.45"/>
    <n v="18"/>
    <n v="0.25"/>
    <n v="262.57499999999999"/>
    <x v="4"/>
    <n v="2"/>
    <x v="16"/>
    <x v="8"/>
  </r>
  <r>
    <n v="10944"/>
    <x v="33"/>
    <n v="38"/>
    <n v="18"/>
    <n v="0"/>
    <n v="684"/>
    <x v="1"/>
    <n v="5"/>
    <x v="16"/>
    <x v="8"/>
  </r>
  <r>
    <n v="10945"/>
    <x v="43"/>
    <n v="6"/>
    <n v="20"/>
    <n v="0"/>
    <n v="120"/>
    <x v="3"/>
    <n v="8"/>
    <x v="1"/>
    <x v="8"/>
  </r>
  <r>
    <n v="10945"/>
    <x v="12"/>
    <n v="12.5"/>
    <n v="10"/>
    <n v="0"/>
    <n v="125"/>
    <x v="0"/>
    <n v="4"/>
    <x v="1"/>
    <x v="8"/>
  </r>
  <r>
    <n v="10946"/>
    <x v="41"/>
    <n v="31"/>
    <n v="25"/>
    <n v="0"/>
    <n v="775"/>
    <x v="3"/>
    <n v="8"/>
    <x v="17"/>
    <x v="8"/>
  </r>
  <r>
    <n v="10946"/>
    <x v="15"/>
    <n v="4.5"/>
    <n v="25"/>
    <n v="0"/>
    <n v="112.5"/>
    <x v="6"/>
    <n v="1"/>
    <x v="17"/>
    <x v="8"/>
  </r>
  <r>
    <n v="10946"/>
    <x v="23"/>
    <n v="13"/>
    <n v="40"/>
    <n v="0"/>
    <n v="520"/>
    <x v="4"/>
    <n v="2"/>
    <x v="17"/>
    <x v="8"/>
  </r>
  <r>
    <n v="10947"/>
    <x v="21"/>
    <n v="55"/>
    <n v="4"/>
    <n v="0"/>
    <n v="220"/>
    <x v="0"/>
    <n v="4"/>
    <x v="13"/>
    <x v="8"/>
  </r>
  <r>
    <n v="10948"/>
    <x v="72"/>
    <n v="16.25"/>
    <n v="9"/>
    <n v="0"/>
    <n v="146.25"/>
    <x v="5"/>
    <n v="3"/>
    <x v="12"/>
    <x v="8"/>
  </r>
  <r>
    <n v="10948"/>
    <x v="4"/>
    <n v="53"/>
    <n v="40"/>
    <n v="0"/>
    <n v="2120"/>
    <x v="2"/>
    <n v="7"/>
    <x v="12"/>
    <x v="8"/>
  </r>
  <r>
    <n v="10948"/>
    <x v="16"/>
    <n v="24"/>
    <n v="4"/>
    <n v="0"/>
    <n v="96"/>
    <x v="7"/>
    <n v="6"/>
    <x v="12"/>
    <x v="8"/>
  </r>
  <r>
    <n v="10949"/>
    <x v="63"/>
    <n v="25"/>
    <n v="12"/>
    <n v="0"/>
    <n v="300"/>
    <x v="4"/>
    <n v="2"/>
    <x v="16"/>
    <x v="8"/>
  </r>
  <r>
    <n v="10949"/>
    <x v="41"/>
    <n v="31"/>
    <n v="30"/>
    <n v="0"/>
    <n v="930"/>
    <x v="3"/>
    <n v="8"/>
    <x v="16"/>
    <x v="8"/>
  </r>
  <r>
    <n v="10949"/>
    <x v="35"/>
    <n v="39"/>
    <n v="6"/>
    <n v="0"/>
    <n v="234"/>
    <x v="7"/>
    <n v="6"/>
    <x v="16"/>
    <x v="8"/>
  </r>
  <r>
    <n v="10949"/>
    <x v="29"/>
    <n v="49.3"/>
    <n v="60"/>
    <n v="0"/>
    <n v="2958"/>
    <x v="5"/>
    <n v="3"/>
    <x v="16"/>
    <x v="8"/>
  </r>
  <r>
    <n v="10950"/>
    <x v="62"/>
    <n v="22"/>
    <n v="5"/>
    <n v="0"/>
    <n v="110"/>
    <x v="4"/>
    <n v="2"/>
    <x v="11"/>
    <x v="8"/>
  </r>
  <r>
    <n v="10951"/>
    <x v="10"/>
    <n v="2.5"/>
    <n v="15"/>
    <n v="0.05"/>
    <n v="35.625"/>
    <x v="0"/>
    <n v="4"/>
    <x v="4"/>
    <x v="8"/>
  </r>
  <r>
    <n v="10951"/>
    <x v="5"/>
    <n v="9.65"/>
    <n v="6"/>
    <n v="0.05"/>
    <n v="55.005000000000003"/>
    <x v="3"/>
    <n v="8"/>
    <x v="4"/>
    <x v="8"/>
  </r>
  <r>
    <n v="10951"/>
    <x v="48"/>
    <n v="7.75"/>
    <n v="50"/>
    <n v="0.05"/>
    <n v="368.125"/>
    <x v="6"/>
    <n v="1"/>
    <x v="4"/>
    <x v="8"/>
  </r>
  <r>
    <n v="10952"/>
    <x v="63"/>
    <n v="25"/>
    <n v="16"/>
    <n v="0.05"/>
    <n v="380"/>
    <x v="4"/>
    <n v="2"/>
    <x v="1"/>
    <x v="8"/>
  </r>
  <r>
    <n v="10952"/>
    <x v="44"/>
    <n v="45.6"/>
    <n v="2"/>
    <n v="0"/>
    <n v="91.2"/>
    <x v="2"/>
    <n v="7"/>
    <x v="1"/>
    <x v="8"/>
  </r>
  <r>
    <n v="10953"/>
    <x v="9"/>
    <n v="81"/>
    <n v="50"/>
    <n v="0.05"/>
    <n v="3847.5"/>
    <x v="5"/>
    <n v="3"/>
    <x v="13"/>
    <x v="8"/>
  </r>
  <r>
    <n v="10953"/>
    <x v="12"/>
    <n v="12.5"/>
    <n v="50"/>
    <n v="0.05"/>
    <n v="593.75"/>
    <x v="0"/>
    <n v="4"/>
    <x v="13"/>
    <x v="8"/>
  </r>
  <r>
    <n v="10954"/>
    <x v="19"/>
    <n v="17.45"/>
    <n v="28"/>
    <n v="0.15"/>
    <n v="415.30999999999995"/>
    <x v="5"/>
    <n v="3"/>
    <x v="5"/>
    <x v="8"/>
  </r>
  <r>
    <n v="10954"/>
    <x v="12"/>
    <n v="12.5"/>
    <n v="25"/>
    <n v="0.15"/>
    <n v="265.625"/>
    <x v="0"/>
    <n v="4"/>
    <x v="5"/>
    <x v="8"/>
  </r>
  <r>
    <n v="10954"/>
    <x v="73"/>
    <n v="9.5"/>
    <n v="30"/>
    <n v="0"/>
    <n v="285"/>
    <x v="3"/>
    <n v="8"/>
    <x v="5"/>
    <x v="8"/>
  </r>
  <r>
    <n v="10954"/>
    <x v="11"/>
    <n v="34"/>
    <n v="24"/>
    <n v="0.15"/>
    <n v="693.6"/>
    <x v="0"/>
    <n v="4"/>
    <x v="5"/>
    <x v="8"/>
  </r>
  <r>
    <n v="10955"/>
    <x v="48"/>
    <n v="7.75"/>
    <n v="12"/>
    <n v="0.2"/>
    <n v="74.400000000000006"/>
    <x v="6"/>
    <n v="1"/>
    <x v="9"/>
    <x v="8"/>
  </r>
  <r>
    <n v="10956"/>
    <x v="27"/>
    <n v="10"/>
    <n v="12"/>
    <n v="0"/>
    <n v="120"/>
    <x v="5"/>
    <n v="3"/>
    <x v="1"/>
    <x v="8"/>
  </r>
  <r>
    <n v="10956"/>
    <x v="69"/>
    <n v="9.5"/>
    <n v="14"/>
    <n v="0"/>
    <n v="133"/>
    <x v="5"/>
    <n v="3"/>
    <x v="1"/>
    <x v="8"/>
  </r>
  <r>
    <n v="10956"/>
    <x v="4"/>
    <n v="53"/>
    <n v="8"/>
    <n v="0"/>
    <n v="424"/>
    <x v="2"/>
    <n v="7"/>
    <x v="1"/>
    <x v="8"/>
  </r>
  <r>
    <n v="10957"/>
    <x v="34"/>
    <n v="25.89"/>
    <n v="30"/>
    <n v="0"/>
    <n v="776.7"/>
    <x v="3"/>
    <n v="8"/>
    <x v="5"/>
    <x v="8"/>
  </r>
  <r>
    <n v="10957"/>
    <x v="31"/>
    <n v="18"/>
    <n v="40"/>
    <n v="0"/>
    <n v="720"/>
    <x v="6"/>
    <n v="1"/>
    <x v="5"/>
    <x v="8"/>
  </r>
  <r>
    <n v="10957"/>
    <x v="58"/>
    <n v="33.25"/>
    <n v="8"/>
    <n v="0"/>
    <n v="266"/>
    <x v="1"/>
    <n v="5"/>
    <x v="5"/>
    <x v="8"/>
  </r>
  <r>
    <n v="10958"/>
    <x v="25"/>
    <n v="21.35"/>
    <n v="20"/>
    <n v="0"/>
    <n v="427"/>
    <x v="4"/>
    <n v="2"/>
    <x v="20"/>
    <x v="8"/>
  </r>
  <r>
    <n v="10958"/>
    <x v="32"/>
    <n v="30"/>
    <n v="6"/>
    <n v="0"/>
    <n v="180"/>
    <x v="2"/>
    <n v="7"/>
    <x v="20"/>
    <x v="8"/>
  </r>
  <r>
    <n v="10958"/>
    <x v="2"/>
    <n v="34.799999999999997"/>
    <n v="5"/>
    <n v="0"/>
    <n v="174"/>
    <x v="0"/>
    <n v="4"/>
    <x v="20"/>
    <x v="8"/>
  </r>
  <r>
    <n v="10959"/>
    <x v="48"/>
    <n v="7.75"/>
    <n v="20"/>
    <n v="0.15"/>
    <n v="131.75"/>
    <x v="6"/>
    <n v="1"/>
    <x v="2"/>
    <x v="8"/>
  </r>
  <r>
    <n v="10960"/>
    <x v="15"/>
    <n v="4.5"/>
    <n v="10"/>
    <n v="0.25"/>
    <n v="33.75"/>
    <x v="6"/>
    <n v="1"/>
    <x v="5"/>
    <x v="8"/>
  </r>
  <r>
    <n v="10960"/>
    <x v="5"/>
    <n v="9.65"/>
    <n v="24"/>
    <n v="0"/>
    <n v="231.60000000000002"/>
    <x v="3"/>
    <n v="8"/>
    <x v="5"/>
    <x v="8"/>
  </r>
  <r>
    <n v="10961"/>
    <x v="65"/>
    <n v="7"/>
    <n v="6"/>
    <n v="0.05"/>
    <n v="39.9"/>
    <x v="1"/>
    <n v="5"/>
    <x v="2"/>
    <x v="8"/>
  </r>
  <r>
    <n v="10961"/>
    <x v="38"/>
    <n v="18"/>
    <n v="60"/>
    <n v="0"/>
    <n v="1080"/>
    <x v="6"/>
    <n v="1"/>
    <x v="2"/>
    <x v="8"/>
  </r>
  <r>
    <n v="10962"/>
    <x v="32"/>
    <n v="30"/>
    <n v="45"/>
    <n v="0"/>
    <n v="1350"/>
    <x v="2"/>
    <n v="7"/>
    <x v="1"/>
    <x v="8"/>
  </r>
  <r>
    <n v="10962"/>
    <x v="43"/>
    <n v="6"/>
    <n v="77"/>
    <n v="0"/>
    <n v="462"/>
    <x v="3"/>
    <n v="8"/>
    <x v="1"/>
    <x v="8"/>
  </r>
  <r>
    <n v="10962"/>
    <x v="22"/>
    <n v="32.799999999999997"/>
    <n v="20"/>
    <n v="0"/>
    <n v="656"/>
    <x v="7"/>
    <n v="6"/>
    <x v="1"/>
    <x v="8"/>
  </r>
  <r>
    <n v="10962"/>
    <x v="60"/>
    <n v="36"/>
    <n v="9"/>
    <n v="0"/>
    <n v="324"/>
    <x v="0"/>
    <n v="4"/>
    <x v="1"/>
    <x v="8"/>
  </r>
  <r>
    <n v="10962"/>
    <x v="38"/>
    <n v="18"/>
    <n v="44"/>
    <n v="0"/>
    <n v="792"/>
    <x v="6"/>
    <n v="1"/>
    <x v="1"/>
    <x v="8"/>
  </r>
  <r>
    <n v="10963"/>
    <x v="11"/>
    <n v="34"/>
    <n v="2"/>
    <n v="0.15"/>
    <n v="57.8"/>
    <x v="0"/>
    <n v="4"/>
    <x v="15"/>
    <x v="8"/>
  </r>
  <r>
    <n v="10964"/>
    <x v="59"/>
    <n v="62.5"/>
    <n v="6"/>
    <n v="0"/>
    <n v="375"/>
    <x v="3"/>
    <n v="8"/>
    <x v="0"/>
    <x v="8"/>
  </r>
  <r>
    <n v="10964"/>
    <x v="67"/>
    <n v="263.5"/>
    <n v="5"/>
    <n v="0"/>
    <n v="1317.5"/>
    <x v="6"/>
    <n v="1"/>
    <x v="0"/>
    <x v="8"/>
  </r>
  <r>
    <n v="10964"/>
    <x v="60"/>
    <n v="36"/>
    <n v="10"/>
    <n v="0"/>
    <n v="360"/>
    <x v="0"/>
    <n v="4"/>
    <x v="0"/>
    <x v="8"/>
  </r>
  <r>
    <n v="10965"/>
    <x v="4"/>
    <n v="53"/>
    <n v="16"/>
    <n v="0"/>
    <n v="848"/>
    <x v="2"/>
    <n v="7"/>
    <x v="8"/>
    <x v="8"/>
  </r>
  <r>
    <n v="10966"/>
    <x v="28"/>
    <n v="26"/>
    <n v="8"/>
    <n v="0"/>
    <n v="208"/>
    <x v="3"/>
    <n v="8"/>
    <x v="4"/>
    <x v="8"/>
  </r>
  <r>
    <n v="10966"/>
    <x v="33"/>
    <n v="38"/>
    <n v="12"/>
    <n v="0.15"/>
    <n v="387.59999999999997"/>
    <x v="1"/>
    <n v="5"/>
    <x v="4"/>
    <x v="8"/>
  </r>
  <r>
    <n v="10966"/>
    <x v="29"/>
    <n v="49.3"/>
    <n v="12"/>
    <n v="0.15"/>
    <n v="502.8599999999999"/>
    <x v="5"/>
    <n v="3"/>
    <x v="4"/>
    <x v="8"/>
  </r>
  <r>
    <n v="10967"/>
    <x v="49"/>
    <n v="9.1999999999999993"/>
    <n v="12"/>
    <n v="0"/>
    <n v="110.39999999999999"/>
    <x v="5"/>
    <n v="3"/>
    <x v="1"/>
    <x v="8"/>
  </r>
  <r>
    <n v="10967"/>
    <x v="14"/>
    <n v="20"/>
    <n v="40"/>
    <n v="0"/>
    <n v="800"/>
    <x v="5"/>
    <n v="3"/>
    <x v="1"/>
    <x v="8"/>
  </r>
  <r>
    <n v="10968"/>
    <x v="36"/>
    <n v="38"/>
    <n v="30"/>
    <n v="0"/>
    <n v="1140"/>
    <x v="0"/>
    <n v="4"/>
    <x v="6"/>
    <x v="8"/>
  </r>
  <r>
    <n v="10968"/>
    <x v="15"/>
    <n v="4.5"/>
    <n v="30"/>
    <n v="0"/>
    <n v="135"/>
    <x v="6"/>
    <n v="1"/>
    <x v="6"/>
    <x v="8"/>
  </r>
  <r>
    <n v="10968"/>
    <x v="58"/>
    <n v="33.25"/>
    <n v="4"/>
    <n v="0"/>
    <n v="133"/>
    <x v="1"/>
    <n v="5"/>
    <x v="6"/>
    <x v="8"/>
  </r>
  <r>
    <n v="10969"/>
    <x v="54"/>
    <n v="12"/>
    <n v="9"/>
    <n v="0"/>
    <n v="108"/>
    <x v="3"/>
    <n v="8"/>
    <x v="2"/>
    <x v="8"/>
  </r>
  <r>
    <n v="10970"/>
    <x v="65"/>
    <n v="7"/>
    <n v="40"/>
    <n v="0.2"/>
    <n v="224"/>
    <x v="1"/>
    <n v="5"/>
    <x v="12"/>
    <x v="8"/>
  </r>
  <r>
    <n v="10971"/>
    <x v="39"/>
    <n v="123.79"/>
    <n v="14"/>
    <n v="0"/>
    <n v="1733.0600000000002"/>
    <x v="7"/>
    <n v="6"/>
    <x v="0"/>
    <x v="8"/>
  </r>
  <r>
    <n v="10972"/>
    <x v="35"/>
    <n v="39"/>
    <n v="6"/>
    <n v="0"/>
    <n v="234"/>
    <x v="7"/>
    <n v="6"/>
    <x v="0"/>
    <x v="8"/>
  </r>
  <r>
    <n v="10972"/>
    <x v="10"/>
    <n v="2.5"/>
    <n v="7"/>
    <n v="0"/>
    <n v="17.5"/>
    <x v="0"/>
    <n v="4"/>
    <x v="0"/>
    <x v="8"/>
  </r>
  <r>
    <n v="10973"/>
    <x v="68"/>
    <n v="31.23"/>
    <n v="5"/>
    <n v="0"/>
    <n v="156.15"/>
    <x v="5"/>
    <n v="3"/>
    <x v="0"/>
    <x v="8"/>
  </r>
  <r>
    <n v="10973"/>
    <x v="5"/>
    <n v="9.65"/>
    <n v="6"/>
    <n v="0"/>
    <n v="57.900000000000006"/>
    <x v="3"/>
    <n v="8"/>
    <x v="0"/>
    <x v="8"/>
  </r>
  <r>
    <n v="10973"/>
    <x v="48"/>
    <n v="7.75"/>
    <n v="10"/>
    <n v="0"/>
    <n v="77.5"/>
    <x v="6"/>
    <n v="1"/>
    <x v="0"/>
    <x v="8"/>
  </r>
  <r>
    <n v="10974"/>
    <x v="46"/>
    <n v="43.9"/>
    <n v="10"/>
    <n v="0"/>
    <n v="439"/>
    <x v="4"/>
    <n v="2"/>
    <x v="8"/>
    <x v="8"/>
  </r>
  <r>
    <n v="10975"/>
    <x v="71"/>
    <n v="40"/>
    <n v="16"/>
    <n v="0"/>
    <n v="640"/>
    <x v="4"/>
    <n v="2"/>
    <x v="16"/>
    <x v="8"/>
  </r>
  <r>
    <n v="10975"/>
    <x v="48"/>
    <n v="7.75"/>
    <n v="10"/>
    <n v="0"/>
    <n v="77.5"/>
    <x v="6"/>
    <n v="1"/>
    <x v="16"/>
    <x v="8"/>
  </r>
  <r>
    <n v="10976"/>
    <x v="44"/>
    <n v="45.6"/>
    <n v="20"/>
    <n v="0"/>
    <n v="912"/>
    <x v="2"/>
    <n v="7"/>
    <x v="5"/>
    <x v="8"/>
  </r>
  <r>
    <n v="10977"/>
    <x v="13"/>
    <n v="18"/>
    <n v="30"/>
    <n v="0"/>
    <n v="540"/>
    <x v="6"/>
    <n v="1"/>
    <x v="9"/>
    <x v="8"/>
  </r>
  <r>
    <n v="10977"/>
    <x v="69"/>
    <n v="9.5"/>
    <n v="30"/>
    <n v="0"/>
    <n v="285"/>
    <x v="5"/>
    <n v="3"/>
    <x v="9"/>
    <x v="8"/>
  </r>
  <r>
    <n v="10977"/>
    <x v="4"/>
    <n v="53"/>
    <n v="10"/>
    <n v="0"/>
    <n v="530"/>
    <x v="2"/>
    <n v="7"/>
    <x v="9"/>
    <x v="8"/>
  </r>
  <r>
    <n v="10977"/>
    <x v="46"/>
    <n v="43.9"/>
    <n v="20"/>
    <n v="0"/>
    <n v="878"/>
    <x v="4"/>
    <n v="2"/>
    <x v="9"/>
    <x v="8"/>
  </r>
  <r>
    <n v="10978"/>
    <x v="71"/>
    <n v="40"/>
    <n v="20"/>
    <n v="0.15"/>
    <n v="680"/>
    <x v="4"/>
    <n v="2"/>
    <x v="3"/>
    <x v="8"/>
  </r>
  <r>
    <n v="10978"/>
    <x v="27"/>
    <n v="10"/>
    <n v="40"/>
    <n v="0.15"/>
    <n v="340"/>
    <x v="5"/>
    <n v="3"/>
    <x v="3"/>
    <x v="8"/>
  </r>
  <r>
    <n v="10978"/>
    <x v="37"/>
    <n v="18.399999999999999"/>
    <n v="10"/>
    <n v="0"/>
    <n v="184"/>
    <x v="3"/>
    <n v="8"/>
    <x v="3"/>
    <x v="8"/>
  </r>
  <r>
    <n v="10978"/>
    <x v="45"/>
    <n v="19.45"/>
    <n v="6"/>
    <n v="0.15"/>
    <n v="99.194999999999993"/>
    <x v="4"/>
    <n v="2"/>
    <x v="3"/>
    <x v="8"/>
  </r>
  <r>
    <n v="10979"/>
    <x v="32"/>
    <n v="30"/>
    <n v="18"/>
    <n v="0"/>
    <n v="540"/>
    <x v="2"/>
    <n v="7"/>
    <x v="6"/>
    <x v="8"/>
  </r>
  <r>
    <n v="10979"/>
    <x v="36"/>
    <n v="38"/>
    <n v="20"/>
    <n v="0"/>
    <n v="760"/>
    <x v="0"/>
    <n v="4"/>
    <x v="6"/>
    <x v="8"/>
  </r>
  <r>
    <n v="10979"/>
    <x v="15"/>
    <n v="4.5"/>
    <n v="80"/>
    <n v="0"/>
    <n v="360"/>
    <x v="6"/>
    <n v="1"/>
    <x v="6"/>
    <x v="8"/>
  </r>
  <r>
    <n v="10979"/>
    <x v="24"/>
    <n v="43.9"/>
    <n v="30"/>
    <n v="0"/>
    <n v="1317"/>
    <x v="5"/>
    <n v="3"/>
    <x v="6"/>
    <x v="8"/>
  </r>
  <r>
    <n v="10979"/>
    <x v="12"/>
    <n v="12.5"/>
    <n v="24"/>
    <n v="0"/>
    <n v="300"/>
    <x v="0"/>
    <n v="4"/>
    <x v="6"/>
    <x v="8"/>
  </r>
  <r>
    <n v="10979"/>
    <x v="46"/>
    <n v="43.9"/>
    <n v="35"/>
    <n v="0"/>
    <n v="1536.5"/>
    <x v="4"/>
    <n v="2"/>
    <x v="6"/>
    <x v="8"/>
  </r>
  <r>
    <n v="10980"/>
    <x v="48"/>
    <n v="7.75"/>
    <n v="40"/>
    <n v="0.2"/>
    <n v="248"/>
    <x v="6"/>
    <n v="1"/>
    <x v="9"/>
    <x v="8"/>
  </r>
  <r>
    <n v="10981"/>
    <x v="67"/>
    <n v="263.5"/>
    <n v="60"/>
    <n v="0"/>
    <n v="15810"/>
    <x v="6"/>
    <n v="1"/>
    <x v="2"/>
    <x v="8"/>
  </r>
  <r>
    <n v="10982"/>
    <x v="32"/>
    <n v="30"/>
    <n v="20"/>
    <n v="0"/>
    <n v="600"/>
    <x v="2"/>
    <n v="7"/>
    <x v="16"/>
    <x v="8"/>
  </r>
  <r>
    <n v="10982"/>
    <x v="40"/>
    <n v="46"/>
    <n v="9"/>
    <n v="0"/>
    <n v="414"/>
    <x v="6"/>
    <n v="1"/>
    <x v="16"/>
    <x v="8"/>
  </r>
  <r>
    <n v="10983"/>
    <x v="43"/>
    <n v="6"/>
    <n v="84"/>
    <n v="0.15"/>
    <n v="428.4"/>
    <x v="3"/>
    <n v="8"/>
    <x v="8"/>
    <x v="8"/>
  </r>
  <r>
    <n v="10983"/>
    <x v="8"/>
    <n v="19.5"/>
    <n v="15"/>
    <n v="0"/>
    <n v="292.5"/>
    <x v="1"/>
    <n v="5"/>
    <x v="8"/>
    <x v="8"/>
  </r>
  <r>
    <n v="10984"/>
    <x v="19"/>
    <n v="17.45"/>
    <n v="55"/>
    <n v="0"/>
    <n v="959.75"/>
    <x v="5"/>
    <n v="3"/>
    <x v="8"/>
    <x v="8"/>
  </r>
  <r>
    <n v="10984"/>
    <x v="15"/>
    <n v="4.5"/>
    <n v="20"/>
    <n v="0"/>
    <n v="90"/>
    <x v="6"/>
    <n v="1"/>
    <x v="8"/>
    <x v="8"/>
  </r>
  <r>
    <n v="10984"/>
    <x v="20"/>
    <n v="19"/>
    <n v="40"/>
    <n v="0"/>
    <n v="760"/>
    <x v="3"/>
    <n v="8"/>
    <x v="8"/>
    <x v="8"/>
  </r>
  <r>
    <n v="10985"/>
    <x v="19"/>
    <n v="17.45"/>
    <n v="36"/>
    <n v="0.1"/>
    <n v="565.38"/>
    <x v="5"/>
    <n v="3"/>
    <x v="14"/>
    <x v="8"/>
  </r>
  <r>
    <n v="10985"/>
    <x v="59"/>
    <n v="62.5"/>
    <n v="8"/>
    <n v="0.1"/>
    <n v="450"/>
    <x v="3"/>
    <n v="8"/>
    <x v="14"/>
    <x v="8"/>
  </r>
  <r>
    <n v="10985"/>
    <x v="26"/>
    <n v="32"/>
    <n v="35"/>
    <n v="0.1"/>
    <n v="1008"/>
    <x v="0"/>
    <n v="4"/>
    <x v="14"/>
    <x v="8"/>
  </r>
  <r>
    <n v="10986"/>
    <x v="0"/>
    <n v="21"/>
    <n v="30"/>
    <n v="0"/>
    <n v="630"/>
    <x v="0"/>
    <n v="4"/>
    <x v="20"/>
    <x v="8"/>
  </r>
  <r>
    <n v="10986"/>
    <x v="9"/>
    <n v="81"/>
    <n v="15"/>
    <n v="0"/>
    <n v="1215"/>
    <x v="5"/>
    <n v="3"/>
    <x v="20"/>
    <x v="8"/>
  </r>
  <r>
    <n v="10986"/>
    <x v="38"/>
    <n v="18"/>
    <n v="10"/>
    <n v="0"/>
    <n v="180"/>
    <x v="6"/>
    <n v="1"/>
    <x v="20"/>
    <x v="8"/>
  </r>
  <r>
    <n v="10986"/>
    <x v="23"/>
    <n v="13"/>
    <n v="15"/>
    <n v="0"/>
    <n v="195"/>
    <x v="4"/>
    <n v="2"/>
    <x v="20"/>
    <x v="8"/>
  </r>
  <r>
    <n v="10987"/>
    <x v="32"/>
    <n v="30"/>
    <n v="60"/>
    <n v="0"/>
    <n v="1800"/>
    <x v="2"/>
    <n v="7"/>
    <x v="13"/>
    <x v="8"/>
  </r>
  <r>
    <n v="10987"/>
    <x v="40"/>
    <n v="46"/>
    <n v="6"/>
    <n v="0"/>
    <n v="276"/>
    <x v="6"/>
    <n v="1"/>
    <x v="13"/>
    <x v="8"/>
  </r>
  <r>
    <n v="10987"/>
    <x v="2"/>
    <n v="34.799999999999997"/>
    <n v="20"/>
    <n v="0"/>
    <n v="696"/>
    <x v="0"/>
    <n v="4"/>
    <x v="13"/>
    <x v="8"/>
  </r>
  <r>
    <n v="10988"/>
    <x v="32"/>
    <n v="30"/>
    <n v="60"/>
    <n v="0"/>
    <n v="1800"/>
    <x v="2"/>
    <n v="7"/>
    <x v="8"/>
    <x v="8"/>
  </r>
  <r>
    <n v="10988"/>
    <x v="29"/>
    <n v="49.3"/>
    <n v="40"/>
    <n v="0.1"/>
    <n v="1774.8"/>
    <x v="5"/>
    <n v="3"/>
    <x v="8"/>
    <x v="8"/>
  </r>
  <r>
    <n v="10989"/>
    <x v="63"/>
    <n v="25"/>
    <n v="40"/>
    <n v="0"/>
    <n v="1000"/>
    <x v="4"/>
    <n v="2"/>
    <x v="2"/>
    <x v="8"/>
  </r>
  <r>
    <n v="10989"/>
    <x v="0"/>
    <n v="21"/>
    <n v="15"/>
    <n v="0"/>
    <n v="315"/>
    <x v="0"/>
    <n v="4"/>
    <x v="2"/>
    <x v="8"/>
  </r>
  <r>
    <n v="10989"/>
    <x v="5"/>
    <n v="9.65"/>
    <n v="4"/>
    <n v="0"/>
    <n v="38.6"/>
    <x v="3"/>
    <n v="8"/>
    <x v="2"/>
    <x v="8"/>
  </r>
  <r>
    <n v="10990"/>
    <x v="27"/>
    <n v="10"/>
    <n v="65"/>
    <n v="0"/>
    <n v="650"/>
    <x v="5"/>
    <n v="3"/>
    <x v="6"/>
    <x v="9"/>
  </r>
  <r>
    <n v="10990"/>
    <x v="53"/>
    <n v="14"/>
    <n v="60"/>
    <n v="0.15"/>
    <n v="714"/>
    <x v="6"/>
    <n v="1"/>
    <x v="6"/>
    <x v="9"/>
  </r>
  <r>
    <n v="10990"/>
    <x v="16"/>
    <n v="24"/>
    <n v="65"/>
    <n v="0.15"/>
    <n v="1326"/>
    <x v="7"/>
    <n v="6"/>
    <x v="6"/>
    <x v="9"/>
  </r>
  <r>
    <n v="10990"/>
    <x v="75"/>
    <n v="28.5"/>
    <n v="66"/>
    <n v="0.15"/>
    <n v="1598.85"/>
    <x v="4"/>
    <n v="2"/>
    <x v="6"/>
    <x v="9"/>
  </r>
  <r>
    <n v="10991"/>
    <x v="18"/>
    <n v="19"/>
    <n v="50"/>
    <n v="0.2"/>
    <n v="760"/>
    <x v="6"/>
    <n v="1"/>
    <x v="1"/>
    <x v="9"/>
  </r>
  <r>
    <n v="10991"/>
    <x v="30"/>
    <n v="15"/>
    <n v="20"/>
    <n v="0.2"/>
    <n v="240"/>
    <x v="6"/>
    <n v="1"/>
    <x v="1"/>
    <x v="9"/>
  </r>
  <r>
    <n v="10991"/>
    <x v="38"/>
    <n v="18"/>
    <n v="90"/>
    <n v="0.2"/>
    <n v="1296"/>
    <x v="6"/>
    <n v="1"/>
    <x v="1"/>
    <x v="9"/>
  </r>
  <r>
    <n v="10992"/>
    <x v="2"/>
    <n v="34.799999999999997"/>
    <n v="2"/>
    <n v="0"/>
    <n v="69.599999999999994"/>
    <x v="0"/>
    <n v="4"/>
    <x v="8"/>
    <x v="9"/>
  </r>
  <r>
    <n v="10993"/>
    <x v="39"/>
    <n v="123.79"/>
    <n v="50"/>
    <n v="0.25"/>
    <n v="4642.125"/>
    <x v="7"/>
    <n v="6"/>
    <x v="9"/>
    <x v="9"/>
  </r>
  <r>
    <n v="10993"/>
    <x v="5"/>
    <n v="9.65"/>
    <n v="35"/>
    <n v="0.25"/>
    <n v="253.3125"/>
    <x v="3"/>
    <n v="8"/>
    <x v="9"/>
    <x v="9"/>
  </r>
  <r>
    <n v="10994"/>
    <x v="21"/>
    <n v="55"/>
    <n v="18"/>
    <n v="0.05"/>
    <n v="940.5"/>
    <x v="0"/>
    <n v="4"/>
    <x v="17"/>
    <x v="9"/>
  </r>
  <r>
    <n v="10995"/>
    <x v="4"/>
    <n v="53"/>
    <n v="20"/>
    <n v="0"/>
    <n v="1060"/>
    <x v="2"/>
    <n v="7"/>
    <x v="7"/>
    <x v="9"/>
  </r>
  <r>
    <n v="10995"/>
    <x v="11"/>
    <n v="34"/>
    <n v="4"/>
    <n v="0"/>
    <n v="136"/>
    <x v="0"/>
    <n v="4"/>
    <x v="7"/>
    <x v="9"/>
  </r>
  <r>
    <n v="10996"/>
    <x v="1"/>
    <n v="14"/>
    <n v="40"/>
    <n v="0"/>
    <n v="560"/>
    <x v="1"/>
    <n v="5"/>
    <x v="1"/>
    <x v="9"/>
  </r>
  <r>
    <n v="10997"/>
    <x v="26"/>
    <n v="32"/>
    <n v="50"/>
    <n v="0"/>
    <n v="1600"/>
    <x v="0"/>
    <n v="4"/>
    <x v="5"/>
    <x v="9"/>
  </r>
  <r>
    <n v="10997"/>
    <x v="54"/>
    <n v="12"/>
    <n v="20"/>
    <n v="0.25"/>
    <n v="180"/>
    <x v="3"/>
    <n v="8"/>
    <x v="5"/>
    <x v="9"/>
  </r>
  <r>
    <n v="10997"/>
    <x v="65"/>
    <n v="7"/>
    <n v="20"/>
    <n v="0.25"/>
    <n v="105"/>
    <x v="1"/>
    <n v="5"/>
    <x v="5"/>
    <x v="9"/>
  </r>
  <r>
    <n v="10998"/>
    <x v="15"/>
    <n v="4.5"/>
    <n v="12"/>
    <n v="0"/>
    <n v="54"/>
    <x v="6"/>
    <n v="1"/>
    <x v="18"/>
    <x v="9"/>
  </r>
  <r>
    <n v="10998"/>
    <x v="75"/>
    <n v="28.5"/>
    <n v="7"/>
    <n v="0"/>
    <n v="199.5"/>
    <x v="4"/>
    <n v="2"/>
    <x v="18"/>
    <x v="9"/>
  </r>
  <r>
    <n v="10998"/>
    <x v="17"/>
    <n v="10"/>
    <n v="20"/>
    <n v="0"/>
    <n v="200"/>
    <x v="2"/>
    <n v="7"/>
    <x v="18"/>
    <x v="9"/>
  </r>
  <r>
    <n v="10998"/>
    <x v="48"/>
    <n v="7.75"/>
    <n v="30"/>
    <n v="0"/>
    <n v="232.5"/>
    <x v="6"/>
    <n v="1"/>
    <x v="18"/>
    <x v="9"/>
  </r>
  <r>
    <n v="10999"/>
    <x v="5"/>
    <n v="9.65"/>
    <n v="20"/>
    <n v="0.05"/>
    <n v="183.35"/>
    <x v="3"/>
    <n v="8"/>
    <x v="1"/>
    <x v="9"/>
  </r>
  <r>
    <n v="10999"/>
    <x v="4"/>
    <n v="53"/>
    <n v="15"/>
    <n v="0.05"/>
    <n v="755.25"/>
    <x v="2"/>
    <n v="7"/>
    <x v="1"/>
    <x v="9"/>
  </r>
  <r>
    <n v="10999"/>
    <x v="23"/>
    <n v="13"/>
    <n v="21"/>
    <n v="0.05"/>
    <n v="259.34999999999997"/>
    <x v="4"/>
    <n v="2"/>
    <x v="1"/>
    <x v="9"/>
  </r>
  <r>
    <n v="11000"/>
    <x v="62"/>
    <n v="22"/>
    <n v="25"/>
    <n v="0.25"/>
    <n v="412.5"/>
    <x v="4"/>
    <n v="2"/>
    <x v="8"/>
    <x v="9"/>
  </r>
  <r>
    <n v="11000"/>
    <x v="15"/>
    <n v="4.5"/>
    <n v="30"/>
    <n v="0.25"/>
    <n v="101.25"/>
    <x v="6"/>
    <n v="1"/>
    <x v="8"/>
    <x v="9"/>
  </r>
  <r>
    <n v="11000"/>
    <x v="23"/>
    <n v="13"/>
    <n v="30"/>
    <n v="0"/>
    <n v="390"/>
    <x v="4"/>
    <n v="2"/>
    <x v="8"/>
    <x v="9"/>
  </r>
  <r>
    <n v="11001"/>
    <x v="32"/>
    <n v="30"/>
    <n v="60"/>
    <n v="0"/>
    <n v="1800"/>
    <x v="2"/>
    <n v="7"/>
    <x v="9"/>
    <x v="9"/>
  </r>
  <r>
    <n v="11001"/>
    <x v="7"/>
    <n v="21"/>
    <n v="25"/>
    <n v="0"/>
    <n v="525"/>
    <x v="1"/>
    <n v="5"/>
    <x v="9"/>
    <x v="9"/>
  </r>
  <r>
    <n v="11001"/>
    <x v="54"/>
    <n v="12"/>
    <n v="25"/>
    <n v="0"/>
    <n v="300"/>
    <x v="3"/>
    <n v="8"/>
    <x v="9"/>
    <x v="9"/>
  </r>
  <r>
    <n v="11001"/>
    <x v="16"/>
    <n v="24"/>
    <n v="6"/>
    <n v="0"/>
    <n v="144"/>
    <x v="7"/>
    <n v="6"/>
    <x v="9"/>
    <x v="9"/>
  </r>
  <r>
    <n v="11002"/>
    <x v="43"/>
    <n v="6"/>
    <n v="56"/>
    <n v="0"/>
    <n v="336"/>
    <x v="3"/>
    <n v="8"/>
    <x v="8"/>
    <x v="9"/>
  </r>
  <r>
    <n v="11002"/>
    <x v="31"/>
    <n v="18"/>
    <n v="15"/>
    <n v="0.15"/>
    <n v="229.5"/>
    <x v="6"/>
    <n v="1"/>
    <x v="8"/>
    <x v="9"/>
  </r>
  <r>
    <n v="11002"/>
    <x v="1"/>
    <n v="14"/>
    <n v="24"/>
    <n v="0.15"/>
    <n v="285.59999999999997"/>
    <x v="1"/>
    <n v="5"/>
    <x v="8"/>
    <x v="9"/>
  </r>
  <r>
    <n v="11002"/>
    <x v="16"/>
    <n v="24"/>
    <n v="40"/>
    <n v="0"/>
    <n v="960"/>
    <x v="7"/>
    <n v="6"/>
    <x v="8"/>
    <x v="9"/>
  </r>
  <r>
    <n v="11003"/>
    <x v="52"/>
    <n v="18"/>
    <n v="4"/>
    <n v="0"/>
    <n v="72"/>
    <x v="6"/>
    <n v="1"/>
    <x v="8"/>
    <x v="9"/>
  </r>
  <r>
    <n v="11003"/>
    <x v="37"/>
    <n v="18.399999999999999"/>
    <n v="10"/>
    <n v="0"/>
    <n v="184"/>
    <x v="3"/>
    <n v="8"/>
    <x v="8"/>
    <x v="9"/>
  </r>
  <r>
    <n v="11003"/>
    <x v="65"/>
    <n v="7"/>
    <n v="10"/>
    <n v="0"/>
    <n v="70"/>
    <x v="1"/>
    <n v="5"/>
    <x v="8"/>
    <x v="9"/>
  </r>
  <r>
    <n v="11004"/>
    <x v="68"/>
    <n v="31.23"/>
    <n v="6"/>
    <n v="0"/>
    <n v="187.38"/>
    <x v="5"/>
    <n v="3"/>
    <x v="3"/>
    <x v="9"/>
  </r>
  <r>
    <n v="11004"/>
    <x v="38"/>
    <n v="18"/>
    <n v="6"/>
    <n v="0"/>
    <n v="108"/>
    <x v="6"/>
    <n v="1"/>
    <x v="3"/>
    <x v="9"/>
  </r>
  <r>
    <n v="11005"/>
    <x v="52"/>
    <n v="18"/>
    <n v="2"/>
    <n v="0"/>
    <n v="36"/>
    <x v="6"/>
    <n v="1"/>
    <x v="10"/>
    <x v="9"/>
  </r>
  <r>
    <n v="11005"/>
    <x v="21"/>
    <n v="55"/>
    <n v="10"/>
    <n v="0"/>
    <n v="550"/>
    <x v="0"/>
    <n v="4"/>
    <x v="10"/>
    <x v="9"/>
  </r>
  <r>
    <n v="11006"/>
    <x v="52"/>
    <n v="18"/>
    <n v="8"/>
    <n v="0"/>
    <n v="144"/>
    <x v="6"/>
    <n v="1"/>
    <x v="8"/>
    <x v="9"/>
  </r>
  <r>
    <n v="11006"/>
    <x v="39"/>
    <n v="123.79"/>
    <n v="2"/>
    <n v="0.25"/>
    <n v="185.685"/>
    <x v="7"/>
    <n v="6"/>
    <x v="8"/>
    <x v="9"/>
  </r>
  <r>
    <n v="11007"/>
    <x v="71"/>
    <n v="40"/>
    <n v="30"/>
    <n v="0"/>
    <n v="1200"/>
    <x v="4"/>
    <n v="2"/>
    <x v="15"/>
    <x v="9"/>
  </r>
  <r>
    <n v="11007"/>
    <x v="39"/>
    <n v="123.79"/>
    <n v="10"/>
    <n v="0"/>
    <n v="1237.9000000000001"/>
    <x v="7"/>
    <n v="6"/>
    <x v="15"/>
    <x v="9"/>
  </r>
  <r>
    <n v="11007"/>
    <x v="1"/>
    <n v="14"/>
    <n v="14"/>
    <n v="0"/>
    <n v="196"/>
    <x v="1"/>
    <n v="5"/>
    <x v="15"/>
    <x v="9"/>
  </r>
  <r>
    <n v="11008"/>
    <x v="44"/>
    <n v="45.6"/>
    <n v="70"/>
    <n v="0.05"/>
    <n v="3032.3999999999996"/>
    <x v="2"/>
    <n v="7"/>
    <x v="6"/>
    <x v="9"/>
  </r>
  <r>
    <n v="11008"/>
    <x v="53"/>
    <n v="14"/>
    <n v="90"/>
    <n v="0.05"/>
    <n v="1197"/>
    <x v="6"/>
    <n v="1"/>
    <x v="6"/>
    <x v="9"/>
  </r>
  <r>
    <n v="11008"/>
    <x v="42"/>
    <n v="21.5"/>
    <n v="21"/>
    <n v="0"/>
    <n v="451.5"/>
    <x v="0"/>
    <n v="4"/>
    <x v="6"/>
    <x v="9"/>
  </r>
  <r>
    <n v="11009"/>
    <x v="15"/>
    <n v="4.5"/>
    <n v="12"/>
    <n v="0"/>
    <n v="54"/>
    <x v="6"/>
    <n v="1"/>
    <x v="12"/>
    <x v="9"/>
  </r>
  <r>
    <n v="11009"/>
    <x v="20"/>
    <n v="19"/>
    <n v="18"/>
    <n v="0.25"/>
    <n v="256.5"/>
    <x v="3"/>
    <n v="8"/>
    <x v="12"/>
    <x v="9"/>
  </r>
  <r>
    <n v="11009"/>
    <x v="11"/>
    <n v="34"/>
    <n v="9"/>
    <n v="0"/>
    <n v="306"/>
    <x v="0"/>
    <n v="4"/>
    <x v="12"/>
    <x v="9"/>
  </r>
  <r>
    <n v="11010"/>
    <x v="32"/>
    <n v="30"/>
    <n v="20"/>
    <n v="0"/>
    <n v="600"/>
    <x v="2"/>
    <n v="7"/>
    <x v="11"/>
    <x v="9"/>
  </r>
  <r>
    <n v="11010"/>
    <x v="15"/>
    <n v="4.5"/>
    <n v="10"/>
    <n v="0"/>
    <n v="45"/>
    <x v="6"/>
    <n v="1"/>
    <x v="11"/>
    <x v="9"/>
  </r>
  <r>
    <n v="11011"/>
    <x v="64"/>
    <n v="13.25"/>
    <n v="40"/>
    <n v="0.05"/>
    <n v="503.5"/>
    <x v="3"/>
    <n v="8"/>
    <x v="1"/>
    <x v="9"/>
  </r>
  <r>
    <n v="11011"/>
    <x v="42"/>
    <n v="21.5"/>
    <n v="20"/>
    <n v="0"/>
    <n v="430"/>
    <x v="0"/>
    <n v="4"/>
    <x v="1"/>
    <x v="9"/>
  </r>
  <r>
    <n v="11012"/>
    <x v="49"/>
    <n v="9.1999999999999993"/>
    <n v="50"/>
    <n v="0.05"/>
    <n v="436.99999999999994"/>
    <x v="5"/>
    <n v="3"/>
    <x v="1"/>
    <x v="9"/>
  </r>
  <r>
    <n v="11012"/>
    <x v="11"/>
    <n v="34"/>
    <n v="36"/>
    <n v="0.05"/>
    <n v="1162.8"/>
    <x v="0"/>
    <n v="4"/>
    <x v="1"/>
    <x v="9"/>
  </r>
  <r>
    <n v="11012"/>
    <x v="42"/>
    <n v="21.5"/>
    <n v="60"/>
    <n v="0.05"/>
    <n v="1225.5"/>
    <x v="0"/>
    <n v="4"/>
    <x v="1"/>
    <x v="9"/>
  </r>
  <r>
    <n v="11013"/>
    <x v="70"/>
    <n v="9"/>
    <n v="10"/>
    <n v="0"/>
    <n v="90"/>
    <x v="1"/>
    <n v="5"/>
    <x v="12"/>
    <x v="9"/>
  </r>
  <r>
    <n v="11013"/>
    <x v="1"/>
    <n v="14"/>
    <n v="4"/>
    <n v="0"/>
    <n v="56"/>
    <x v="1"/>
    <n v="5"/>
    <x v="12"/>
    <x v="9"/>
  </r>
  <r>
    <n v="11013"/>
    <x v="73"/>
    <n v="9.5"/>
    <n v="20"/>
    <n v="0"/>
    <n v="190"/>
    <x v="3"/>
    <n v="8"/>
    <x v="12"/>
    <x v="9"/>
  </r>
  <r>
    <n v="11013"/>
    <x v="56"/>
    <n v="12.5"/>
    <n v="2"/>
    <n v="0"/>
    <n v="25"/>
    <x v="5"/>
    <n v="3"/>
    <x v="12"/>
    <x v="9"/>
  </r>
  <r>
    <n v="11014"/>
    <x v="5"/>
    <n v="9.65"/>
    <n v="28"/>
    <n v="0.1"/>
    <n v="243.18"/>
    <x v="3"/>
    <n v="8"/>
    <x v="5"/>
    <x v="9"/>
  </r>
  <r>
    <n v="11015"/>
    <x v="34"/>
    <n v="25.89"/>
    <n v="15"/>
    <n v="0"/>
    <n v="388.35"/>
    <x v="3"/>
    <n v="8"/>
    <x v="19"/>
    <x v="9"/>
  </r>
  <r>
    <n v="11015"/>
    <x v="23"/>
    <n v="13"/>
    <n v="18"/>
    <n v="0"/>
    <n v="234"/>
    <x v="4"/>
    <n v="2"/>
    <x v="19"/>
    <x v="9"/>
  </r>
  <r>
    <n v="11016"/>
    <x v="12"/>
    <n v="12.5"/>
    <n v="15"/>
    <n v="0"/>
    <n v="187.5"/>
    <x v="0"/>
    <n v="4"/>
    <x v="13"/>
    <x v="9"/>
  </r>
  <r>
    <n v="11016"/>
    <x v="20"/>
    <n v="19"/>
    <n v="16"/>
    <n v="0"/>
    <n v="304"/>
    <x v="3"/>
    <n v="8"/>
    <x v="13"/>
    <x v="9"/>
  </r>
  <r>
    <n v="11017"/>
    <x v="57"/>
    <n v="10"/>
    <n v="25"/>
    <n v="0"/>
    <n v="250"/>
    <x v="4"/>
    <n v="2"/>
    <x v="6"/>
    <x v="9"/>
  </r>
  <r>
    <n v="11017"/>
    <x v="21"/>
    <n v="55"/>
    <n v="110"/>
    <n v="0"/>
    <n v="6050"/>
    <x v="0"/>
    <n v="4"/>
    <x v="6"/>
    <x v="9"/>
  </r>
  <r>
    <n v="11017"/>
    <x v="30"/>
    <n v="15"/>
    <n v="30"/>
    <n v="0"/>
    <n v="450"/>
    <x v="6"/>
    <n v="1"/>
    <x v="6"/>
    <x v="9"/>
  </r>
  <r>
    <n v="11018"/>
    <x v="36"/>
    <n v="38"/>
    <n v="20"/>
    <n v="0"/>
    <n v="760"/>
    <x v="0"/>
    <n v="4"/>
    <x v="8"/>
    <x v="9"/>
  </r>
  <r>
    <n v="11018"/>
    <x v="59"/>
    <n v="62.5"/>
    <n v="10"/>
    <n v="0"/>
    <n v="625"/>
    <x v="3"/>
    <n v="8"/>
    <x v="8"/>
    <x v="9"/>
  </r>
  <r>
    <n v="11018"/>
    <x v="33"/>
    <n v="38"/>
    <n v="5"/>
    <n v="0"/>
    <n v="190"/>
    <x v="1"/>
    <n v="5"/>
    <x v="8"/>
    <x v="9"/>
  </r>
  <r>
    <n v="11019"/>
    <x v="54"/>
    <n v="12"/>
    <n v="3"/>
    <n v="0"/>
    <n v="36"/>
    <x v="3"/>
    <n v="8"/>
    <x v="20"/>
    <x v="9"/>
  </r>
  <r>
    <n v="11019"/>
    <x v="14"/>
    <n v="20"/>
    <n v="2"/>
    <n v="0"/>
    <n v="40"/>
    <x v="5"/>
    <n v="3"/>
    <x v="20"/>
    <x v="9"/>
  </r>
  <r>
    <n v="11020"/>
    <x v="41"/>
    <n v="31"/>
    <n v="24"/>
    <n v="0.15"/>
    <n v="632.4"/>
    <x v="3"/>
    <n v="8"/>
    <x v="1"/>
    <x v="9"/>
  </r>
  <r>
    <n v="11021"/>
    <x v="18"/>
    <n v="19"/>
    <n v="11"/>
    <n v="0.25"/>
    <n v="156.75"/>
    <x v="6"/>
    <n v="1"/>
    <x v="1"/>
    <x v="9"/>
  </r>
  <r>
    <n v="11021"/>
    <x v="9"/>
    <n v="81"/>
    <n v="15"/>
    <n v="0"/>
    <n v="1215"/>
    <x v="5"/>
    <n v="3"/>
    <x v="1"/>
    <x v="9"/>
  </r>
  <r>
    <n v="11021"/>
    <x v="68"/>
    <n v="31.23"/>
    <n v="63"/>
    <n v="0"/>
    <n v="1967.49"/>
    <x v="5"/>
    <n v="3"/>
    <x v="1"/>
    <x v="9"/>
  </r>
  <r>
    <n v="11021"/>
    <x v="4"/>
    <n v="53"/>
    <n v="44"/>
    <n v="0.25"/>
    <n v="1749"/>
    <x v="2"/>
    <n v="7"/>
    <x v="1"/>
    <x v="9"/>
  </r>
  <r>
    <n v="11021"/>
    <x v="2"/>
    <n v="34.799999999999997"/>
    <n v="35"/>
    <n v="0"/>
    <n v="1218"/>
    <x v="0"/>
    <n v="4"/>
    <x v="1"/>
    <x v="9"/>
  </r>
  <r>
    <n v="11022"/>
    <x v="49"/>
    <n v="9.1999999999999993"/>
    <n v="35"/>
    <n v="0"/>
    <n v="322"/>
    <x v="5"/>
    <n v="3"/>
    <x v="2"/>
    <x v="9"/>
  </r>
  <r>
    <n v="11022"/>
    <x v="60"/>
    <n v="36"/>
    <n v="30"/>
    <n v="0"/>
    <n v="1080"/>
    <x v="0"/>
    <n v="4"/>
    <x v="2"/>
    <x v="9"/>
  </r>
  <r>
    <n v="11023"/>
    <x v="32"/>
    <n v="30"/>
    <n v="4"/>
    <n v="0"/>
    <n v="120"/>
    <x v="2"/>
    <n v="7"/>
    <x v="13"/>
    <x v="9"/>
  </r>
  <r>
    <n v="11023"/>
    <x v="40"/>
    <n v="46"/>
    <n v="30"/>
    <n v="0"/>
    <n v="1380"/>
    <x v="6"/>
    <n v="1"/>
    <x v="13"/>
    <x v="9"/>
  </r>
  <r>
    <n v="11024"/>
    <x v="68"/>
    <n v="31.23"/>
    <n v="12"/>
    <n v="0"/>
    <n v="374.76"/>
    <x v="5"/>
    <n v="3"/>
    <x v="13"/>
    <x v="9"/>
  </r>
  <r>
    <n v="11024"/>
    <x v="10"/>
    <n v="2.5"/>
    <n v="30"/>
    <n v="0"/>
    <n v="75"/>
    <x v="0"/>
    <n v="4"/>
    <x v="13"/>
    <x v="9"/>
  </r>
  <r>
    <n v="11024"/>
    <x v="6"/>
    <n v="21.05"/>
    <n v="21"/>
    <n v="0"/>
    <n v="442.05"/>
    <x v="4"/>
    <n v="2"/>
    <x v="13"/>
    <x v="9"/>
  </r>
  <r>
    <n v="11024"/>
    <x v="42"/>
    <n v="21.5"/>
    <n v="50"/>
    <n v="0"/>
    <n v="1075"/>
    <x v="0"/>
    <n v="4"/>
    <x v="13"/>
    <x v="9"/>
  </r>
  <r>
    <n v="11025"/>
    <x v="52"/>
    <n v="18"/>
    <n v="10"/>
    <n v="0.1"/>
    <n v="162"/>
    <x v="6"/>
    <n v="1"/>
    <x v="10"/>
    <x v="9"/>
  </r>
  <r>
    <n v="11025"/>
    <x v="43"/>
    <n v="6"/>
    <n v="20"/>
    <n v="0.1"/>
    <n v="108"/>
    <x v="3"/>
    <n v="8"/>
    <x v="10"/>
    <x v="9"/>
  </r>
  <r>
    <n v="11026"/>
    <x v="59"/>
    <n v="62.5"/>
    <n v="8"/>
    <n v="0"/>
    <n v="500"/>
    <x v="3"/>
    <n v="8"/>
    <x v="11"/>
    <x v="9"/>
  </r>
  <r>
    <n v="11026"/>
    <x v="4"/>
    <n v="53"/>
    <n v="10"/>
    <n v="0"/>
    <n v="530"/>
    <x v="2"/>
    <n v="7"/>
    <x v="11"/>
    <x v="9"/>
  </r>
  <r>
    <n v="11027"/>
    <x v="15"/>
    <n v="4.5"/>
    <n v="30"/>
    <n v="0.25"/>
    <n v="101.25"/>
    <x v="6"/>
    <n v="1"/>
    <x v="16"/>
    <x v="9"/>
  </r>
  <r>
    <n v="11027"/>
    <x v="29"/>
    <n v="49.3"/>
    <n v="21"/>
    <n v="0.25"/>
    <n v="776.47499999999991"/>
    <x v="5"/>
    <n v="3"/>
    <x v="16"/>
    <x v="9"/>
  </r>
  <r>
    <n v="11028"/>
    <x v="16"/>
    <n v="24"/>
    <n v="35"/>
    <n v="0"/>
    <n v="840"/>
    <x v="7"/>
    <n v="6"/>
    <x v="1"/>
    <x v="9"/>
  </r>
  <r>
    <n v="11028"/>
    <x v="21"/>
    <n v="55"/>
    <n v="24"/>
    <n v="0"/>
    <n v="1320"/>
    <x v="0"/>
    <n v="4"/>
    <x v="1"/>
    <x v="9"/>
  </r>
  <r>
    <n v="11029"/>
    <x v="33"/>
    <n v="38"/>
    <n v="20"/>
    <n v="0"/>
    <n v="760"/>
    <x v="1"/>
    <n v="5"/>
    <x v="4"/>
    <x v="9"/>
  </r>
  <r>
    <n v="11029"/>
    <x v="46"/>
    <n v="43.9"/>
    <n v="12"/>
    <n v="0"/>
    <n v="526.79999999999995"/>
    <x v="4"/>
    <n v="2"/>
    <x v="4"/>
    <x v="9"/>
  </r>
  <r>
    <n v="11030"/>
    <x v="18"/>
    <n v="19"/>
    <n v="100"/>
    <n v="0.25"/>
    <n v="1425"/>
    <x v="6"/>
    <n v="1"/>
    <x v="8"/>
    <x v="9"/>
  </r>
  <r>
    <n v="11030"/>
    <x v="25"/>
    <n v="21.35"/>
    <n v="70"/>
    <n v="0"/>
    <n v="1494.5"/>
    <x v="4"/>
    <n v="2"/>
    <x v="8"/>
    <x v="9"/>
  </r>
  <r>
    <n v="11030"/>
    <x v="39"/>
    <n v="123.79"/>
    <n v="60"/>
    <n v="0.25"/>
    <n v="5570.55"/>
    <x v="7"/>
    <n v="6"/>
    <x v="8"/>
    <x v="9"/>
  </r>
  <r>
    <n v="11030"/>
    <x v="21"/>
    <n v="55"/>
    <n v="100"/>
    <n v="0.25"/>
    <n v="4125"/>
    <x v="0"/>
    <n v="4"/>
    <x v="8"/>
    <x v="9"/>
  </r>
  <r>
    <n v="11031"/>
    <x v="52"/>
    <n v="18"/>
    <n v="45"/>
    <n v="0"/>
    <n v="810"/>
    <x v="6"/>
    <n v="1"/>
    <x v="8"/>
    <x v="9"/>
  </r>
  <r>
    <n v="11031"/>
    <x v="43"/>
    <n v="6"/>
    <n v="80"/>
    <n v="0"/>
    <n v="480"/>
    <x v="3"/>
    <n v="8"/>
    <x v="8"/>
    <x v="9"/>
  </r>
  <r>
    <n v="11031"/>
    <x v="15"/>
    <n v="4.5"/>
    <n v="21"/>
    <n v="0"/>
    <n v="94.5"/>
    <x v="6"/>
    <n v="1"/>
    <x v="8"/>
    <x v="9"/>
  </r>
  <r>
    <n v="11031"/>
    <x v="58"/>
    <n v="33.25"/>
    <n v="20"/>
    <n v="0"/>
    <n v="665"/>
    <x v="1"/>
    <n v="5"/>
    <x v="8"/>
    <x v="9"/>
  </r>
  <r>
    <n v="11031"/>
    <x v="42"/>
    <n v="21.5"/>
    <n v="16"/>
    <n v="0"/>
    <n v="344"/>
    <x v="0"/>
    <n v="4"/>
    <x v="8"/>
    <x v="9"/>
  </r>
  <r>
    <n v="11032"/>
    <x v="20"/>
    <n v="19"/>
    <n v="35"/>
    <n v="0"/>
    <n v="665"/>
    <x v="3"/>
    <n v="8"/>
    <x v="8"/>
    <x v="9"/>
  </r>
  <r>
    <n v="11032"/>
    <x v="67"/>
    <n v="263.5"/>
    <n v="25"/>
    <n v="0"/>
    <n v="6587.5"/>
    <x v="6"/>
    <n v="1"/>
    <x v="8"/>
    <x v="9"/>
  </r>
  <r>
    <n v="11032"/>
    <x v="21"/>
    <n v="55"/>
    <n v="30"/>
    <n v="0"/>
    <n v="1650"/>
    <x v="0"/>
    <n v="4"/>
    <x v="8"/>
    <x v="9"/>
  </r>
  <r>
    <n v="11033"/>
    <x v="22"/>
    <n v="32.799999999999997"/>
    <n v="70"/>
    <n v="0.1"/>
    <n v="2066.4"/>
    <x v="7"/>
    <n v="6"/>
    <x v="4"/>
    <x v="9"/>
  </r>
  <r>
    <n v="11033"/>
    <x v="60"/>
    <n v="36"/>
    <n v="36"/>
    <n v="0.1"/>
    <n v="1166.4000000000001"/>
    <x v="0"/>
    <n v="4"/>
    <x v="4"/>
    <x v="9"/>
  </r>
  <r>
    <n v="11034"/>
    <x v="27"/>
    <n v="10"/>
    <n v="15"/>
    <n v="0.1"/>
    <n v="135"/>
    <x v="5"/>
    <n v="3"/>
    <x v="8"/>
    <x v="9"/>
  </r>
  <r>
    <n v="11034"/>
    <x v="45"/>
    <n v="19.45"/>
    <n v="12"/>
    <n v="0"/>
    <n v="233.39999999999998"/>
    <x v="4"/>
    <n v="2"/>
    <x v="8"/>
    <x v="9"/>
  </r>
  <r>
    <n v="11034"/>
    <x v="75"/>
    <n v="28.5"/>
    <n v="6"/>
    <n v="0"/>
    <n v="171"/>
    <x v="4"/>
    <n v="2"/>
    <x v="8"/>
    <x v="9"/>
  </r>
  <r>
    <n v="11035"/>
    <x v="52"/>
    <n v="18"/>
    <n v="10"/>
    <n v="0"/>
    <n v="180"/>
    <x v="6"/>
    <n v="1"/>
    <x v="3"/>
    <x v="9"/>
  </r>
  <r>
    <n v="11035"/>
    <x v="31"/>
    <n v="18"/>
    <n v="60"/>
    <n v="0"/>
    <n v="1080"/>
    <x v="6"/>
    <n v="1"/>
    <x v="3"/>
    <x v="9"/>
  </r>
  <r>
    <n v="11035"/>
    <x v="1"/>
    <n v="14"/>
    <n v="30"/>
    <n v="0"/>
    <n v="420"/>
    <x v="1"/>
    <n v="5"/>
    <x v="3"/>
    <x v="9"/>
  </r>
  <r>
    <n v="11035"/>
    <x v="55"/>
    <n v="7.45"/>
    <n v="10"/>
    <n v="0"/>
    <n v="74.5"/>
    <x v="7"/>
    <n v="6"/>
    <x v="3"/>
    <x v="9"/>
  </r>
  <r>
    <n v="11036"/>
    <x v="43"/>
    <n v="6"/>
    <n v="7"/>
    <n v="0"/>
    <n v="42"/>
    <x v="3"/>
    <n v="8"/>
    <x v="1"/>
    <x v="9"/>
  </r>
  <r>
    <n v="11036"/>
    <x v="21"/>
    <n v="55"/>
    <n v="30"/>
    <n v="0"/>
    <n v="1650"/>
    <x v="0"/>
    <n v="4"/>
    <x v="1"/>
    <x v="9"/>
  </r>
  <r>
    <n v="11037"/>
    <x v="30"/>
    <n v="15"/>
    <n v="4"/>
    <n v="0"/>
    <n v="60"/>
    <x v="6"/>
    <n v="1"/>
    <x v="12"/>
    <x v="9"/>
  </r>
  <r>
    <n v="11038"/>
    <x v="37"/>
    <n v="18.399999999999999"/>
    <n v="5"/>
    <n v="0.2"/>
    <n v="73.600000000000009"/>
    <x v="3"/>
    <n v="8"/>
    <x v="3"/>
    <x v="9"/>
  </r>
  <r>
    <n v="11038"/>
    <x v="65"/>
    <n v="7"/>
    <n v="2"/>
    <n v="0"/>
    <n v="14"/>
    <x v="1"/>
    <n v="5"/>
    <x v="3"/>
    <x v="9"/>
  </r>
  <r>
    <n v="11038"/>
    <x v="42"/>
    <n v="21.5"/>
    <n v="30"/>
    <n v="0"/>
    <n v="645"/>
    <x v="0"/>
    <n v="4"/>
    <x v="3"/>
    <x v="9"/>
  </r>
  <r>
    <n v="11039"/>
    <x v="44"/>
    <n v="45.6"/>
    <n v="20"/>
    <n v="0"/>
    <n v="912"/>
    <x v="2"/>
    <n v="7"/>
    <x v="5"/>
    <x v="9"/>
  </r>
  <r>
    <n v="11039"/>
    <x v="31"/>
    <n v="18"/>
    <n v="24"/>
    <n v="0"/>
    <n v="432"/>
    <x v="6"/>
    <n v="1"/>
    <x v="5"/>
    <x v="9"/>
  </r>
  <r>
    <n v="11039"/>
    <x v="14"/>
    <n v="20"/>
    <n v="60"/>
    <n v="0"/>
    <n v="1200"/>
    <x v="5"/>
    <n v="3"/>
    <x v="5"/>
    <x v="9"/>
  </r>
  <r>
    <n v="11039"/>
    <x v="8"/>
    <n v="19.5"/>
    <n v="28"/>
    <n v="0"/>
    <n v="546"/>
    <x v="1"/>
    <n v="5"/>
    <x v="5"/>
    <x v="9"/>
  </r>
  <r>
    <n v="11040"/>
    <x v="27"/>
    <n v="10"/>
    <n v="20"/>
    <n v="0"/>
    <n v="200"/>
    <x v="5"/>
    <n v="3"/>
    <x v="8"/>
    <x v="9"/>
  </r>
  <r>
    <n v="11041"/>
    <x v="18"/>
    <n v="19"/>
    <n v="30"/>
    <n v="0.2"/>
    <n v="456"/>
    <x v="6"/>
    <n v="1"/>
    <x v="4"/>
    <x v="9"/>
  </r>
  <r>
    <n v="11041"/>
    <x v="46"/>
    <n v="43.9"/>
    <n v="30"/>
    <n v="0"/>
    <n v="1317"/>
    <x v="4"/>
    <n v="2"/>
    <x v="4"/>
    <x v="9"/>
  </r>
  <r>
    <n v="11042"/>
    <x v="45"/>
    <n v="19.45"/>
    <n v="15"/>
    <n v="0"/>
    <n v="291.75"/>
    <x v="4"/>
    <n v="2"/>
    <x v="2"/>
    <x v="9"/>
  </r>
  <r>
    <n v="11042"/>
    <x v="75"/>
    <n v="28.5"/>
    <n v="4"/>
    <n v="0"/>
    <n v="114"/>
    <x v="4"/>
    <n v="2"/>
    <x v="2"/>
    <x v="9"/>
  </r>
  <r>
    <n v="11043"/>
    <x v="0"/>
    <n v="21"/>
    <n v="10"/>
    <n v="0"/>
    <n v="210"/>
    <x v="0"/>
    <n v="4"/>
    <x v="0"/>
    <x v="9"/>
  </r>
  <r>
    <n v="11044"/>
    <x v="29"/>
    <n v="49.3"/>
    <n v="12"/>
    <n v="0"/>
    <n v="591.59999999999991"/>
    <x v="5"/>
    <n v="3"/>
    <x v="18"/>
    <x v="9"/>
  </r>
  <r>
    <n v="11045"/>
    <x v="10"/>
    <n v="2.5"/>
    <n v="15"/>
    <n v="0"/>
    <n v="37.5"/>
    <x v="0"/>
    <n v="4"/>
    <x v="16"/>
    <x v="9"/>
  </r>
  <r>
    <n v="11045"/>
    <x v="4"/>
    <n v="53"/>
    <n v="24"/>
    <n v="0"/>
    <n v="1272"/>
    <x v="2"/>
    <n v="7"/>
    <x v="16"/>
    <x v="9"/>
  </r>
  <r>
    <n v="11046"/>
    <x v="36"/>
    <n v="38"/>
    <n v="20"/>
    <n v="0.05"/>
    <n v="722"/>
    <x v="0"/>
    <n v="4"/>
    <x v="1"/>
    <x v="9"/>
  </r>
  <r>
    <n v="11046"/>
    <x v="26"/>
    <n v="32"/>
    <n v="15"/>
    <n v="0.05"/>
    <n v="456"/>
    <x v="0"/>
    <n v="4"/>
    <x v="1"/>
    <x v="9"/>
  </r>
  <r>
    <n v="11046"/>
    <x v="31"/>
    <n v="18"/>
    <n v="18"/>
    <n v="0.05"/>
    <n v="307.8"/>
    <x v="6"/>
    <n v="1"/>
    <x v="1"/>
    <x v="9"/>
  </r>
  <r>
    <n v="11047"/>
    <x v="52"/>
    <n v="18"/>
    <n v="25"/>
    <n v="0.25"/>
    <n v="337.5"/>
    <x v="6"/>
    <n v="1"/>
    <x v="13"/>
    <x v="9"/>
  </r>
  <r>
    <n v="11047"/>
    <x v="25"/>
    <n v="21.35"/>
    <n v="30"/>
    <n v="0.25"/>
    <n v="480.375"/>
    <x v="4"/>
    <n v="2"/>
    <x v="13"/>
    <x v="9"/>
  </r>
  <r>
    <n v="11048"/>
    <x v="56"/>
    <n v="12.5"/>
    <n v="42"/>
    <n v="0"/>
    <n v="525"/>
    <x v="5"/>
    <n v="3"/>
    <x v="16"/>
    <x v="9"/>
  </r>
  <r>
    <n v="11049"/>
    <x v="18"/>
    <n v="19"/>
    <n v="10"/>
    <n v="0.2"/>
    <n v="152"/>
    <x v="6"/>
    <n v="1"/>
    <x v="2"/>
    <x v="9"/>
  </r>
  <r>
    <n v="11049"/>
    <x v="36"/>
    <n v="38"/>
    <n v="4"/>
    <n v="0.2"/>
    <n v="121.60000000000001"/>
    <x v="0"/>
    <n v="4"/>
    <x v="2"/>
    <x v="9"/>
  </r>
  <r>
    <n v="11050"/>
    <x v="38"/>
    <n v="18"/>
    <n v="50"/>
    <n v="0.1"/>
    <n v="810"/>
    <x v="6"/>
    <n v="1"/>
    <x v="9"/>
    <x v="9"/>
  </r>
  <r>
    <n v="11051"/>
    <x v="15"/>
    <n v="4.5"/>
    <n v="10"/>
    <n v="0.2"/>
    <n v="36"/>
    <x v="6"/>
    <n v="1"/>
    <x v="0"/>
    <x v="9"/>
  </r>
  <r>
    <n v="11052"/>
    <x v="40"/>
    <n v="46"/>
    <n v="30"/>
    <n v="0.2"/>
    <n v="1104"/>
    <x v="6"/>
    <n v="1"/>
    <x v="2"/>
    <x v="9"/>
  </r>
  <r>
    <n v="11052"/>
    <x v="75"/>
    <n v="28.5"/>
    <n v="10"/>
    <n v="0.2"/>
    <n v="228"/>
    <x v="4"/>
    <n v="2"/>
    <x v="2"/>
    <x v="9"/>
  </r>
  <r>
    <n v="11053"/>
    <x v="59"/>
    <n v="62.5"/>
    <n v="35"/>
    <n v="0.2"/>
    <n v="1750"/>
    <x v="3"/>
    <n v="8"/>
    <x v="6"/>
    <x v="9"/>
  </r>
  <r>
    <n v="11053"/>
    <x v="26"/>
    <n v="32"/>
    <n v="20"/>
    <n v="0"/>
    <n v="640"/>
    <x v="0"/>
    <n v="4"/>
    <x v="6"/>
    <x v="9"/>
  </r>
  <r>
    <n v="11053"/>
    <x v="58"/>
    <n v="33.25"/>
    <n v="25"/>
    <n v="0.2"/>
    <n v="665"/>
    <x v="1"/>
    <n v="5"/>
    <x v="6"/>
    <x v="9"/>
  </r>
  <r>
    <n v="11054"/>
    <x v="10"/>
    <n v="2.5"/>
    <n v="10"/>
    <n v="0"/>
    <n v="25"/>
    <x v="0"/>
    <n v="4"/>
    <x v="20"/>
    <x v="9"/>
  </r>
  <r>
    <n v="11054"/>
    <x v="51"/>
    <n v="14"/>
    <n v="20"/>
    <n v="0"/>
    <n v="280"/>
    <x v="6"/>
    <n v="1"/>
    <x v="20"/>
    <x v="9"/>
  </r>
  <r>
    <n v="11055"/>
    <x v="15"/>
    <n v="4.5"/>
    <n v="15"/>
    <n v="0"/>
    <n v="67.5"/>
    <x v="6"/>
    <n v="1"/>
    <x v="5"/>
    <x v="9"/>
  </r>
  <r>
    <n v="11055"/>
    <x v="66"/>
    <n v="14"/>
    <n v="15"/>
    <n v="0"/>
    <n v="210"/>
    <x v="5"/>
    <n v="3"/>
    <x v="5"/>
    <x v="9"/>
  </r>
  <r>
    <n v="11055"/>
    <x v="4"/>
    <n v="53"/>
    <n v="20"/>
    <n v="0"/>
    <n v="1060"/>
    <x v="2"/>
    <n v="7"/>
    <x v="5"/>
    <x v="9"/>
  </r>
  <r>
    <n v="11055"/>
    <x v="8"/>
    <n v="19.5"/>
    <n v="20"/>
    <n v="0"/>
    <n v="390"/>
    <x v="1"/>
    <n v="5"/>
    <x v="5"/>
    <x v="9"/>
  </r>
  <r>
    <n v="11056"/>
    <x v="32"/>
    <n v="30"/>
    <n v="40"/>
    <n v="0"/>
    <n v="1200"/>
    <x v="2"/>
    <n v="7"/>
    <x v="13"/>
    <x v="9"/>
  </r>
  <r>
    <n v="11056"/>
    <x v="16"/>
    <n v="24"/>
    <n v="35"/>
    <n v="0"/>
    <n v="840"/>
    <x v="7"/>
    <n v="6"/>
    <x v="13"/>
    <x v="9"/>
  </r>
  <r>
    <n v="11056"/>
    <x v="11"/>
    <n v="34"/>
    <n v="50"/>
    <n v="0"/>
    <n v="1700"/>
    <x v="0"/>
    <n v="4"/>
    <x v="13"/>
    <x v="9"/>
  </r>
  <r>
    <n v="11057"/>
    <x v="30"/>
    <n v="15"/>
    <n v="3"/>
    <n v="0"/>
    <n v="45"/>
    <x v="6"/>
    <n v="1"/>
    <x v="13"/>
    <x v="9"/>
  </r>
  <r>
    <n v="11058"/>
    <x v="27"/>
    <n v="10"/>
    <n v="3"/>
    <n v="0"/>
    <n v="30"/>
    <x v="5"/>
    <n v="3"/>
    <x v="1"/>
    <x v="9"/>
  </r>
  <r>
    <n v="11058"/>
    <x v="11"/>
    <n v="34"/>
    <n v="21"/>
    <n v="0"/>
    <n v="714"/>
    <x v="0"/>
    <n v="4"/>
    <x v="1"/>
    <x v="9"/>
  </r>
  <r>
    <n v="11058"/>
    <x v="75"/>
    <n v="28.5"/>
    <n v="4"/>
    <n v="0"/>
    <n v="114"/>
    <x v="4"/>
    <n v="2"/>
    <x v="1"/>
    <x v="9"/>
  </r>
  <r>
    <n v="11059"/>
    <x v="43"/>
    <n v="6"/>
    <n v="30"/>
    <n v="0"/>
    <n v="180"/>
    <x v="3"/>
    <n v="8"/>
    <x v="2"/>
    <x v="9"/>
  </r>
  <r>
    <n v="11059"/>
    <x v="35"/>
    <n v="39"/>
    <n v="12"/>
    <n v="0"/>
    <n v="468"/>
    <x v="7"/>
    <n v="6"/>
    <x v="2"/>
    <x v="9"/>
  </r>
  <r>
    <n v="11059"/>
    <x v="11"/>
    <n v="34"/>
    <n v="35"/>
    <n v="0"/>
    <n v="1190"/>
    <x v="0"/>
    <n v="4"/>
    <x v="2"/>
    <x v="9"/>
  </r>
  <r>
    <n v="11060"/>
    <x v="11"/>
    <n v="34"/>
    <n v="4"/>
    <n v="0"/>
    <n v="136"/>
    <x v="0"/>
    <n v="4"/>
    <x v="11"/>
    <x v="9"/>
  </r>
  <r>
    <n v="11060"/>
    <x v="23"/>
    <n v="13"/>
    <n v="10"/>
    <n v="0"/>
    <n v="130"/>
    <x v="4"/>
    <n v="2"/>
    <x v="11"/>
    <x v="9"/>
  </r>
  <r>
    <n v="11061"/>
    <x v="11"/>
    <n v="34"/>
    <n v="15"/>
    <n v="0"/>
    <n v="510"/>
    <x v="0"/>
    <n v="4"/>
    <x v="8"/>
    <x v="9"/>
  </r>
  <r>
    <n v="11062"/>
    <x v="22"/>
    <n v="32.799999999999997"/>
    <n v="10"/>
    <n v="0.2"/>
    <n v="262.40000000000003"/>
    <x v="7"/>
    <n v="6"/>
    <x v="11"/>
    <x v="9"/>
  </r>
  <r>
    <n v="11062"/>
    <x v="30"/>
    <n v="15"/>
    <n v="12"/>
    <n v="0.2"/>
    <n v="144"/>
    <x v="6"/>
    <n v="1"/>
    <x v="11"/>
    <x v="9"/>
  </r>
  <r>
    <n v="11063"/>
    <x v="53"/>
    <n v="14"/>
    <n v="30"/>
    <n v="0"/>
    <n v="420"/>
    <x v="6"/>
    <n v="1"/>
    <x v="14"/>
    <x v="9"/>
  </r>
  <r>
    <n v="11063"/>
    <x v="37"/>
    <n v="18.399999999999999"/>
    <n v="40"/>
    <n v="0.1"/>
    <n v="662.4"/>
    <x v="3"/>
    <n v="8"/>
    <x v="14"/>
    <x v="9"/>
  </r>
  <r>
    <n v="11063"/>
    <x v="5"/>
    <n v="9.65"/>
    <n v="30"/>
    <n v="0.1"/>
    <n v="260.55"/>
    <x v="3"/>
    <n v="8"/>
    <x v="14"/>
    <x v="9"/>
  </r>
  <r>
    <n v="11064"/>
    <x v="35"/>
    <n v="39"/>
    <n v="77"/>
    <n v="0.1"/>
    <n v="2702.7000000000003"/>
    <x v="7"/>
    <n v="6"/>
    <x v="8"/>
    <x v="9"/>
  </r>
  <r>
    <n v="11064"/>
    <x v="5"/>
    <n v="9.65"/>
    <n v="12"/>
    <n v="0"/>
    <n v="115.80000000000001"/>
    <x v="3"/>
    <n v="8"/>
    <x v="8"/>
    <x v="9"/>
  </r>
  <r>
    <n v="11064"/>
    <x v="22"/>
    <n v="32.799999999999997"/>
    <n v="25"/>
    <n v="0.1"/>
    <n v="737.99999999999989"/>
    <x v="7"/>
    <n v="6"/>
    <x v="8"/>
    <x v="9"/>
  </r>
  <r>
    <n v="11064"/>
    <x v="16"/>
    <n v="24"/>
    <n v="4"/>
    <n v="0.1"/>
    <n v="86.4"/>
    <x v="7"/>
    <n v="6"/>
    <x v="8"/>
    <x v="9"/>
  </r>
  <r>
    <n v="11064"/>
    <x v="56"/>
    <n v="12.5"/>
    <n v="55"/>
    <n v="0"/>
    <n v="687.5"/>
    <x v="5"/>
    <n v="3"/>
    <x v="8"/>
    <x v="9"/>
  </r>
  <r>
    <n v="11065"/>
    <x v="34"/>
    <n v="25.89"/>
    <n v="4"/>
    <n v="0.25"/>
    <n v="77.67"/>
    <x v="3"/>
    <n v="8"/>
    <x v="5"/>
    <x v="9"/>
  </r>
  <r>
    <n v="11065"/>
    <x v="55"/>
    <n v="7.45"/>
    <n v="20"/>
    <n v="0.25"/>
    <n v="111.75"/>
    <x v="7"/>
    <n v="6"/>
    <x v="5"/>
    <x v="9"/>
  </r>
  <r>
    <n v="11066"/>
    <x v="19"/>
    <n v="17.45"/>
    <n v="3"/>
    <n v="0"/>
    <n v="52.349999999999994"/>
    <x v="5"/>
    <n v="3"/>
    <x v="8"/>
    <x v="9"/>
  </r>
  <r>
    <n v="11066"/>
    <x v="49"/>
    <n v="9.1999999999999993"/>
    <n v="42"/>
    <n v="0"/>
    <n v="386.4"/>
    <x v="5"/>
    <n v="3"/>
    <x v="8"/>
    <x v="9"/>
  </r>
  <r>
    <n v="11066"/>
    <x v="53"/>
    <n v="14"/>
    <n v="35"/>
    <n v="0"/>
    <n v="490"/>
    <x v="6"/>
    <n v="1"/>
    <x v="8"/>
    <x v="9"/>
  </r>
  <r>
    <n v="11067"/>
    <x v="5"/>
    <n v="9.65"/>
    <n v="9"/>
    <n v="0"/>
    <n v="86.850000000000009"/>
    <x v="3"/>
    <n v="8"/>
    <x v="1"/>
    <x v="10"/>
  </r>
  <r>
    <n v="11068"/>
    <x v="44"/>
    <n v="45.6"/>
    <n v="8"/>
    <n v="0.15"/>
    <n v="310.08"/>
    <x v="2"/>
    <n v="7"/>
    <x v="2"/>
    <x v="10"/>
  </r>
  <r>
    <n v="11068"/>
    <x v="40"/>
    <n v="46"/>
    <n v="36"/>
    <n v="0.15"/>
    <n v="1407.6"/>
    <x v="6"/>
    <n v="1"/>
    <x v="2"/>
    <x v="10"/>
  </r>
  <r>
    <n v="11068"/>
    <x v="23"/>
    <n v="13"/>
    <n v="28"/>
    <n v="0.15"/>
    <n v="309.39999999999998"/>
    <x v="4"/>
    <n v="2"/>
    <x v="2"/>
    <x v="10"/>
  </r>
  <r>
    <n v="11069"/>
    <x v="13"/>
    <n v="18"/>
    <n v="20"/>
    <n v="0"/>
    <n v="360"/>
    <x v="6"/>
    <n v="1"/>
    <x v="7"/>
    <x v="10"/>
  </r>
  <r>
    <n v="11070"/>
    <x v="52"/>
    <n v="18"/>
    <n v="40"/>
    <n v="0.15"/>
    <n v="612"/>
    <x v="6"/>
    <n v="1"/>
    <x v="1"/>
    <x v="10"/>
  </r>
  <r>
    <n v="11070"/>
    <x v="18"/>
    <n v="19"/>
    <n v="20"/>
    <n v="0.15"/>
    <n v="323"/>
    <x v="6"/>
    <n v="1"/>
    <x v="1"/>
    <x v="10"/>
  </r>
  <r>
    <n v="11070"/>
    <x v="19"/>
    <n v="17.45"/>
    <n v="30"/>
    <n v="0.15"/>
    <n v="444.97499999999997"/>
    <x v="5"/>
    <n v="3"/>
    <x v="1"/>
    <x v="10"/>
  </r>
  <r>
    <n v="11070"/>
    <x v="12"/>
    <n v="12.5"/>
    <n v="20"/>
    <n v="0"/>
    <n v="250"/>
    <x v="0"/>
    <n v="4"/>
    <x v="1"/>
    <x v="10"/>
  </r>
  <r>
    <n v="11071"/>
    <x v="32"/>
    <n v="30"/>
    <n v="15"/>
    <n v="0.05"/>
    <n v="427.5"/>
    <x v="2"/>
    <n v="7"/>
    <x v="5"/>
    <x v="10"/>
  </r>
  <r>
    <n v="11071"/>
    <x v="43"/>
    <n v="6"/>
    <n v="10"/>
    <n v="0.05"/>
    <n v="57"/>
    <x v="3"/>
    <n v="8"/>
    <x v="5"/>
    <x v="10"/>
  </r>
  <r>
    <n v="11072"/>
    <x v="18"/>
    <n v="19"/>
    <n v="8"/>
    <n v="0"/>
    <n v="152"/>
    <x v="6"/>
    <n v="1"/>
    <x v="6"/>
    <x v="10"/>
  </r>
  <r>
    <n v="11072"/>
    <x v="5"/>
    <n v="9.65"/>
    <n v="40"/>
    <n v="0"/>
    <n v="386"/>
    <x v="3"/>
    <n v="8"/>
    <x v="6"/>
    <x v="10"/>
  </r>
  <r>
    <n v="11072"/>
    <x v="72"/>
    <n v="16.25"/>
    <n v="22"/>
    <n v="0"/>
    <n v="357.5"/>
    <x v="5"/>
    <n v="3"/>
    <x v="6"/>
    <x v="10"/>
  </r>
  <r>
    <n v="11072"/>
    <x v="58"/>
    <n v="33.25"/>
    <n v="130"/>
    <n v="0"/>
    <n v="4322.5"/>
    <x v="1"/>
    <n v="5"/>
    <x v="6"/>
    <x v="10"/>
  </r>
  <r>
    <n v="11073"/>
    <x v="0"/>
    <n v="21"/>
    <n v="10"/>
    <n v="0"/>
    <n v="210"/>
    <x v="0"/>
    <n v="4"/>
    <x v="7"/>
    <x v="10"/>
  </r>
  <r>
    <n v="11073"/>
    <x v="15"/>
    <n v="4.5"/>
    <n v="20"/>
    <n v="0"/>
    <n v="90"/>
    <x v="6"/>
    <n v="1"/>
    <x v="7"/>
    <x v="10"/>
  </r>
  <r>
    <n v="11074"/>
    <x v="19"/>
    <n v="17.45"/>
    <n v="14"/>
    <n v="0.05"/>
    <n v="232.08499999999998"/>
    <x v="5"/>
    <n v="3"/>
    <x v="17"/>
    <x v="10"/>
  </r>
  <r>
    <n v="11075"/>
    <x v="18"/>
    <n v="19"/>
    <n v="10"/>
    <n v="0.15"/>
    <n v="161.5"/>
    <x v="6"/>
    <n v="1"/>
    <x v="4"/>
    <x v="10"/>
  </r>
  <r>
    <n v="11075"/>
    <x v="54"/>
    <n v="12"/>
    <n v="30"/>
    <n v="0.15"/>
    <n v="306"/>
    <x v="3"/>
    <n v="8"/>
    <x v="4"/>
    <x v="10"/>
  </r>
  <r>
    <n v="11075"/>
    <x v="38"/>
    <n v="18"/>
    <n v="2"/>
    <n v="0.15"/>
    <n v="30.599999999999998"/>
    <x v="6"/>
    <n v="1"/>
    <x v="4"/>
    <x v="10"/>
  </r>
  <r>
    <n v="11076"/>
    <x v="63"/>
    <n v="25"/>
    <n v="20"/>
    <n v="0.25"/>
    <n v="375"/>
    <x v="4"/>
    <n v="2"/>
    <x v="0"/>
    <x v="10"/>
  </r>
  <r>
    <n v="11076"/>
    <x v="3"/>
    <n v="23.25"/>
    <n v="20"/>
    <n v="0.25"/>
    <n v="348.75"/>
    <x v="2"/>
    <n v="7"/>
    <x v="0"/>
    <x v="10"/>
  </r>
  <r>
    <n v="11076"/>
    <x v="49"/>
    <n v="9.1999999999999993"/>
    <n v="10"/>
    <n v="0.25"/>
    <n v="69"/>
    <x v="5"/>
    <n v="3"/>
    <x v="0"/>
    <x v="10"/>
  </r>
  <r>
    <n v="11077"/>
    <x v="18"/>
    <n v="19"/>
    <n v="24"/>
    <n v="0.2"/>
    <n v="364.8"/>
    <x v="6"/>
    <n v="1"/>
    <x v="8"/>
    <x v="10"/>
  </r>
  <r>
    <n v="11077"/>
    <x v="57"/>
    <n v="10"/>
    <n v="4"/>
    <n v="0"/>
    <n v="40"/>
    <x v="4"/>
    <n v="2"/>
    <x v="8"/>
    <x v="10"/>
  </r>
  <r>
    <n v="11077"/>
    <x v="62"/>
    <n v="22"/>
    <n v="1"/>
    <n v="0"/>
    <n v="22"/>
    <x v="4"/>
    <n v="2"/>
    <x v="8"/>
    <x v="10"/>
  </r>
  <r>
    <n v="11077"/>
    <x v="63"/>
    <n v="25"/>
    <n v="1"/>
    <n v="0.02"/>
    <n v="24.5"/>
    <x v="4"/>
    <n v="2"/>
    <x v="8"/>
    <x v="10"/>
  </r>
  <r>
    <n v="11077"/>
    <x v="32"/>
    <n v="30"/>
    <n v="1"/>
    <n v="0.05"/>
    <n v="28.5"/>
    <x v="2"/>
    <n v="7"/>
    <x v="8"/>
    <x v="10"/>
  </r>
  <r>
    <n v="11077"/>
    <x v="71"/>
    <n v="40"/>
    <n v="2"/>
    <n v="0.1"/>
    <n v="72"/>
    <x v="4"/>
    <n v="2"/>
    <x v="8"/>
    <x v="10"/>
  </r>
  <r>
    <n v="11077"/>
    <x v="41"/>
    <n v="31"/>
    <n v="1"/>
    <n v="0"/>
    <n v="31"/>
    <x v="3"/>
    <n v="8"/>
    <x v="8"/>
    <x v="10"/>
  </r>
  <r>
    <n v="11077"/>
    <x v="36"/>
    <n v="38"/>
    <n v="2"/>
    <n v="0.05"/>
    <n v="72.2"/>
    <x v="0"/>
    <n v="4"/>
    <x v="8"/>
    <x v="10"/>
  </r>
  <r>
    <n v="11077"/>
    <x v="43"/>
    <n v="6"/>
    <n v="4"/>
    <n v="0"/>
    <n v="24"/>
    <x v="3"/>
    <n v="8"/>
    <x v="8"/>
    <x v="10"/>
  </r>
  <r>
    <n v="11077"/>
    <x v="3"/>
    <n v="23.25"/>
    <n v="1"/>
    <n v="0.03"/>
    <n v="22.552499999999998"/>
    <x v="2"/>
    <n v="7"/>
    <x v="8"/>
    <x v="10"/>
  </r>
  <r>
    <n v="11077"/>
    <x v="19"/>
    <n v="17.45"/>
    <n v="2"/>
    <n v="0.03"/>
    <n v="33.852999999999994"/>
    <x v="5"/>
    <n v="3"/>
    <x v="8"/>
    <x v="10"/>
  </r>
  <r>
    <n v="11077"/>
    <x v="9"/>
    <n v="81"/>
    <n v="1"/>
    <n v="0.04"/>
    <n v="77.759999999999991"/>
    <x v="5"/>
    <n v="3"/>
    <x v="8"/>
    <x v="10"/>
  </r>
  <r>
    <n v="11077"/>
    <x v="70"/>
    <n v="9"/>
    <n v="2"/>
    <n v="0"/>
    <n v="18"/>
    <x v="1"/>
    <n v="5"/>
    <x v="8"/>
    <x v="10"/>
  </r>
  <r>
    <n v="11077"/>
    <x v="26"/>
    <n v="32"/>
    <n v="1"/>
    <n v="0"/>
    <n v="32"/>
    <x v="0"/>
    <n v="4"/>
    <x v="8"/>
    <x v="10"/>
  </r>
  <r>
    <n v="11077"/>
    <x v="13"/>
    <n v="18"/>
    <n v="2"/>
    <n v="0.05"/>
    <n v="34.199999999999996"/>
    <x v="6"/>
    <n v="1"/>
    <x v="8"/>
    <x v="10"/>
  </r>
  <r>
    <n v="11077"/>
    <x v="5"/>
    <n v="9.65"/>
    <n v="3"/>
    <n v="0"/>
    <n v="28.950000000000003"/>
    <x v="3"/>
    <n v="8"/>
    <x v="8"/>
    <x v="10"/>
  </r>
  <r>
    <n v="11077"/>
    <x v="54"/>
    <n v="12"/>
    <n v="3"/>
    <n v="0.02"/>
    <n v="35.28"/>
    <x v="3"/>
    <n v="8"/>
    <x v="8"/>
    <x v="10"/>
  </r>
  <r>
    <n v="11077"/>
    <x v="65"/>
    <n v="7"/>
    <n v="2"/>
    <n v="0"/>
    <n v="14"/>
    <x v="1"/>
    <n v="5"/>
    <x v="8"/>
    <x v="10"/>
  </r>
  <r>
    <n v="11077"/>
    <x v="16"/>
    <n v="24"/>
    <n v="2"/>
    <n v="0"/>
    <n v="48"/>
    <x v="7"/>
    <n v="6"/>
    <x v="8"/>
    <x v="10"/>
  </r>
  <r>
    <n v="11077"/>
    <x v="11"/>
    <n v="34"/>
    <n v="2"/>
    <n v="0.06"/>
    <n v="63.919999999999995"/>
    <x v="0"/>
    <n v="4"/>
    <x v="8"/>
    <x v="10"/>
  </r>
  <r>
    <n v="11077"/>
    <x v="58"/>
    <n v="33.25"/>
    <n v="2"/>
    <n v="0.03"/>
    <n v="64.504999999999995"/>
    <x v="1"/>
    <n v="5"/>
    <x v="8"/>
    <x v="10"/>
  </r>
  <r>
    <n v="11077"/>
    <x v="61"/>
    <n v="17"/>
    <n v="1"/>
    <n v="0"/>
    <n v="17"/>
    <x v="4"/>
    <n v="2"/>
    <x v="8"/>
    <x v="10"/>
  </r>
  <r>
    <n v="11077"/>
    <x v="47"/>
    <n v="15"/>
    <n v="2"/>
    <n v="0.01"/>
    <n v="29.7"/>
    <x v="3"/>
    <n v="8"/>
    <x v="8"/>
    <x v="10"/>
  </r>
  <r>
    <n v="11077"/>
    <x v="48"/>
    <n v="7.75"/>
    <n v="4"/>
    <n v="0"/>
    <n v="31"/>
    <x v="6"/>
    <n v="1"/>
    <x v="8"/>
    <x v="10"/>
  </r>
  <r>
    <n v="11077"/>
    <x v="23"/>
    <n v="13"/>
    <n v="2"/>
    <n v="0"/>
    <n v="26"/>
    <x v="4"/>
    <n v="2"/>
    <x v="8"/>
    <x v="1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0">
  <r>
    <n v="10248"/>
    <x v="0"/>
    <n v="5"/>
    <x v="0"/>
    <d v="1994-09-01T00:00:00"/>
    <d v="1994-08-16T00:00:00"/>
    <n v="3"/>
    <n v="32.380000000000003"/>
    <s v="Vins et alcools Chevalier"/>
    <s v="59 rue de l'Abbaye"/>
    <x v="0"/>
    <s v="unknown"/>
    <s v="51100"/>
    <x v="0"/>
    <n v="8"/>
  </r>
  <r>
    <n v="10249"/>
    <x v="1"/>
    <n v="6"/>
    <x v="1"/>
    <d v="1994-09-16T00:00:00"/>
    <d v="1994-08-10T00:00:00"/>
    <n v="1"/>
    <n v="11.61"/>
    <s v="Toms SpezialitÃ¤ten"/>
    <s v="Luisenstr. 48"/>
    <x v="1"/>
    <s v="unknown"/>
    <s v="44087"/>
    <x v="1"/>
    <n v="8"/>
  </r>
  <r>
    <n v="10250"/>
    <x v="2"/>
    <n v="4"/>
    <x v="2"/>
    <d v="1994-09-05T00:00:00"/>
    <d v="1994-08-12T00:00:00"/>
    <n v="2"/>
    <n v="65.83"/>
    <s v="Hanari Carnes"/>
    <s v="Rua do PaÃ§o, 67"/>
    <x v="2"/>
    <s v="RJ"/>
    <s v="05454-876"/>
    <x v="2"/>
    <n v="8"/>
  </r>
  <r>
    <n v="10251"/>
    <x v="3"/>
    <n v="3"/>
    <x v="2"/>
    <d v="1994-09-05T00:00:00"/>
    <d v="1994-08-15T00:00:00"/>
    <n v="1"/>
    <n v="41.34"/>
    <s v="Victuailles en stock"/>
    <s v="2, rue du Commerce"/>
    <x v="3"/>
    <s v="unknown"/>
    <s v="69004"/>
    <x v="0"/>
    <n v="8"/>
  </r>
  <r>
    <n v="10252"/>
    <x v="4"/>
    <n v="4"/>
    <x v="3"/>
    <d v="1994-09-06T00:00:00"/>
    <d v="1994-08-11T00:00:00"/>
    <n v="2"/>
    <n v="51.3"/>
    <s v="SuprÃªmes dÃ©lices"/>
    <s v="Boulevard Tirou, 255"/>
    <x v="4"/>
    <s v="unknown"/>
    <s v="B-6000"/>
    <x v="3"/>
    <n v="8"/>
  </r>
  <r>
    <n v="10253"/>
    <x v="2"/>
    <n v="3"/>
    <x v="4"/>
    <d v="1994-08-24T00:00:00"/>
    <d v="1994-08-16T00:00:00"/>
    <n v="2"/>
    <n v="58.17"/>
    <s v="Hanari Carnes"/>
    <s v="Rua do PaÃ§o, 67"/>
    <x v="2"/>
    <s v="RJ"/>
    <s v="05454-876"/>
    <x v="2"/>
    <n v="8"/>
  </r>
  <r>
    <n v="10254"/>
    <x v="5"/>
    <n v="5"/>
    <x v="5"/>
    <d v="1994-09-08T00:00:00"/>
    <d v="1994-08-23T00:00:00"/>
    <n v="2"/>
    <n v="22.98"/>
    <s v="Chop-suey Chinese"/>
    <s v="Hauptstr. 31"/>
    <x v="5"/>
    <s v="unknown"/>
    <s v="3012"/>
    <x v="4"/>
    <n v="8"/>
  </r>
  <r>
    <n v="10255"/>
    <x v="6"/>
    <n v="9"/>
    <x v="6"/>
    <d v="1994-09-09T00:00:00"/>
    <d v="1994-08-15T00:00:00"/>
    <n v="3"/>
    <n v="148.33000000000001"/>
    <s v="Richter Supermarkt"/>
    <s v="Starenweg 5"/>
    <x v="6"/>
    <s v="unknown"/>
    <s v="1204"/>
    <x v="4"/>
    <n v="8"/>
  </r>
  <r>
    <n v="10256"/>
    <x v="7"/>
    <n v="3"/>
    <x v="7"/>
    <d v="1994-09-12T00:00:00"/>
    <d v="1994-08-17T00:00:00"/>
    <n v="2"/>
    <n v="13.97"/>
    <s v="Wellington Importadora"/>
    <s v="Rua do Mercado, 12"/>
    <x v="7"/>
    <s v="SP"/>
    <s v="08737-363"/>
    <x v="2"/>
    <n v="8"/>
  </r>
  <r>
    <n v="10257"/>
    <x v="8"/>
    <n v="4"/>
    <x v="8"/>
    <d v="1994-09-13T00:00:00"/>
    <d v="1994-08-22T00:00:00"/>
    <n v="3"/>
    <n v="81.91"/>
    <s v="HILARIÃ“N-Abastos"/>
    <s v="Carrera 22 con Ave. Carlos Soublette #8-35"/>
    <x v="8"/>
    <s v="TÃ¡chira"/>
    <s v="5022"/>
    <x v="5"/>
    <n v="8"/>
  </r>
  <r>
    <n v="10258"/>
    <x v="9"/>
    <n v="1"/>
    <x v="9"/>
    <d v="1994-09-14T00:00:00"/>
    <d v="1994-08-23T00:00:00"/>
    <n v="1"/>
    <n v="140.51"/>
    <s v="Ernst Handel"/>
    <s v="Kirchgasse 6"/>
    <x v="9"/>
    <s v="unknown"/>
    <s v="8010"/>
    <x v="6"/>
    <n v="8"/>
  </r>
  <r>
    <n v="10259"/>
    <x v="10"/>
    <n v="4"/>
    <x v="10"/>
    <d v="1994-09-15T00:00:00"/>
    <d v="1994-08-25T00:00:00"/>
    <n v="3"/>
    <n v="3.25"/>
    <s v="Centro comercial Moctezuma"/>
    <s v="Sierras de Granada 9993"/>
    <x v="10"/>
    <s v="unknown"/>
    <s v="05022"/>
    <x v="7"/>
    <n v="8"/>
  </r>
  <r>
    <n v="10260"/>
    <x v="11"/>
    <n v="4"/>
    <x v="11"/>
    <d v="1994-09-16T00:00:00"/>
    <d v="1994-08-29T00:00:00"/>
    <n v="1"/>
    <n v="55.09"/>
    <s v="Ottilies KÃ¤seladen"/>
    <s v="Mehrheimerstr. 369"/>
    <x v="11"/>
    <s v="unknown"/>
    <s v="50739"/>
    <x v="1"/>
    <n v="8"/>
  </r>
  <r>
    <n v="10261"/>
    <x v="12"/>
    <n v="4"/>
    <x v="11"/>
    <d v="1994-09-16T00:00:00"/>
    <d v="1994-08-30T00:00:00"/>
    <n v="2"/>
    <n v="3.05"/>
    <s v="Que DelÃ­cia"/>
    <s v="Rua da Panificadora, 12"/>
    <x v="2"/>
    <s v="RJ"/>
    <s v="02389-673"/>
    <x v="2"/>
    <n v="8"/>
  </r>
  <r>
    <n v="10262"/>
    <x v="13"/>
    <n v="8"/>
    <x v="12"/>
    <d v="1994-09-19T00:00:00"/>
    <d v="1994-08-25T00:00:00"/>
    <n v="3"/>
    <n v="48.29"/>
    <s v="Rattlesnake Canyon Grocery"/>
    <s v="2817 Milton Dr."/>
    <x v="12"/>
    <s v="NM"/>
    <s v="87110"/>
    <x v="8"/>
    <n v="8"/>
  </r>
  <r>
    <n v="10263"/>
    <x v="9"/>
    <n v="9"/>
    <x v="13"/>
    <d v="1994-09-20T00:00:00"/>
    <d v="1994-08-31T00:00:00"/>
    <n v="3"/>
    <n v="146.06"/>
    <s v="Ernst Handel"/>
    <s v="Kirchgasse 6"/>
    <x v="9"/>
    <s v="unknown"/>
    <s v="8010"/>
    <x v="6"/>
    <n v="8"/>
  </r>
  <r>
    <n v="10264"/>
    <x v="14"/>
    <n v="6"/>
    <x v="14"/>
    <d v="1994-09-21T00:00:00"/>
    <d v="1994-09-23T00:00:00"/>
    <n v="3"/>
    <n v="3.67"/>
    <s v="Folk och fÃ¤ HB"/>
    <s v="Ã…kergatan 24"/>
    <x v="13"/>
    <s v="unknown"/>
    <s v="S-844 67"/>
    <x v="9"/>
    <n v="8"/>
  </r>
  <r>
    <n v="10265"/>
    <x v="15"/>
    <n v="2"/>
    <x v="15"/>
    <d v="1994-09-22T00:00:00"/>
    <d v="1994-09-12T00:00:00"/>
    <n v="1"/>
    <n v="55.28"/>
    <s v="Blondel pÃ¨re et fils"/>
    <s v="24, place KlÃ©ber"/>
    <x v="14"/>
    <s v="unknown"/>
    <s v="67000"/>
    <x v="0"/>
    <n v="8"/>
  </r>
  <r>
    <n v="10266"/>
    <x v="16"/>
    <n v="3"/>
    <x v="16"/>
    <d v="1994-10-07T00:00:00"/>
    <d v="1994-08-31T00:00:00"/>
    <n v="3"/>
    <n v="25.73"/>
    <s v="Wartian Herkku"/>
    <s v="Torikatu 38"/>
    <x v="15"/>
    <s v="unknown"/>
    <s v="90110"/>
    <x v="10"/>
    <n v="8"/>
  </r>
  <r>
    <n v="10267"/>
    <x v="17"/>
    <n v="4"/>
    <x v="17"/>
    <d v="1994-09-26T00:00:00"/>
    <d v="1994-09-06T00:00:00"/>
    <n v="1"/>
    <n v="208.58"/>
    <s v="Frankenversand"/>
    <s v="Berliner Platz 43"/>
    <x v="16"/>
    <s v="unknown"/>
    <s v="80805"/>
    <x v="1"/>
    <n v="8"/>
  </r>
  <r>
    <n v="10268"/>
    <x v="18"/>
    <n v="8"/>
    <x v="18"/>
    <d v="1994-09-27T00:00:00"/>
    <d v="1994-09-02T00:00:00"/>
    <n v="3"/>
    <n v="66.290000000000006"/>
    <s v="GROSELLA-Restaurante"/>
    <s v="5Âª Ave. Los Palos Grandes"/>
    <x v="17"/>
    <s v="DF"/>
    <s v="1081"/>
    <x v="5"/>
    <n v="8"/>
  </r>
  <r>
    <n v="10269"/>
    <x v="19"/>
    <n v="5"/>
    <x v="19"/>
    <d v="1994-09-14T00:00:00"/>
    <d v="1994-09-09T00:00:00"/>
    <n v="1"/>
    <n v="4.5599999999999996"/>
    <s v="White Clover Markets"/>
    <s v="1029 - 12th Ave. S."/>
    <x v="18"/>
    <s v="WA"/>
    <s v="98124"/>
    <x v="8"/>
    <n v="8"/>
  </r>
  <r>
    <n v="10270"/>
    <x v="16"/>
    <n v="1"/>
    <x v="20"/>
    <d v="1994-09-29T00:00:00"/>
    <d v="1994-09-02T00:00:00"/>
    <n v="1"/>
    <n v="136.54"/>
    <s v="Wartian Herkku"/>
    <s v="Torikatu 38"/>
    <x v="15"/>
    <s v="unknown"/>
    <s v="90110"/>
    <x v="10"/>
    <n v="9"/>
  </r>
  <r>
    <n v="10271"/>
    <x v="20"/>
    <n v="6"/>
    <x v="20"/>
    <d v="1994-09-29T00:00:00"/>
    <d v="1994-09-30T00:00:00"/>
    <n v="2"/>
    <n v="4.54"/>
    <s v="Split Rail Beer &amp; Ale"/>
    <s v="P.O. Box 555"/>
    <x v="19"/>
    <s v="WY"/>
    <s v="82520"/>
    <x v="8"/>
    <n v="9"/>
  </r>
  <r>
    <n v="10272"/>
    <x v="13"/>
    <n v="6"/>
    <x v="21"/>
    <d v="1994-09-30T00:00:00"/>
    <d v="1994-09-06T00:00:00"/>
    <n v="2"/>
    <n v="98.03"/>
    <s v="Rattlesnake Canyon Grocery"/>
    <s v="2817 Milton Dr."/>
    <x v="12"/>
    <s v="NM"/>
    <s v="87110"/>
    <x v="8"/>
    <n v="9"/>
  </r>
  <r>
    <n v="10273"/>
    <x v="21"/>
    <n v="3"/>
    <x v="22"/>
    <d v="1994-10-03T00:00:00"/>
    <d v="1994-09-12T00:00:00"/>
    <n v="3"/>
    <n v="76.069999999999993"/>
    <s v="QUICK-Stop"/>
    <s v="TaucherstraÃŸe 10"/>
    <x v="20"/>
    <s v="unknown"/>
    <s v="01307"/>
    <x v="1"/>
    <n v="9"/>
  </r>
  <r>
    <n v="10274"/>
    <x v="0"/>
    <n v="6"/>
    <x v="23"/>
    <d v="1994-10-04T00:00:00"/>
    <d v="1994-09-16T00:00:00"/>
    <n v="1"/>
    <n v="6.01"/>
    <s v="Vins et alcools Chevalier"/>
    <s v="59 rue de l'Abbaye"/>
    <x v="0"/>
    <s v="unknown"/>
    <s v="51100"/>
    <x v="0"/>
    <n v="9"/>
  </r>
  <r>
    <n v="10275"/>
    <x v="22"/>
    <n v="1"/>
    <x v="24"/>
    <d v="1994-10-05T00:00:00"/>
    <d v="1994-09-09T00:00:00"/>
    <n v="1"/>
    <n v="26.93"/>
    <s v="Magazzini Alimentari Riuniti"/>
    <s v="Via Ludovico il Moro 22"/>
    <x v="21"/>
    <s v="unknown"/>
    <s v="24100"/>
    <x v="11"/>
    <n v="9"/>
  </r>
  <r>
    <n v="10276"/>
    <x v="23"/>
    <n v="8"/>
    <x v="25"/>
    <d v="1994-09-22T00:00:00"/>
    <d v="1994-09-14T00:00:00"/>
    <n v="3"/>
    <n v="13.84"/>
    <s v="Tortuga Restaurante"/>
    <s v="Avda. Azteca 123"/>
    <x v="10"/>
    <s v="unknown"/>
    <s v="05033"/>
    <x v="7"/>
    <n v="9"/>
  </r>
  <r>
    <n v="10277"/>
    <x v="24"/>
    <n v="2"/>
    <x v="26"/>
    <d v="1994-10-07T00:00:00"/>
    <d v="1994-09-13T00:00:00"/>
    <n v="3"/>
    <n v="125.77"/>
    <s v="Morgenstern Gesundkost"/>
    <s v="Heerstr. 22"/>
    <x v="22"/>
    <s v="unknown"/>
    <s v="04179"/>
    <x v="1"/>
    <n v="9"/>
  </r>
  <r>
    <n v="10278"/>
    <x v="25"/>
    <n v="8"/>
    <x v="27"/>
    <d v="1994-10-10T00:00:00"/>
    <d v="1994-09-16T00:00:00"/>
    <n v="2"/>
    <n v="92.69"/>
    <s v="Berglunds snabbkÃ¶p"/>
    <s v="BerguvsvÃ¤gen  8"/>
    <x v="23"/>
    <s v="unknown"/>
    <s v="S-958 22"/>
    <x v="9"/>
    <n v="9"/>
  </r>
  <r>
    <n v="10279"/>
    <x v="26"/>
    <n v="8"/>
    <x v="28"/>
    <d v="1994-10-11T00:00:00"/>
    <d v="1994-09-16T00:00:00"/>
    <n v="2"/>
    <n v="25.83"/>
    <s v="Lehmanns Marktstand"/>
    <s v="Magazinweg 7"/>
    <x v="24"/>
    <s v="unknown"/>
    <s v="60528"/>
    <x v="1"/>
    <n v="9"/>
  </r>
  <r>
    <n v="10280"/>
    <x v="25"/>
    <n v="2"/>
    <x v="29"/>
    <d v="1994-10-12T00:00:00"/>
    <d v="1994-10-13T00:00:00"/>
    <n v="1"/>
    <n v="8.98"/>
    <s v="Berglunds snabbkÃ¶p"/>
    <s v="BerguvsvÃ¤gen  8"/>
    <x v="23"/>
    <s v="unknown"/>
    <s v="S-958 22"/>
    <x v="9"/>
    <n v="9"/>
  </r>
  <r>
    <n v="10281"/>
    <x v="27"/>
    <n v="4"/>
    <x v="29"/>
    <d v="1994-09-28T00:00:00"/>
    <d v="1994-09-21T00:00:00"/>
    <n v="1"/>
    <n v="2.94"/>
    <s v="Romero y tomillo"/>
    <s v="Gran VÃ­a, 1"/>
    <x v="25"/>
    <s v="unknown"/>
    <s v="28001"/>
    <x v="12"/>
    <n v="9"/>
  </r>
  <r>
    <n v="10282"/>
    <x v="27"/>
    <n v="4"/>
    <x v="30"/>
    <d v="1994-10-13T00:00:00"/>
    <d v="1994-09-21T00:00:00"/>
    <n v="1"/>
    <n v="12.69"/>
    <s v="Romero y tomillo"/>
    <s v="Gran VÃ­a, 1"/>
    <x v="25"/>
    <s v="unknown"/>
    <s v="28001"/>
    <x v="12"/>
    <n v="9"/>
  </r>
  <r>
    <n v="10283"/>
    <x v="28"/>
    <n v="3"/>
    <x v="31"/>
    <d v="1994-10-14T00:00:00"/>
    <d v="1994-09-23T00:00:00"/>
    <n v="3"/>
    <n v="84.81"/>
    <s v="LILA-Supermercado"/>
    <s v="Carrera 52 con Ave. BolÃ­var #65-98 Llano Largo"/>
    <x v="26"/>
    <s v="Lara"/>
    <s v="3508"/>
    <x v="5"/>
    <n v="9"/>
  </r>
  <r>
    <n v="10284"/>
    <x v="26"/>
    <n v="4"/>
    <x v="32"/>
    <d v="1994-10-17T00:00:00"/>
    <d v="1994-09-27T00:00:00"/>
    <n v="1"/>
    <n v="76.56"/>
    <s v="Lehmanns Marktstand"/>
    <s v="Magazinweg 7"/>
    <x v="24"/>
    <s v="unknown"/>
    <s v="60528"/>
    <x v="1"/>
    <n v="9"/>
  </r>
  <r>
    <n v="10285"/>
    <x v="21"/>
    <n v="1"/>
    <x v="33"/>
    <d v="1994-10-18T00:00:00"/>
    <d v="1994-09-26T00:00:00"/>
    <n v="2"/>
    <n v="76.83"/>
    <s v="QUICK-Stop"/>
    <s v="TaucherstraÃŸe 10"/>
    <x v="20"/>
    <s v="unknown"/>
    <s v="01307"/>
    <x v="1"/>
    <n v="9"/>
  </r>
  <r>
    <n v="10286"/>
    <x v="21"/>
    <n v="8"/>
    <x v="34"/>
    <d v="1994-10-19T00:00:00"/>
    <d v="1994-09-30T00:00:00"/>
    <n v="3"/>
    <n v="229.24"/>
    <s v="QUICK-Stop"/>
    <s v="TaucherstraÃŸe 10"/>
    <x v="20"/>
    <s v="unknown"/>
    <s v="01307"/>
    <x v="1"/>
    <n v="9"/>
  </r>
  <r>
    <n v="10287"/>
    <x v="29"/>
    <n v="8"/>
    <x v="35"/>
    <d v="1994-10-20T00:00:00"/>
    <d v="1994-09-28T00:00:00"/>
    <n v="3"/>
    <n v="12.76"/>
    <s v="Ricardo Adocicados"/>
    <s v="Av. Copacabana, 267"/>
    <x v="2"/>
    <s v="RJ"/>
    <s v="02389-890"/>
    <x v="2"/>
    <n v="9"/>
  </r>
  <r>
    <n v="10288"/>
    <x v="30"/>
    <n v="4"/>
    <x v="36"/>
    <d v="1994-10-21T00:00:00"/>
    <d v="1994-10-04T00:00:00"/>
    <n v="1"/>
    <n v="7.45"/>
    <s v="Reggiani Caseifici"/>
    <s v="Strada Provinciale 124"/>
    <x v="27"/>
    <s v="unknown"/>
    <s v="42100"/>
    <x v="11"/>
    <n v="9"/>
  </r>
  <r>
    <n v="10289"/>
    <x v="31"/>
    <n v="7"/>
    <x v="37"/>
    <d v="1994-10-24T00:00:00"/>
    <d v="1994-09-28T00:00:00"/>
    <n v="3"/>
    <n v="22.77"/>
    <s v="B's Beverages"/>
    <s v="Fauntleroy Circus"/>
    <x v="28"/>
    <s v="unknown"/>
    <s v="EC2 5NT"/>
    <x v="13"/>
    <n v="9"/>
  </r>
  <r>
    <n v="10290"/>
    <x v="32"/>
    <n v="8"/>
    <x v="38"/>
    <d v="1994-10-25T00:00:00"/>
    <d v="1994-10-04T00:00:00"/>
    <n v="1"/>
    <n v="79.7"/>
    <s v="ComÃ©rcio Mineiro"/>
    <s v="Av. dos LusÃ­adas, 23"/>
    <x v="29"/>
    <s v="SP"/>
    <s v="05432-043"/>
    <x v="2"/>
    <n v="9"/>
  </r>
  <r>
    <n v="10291"/>
    <x v="12"/>
    <n v="6"/>
    <x v="38"/>
    <d v="1994-10-25T00:00:00"/>
    <d v="1994-10-05T00:00:00"/>
    <n v="2"/>
    <n v="6.4"/>
    <s v="Que DelÃ­cia"/>
    <s v="Rua da Panificadora, 12"/>
    <x v="2"/>
    <s v="RJ"/>
    <s v="02389-673"/>
    <x v="2"/>
    <n v="9"/>
  </r>
  <r>
    <n v="10292"/>
    <x v="33"/>
    <n v="1"/>
    <x v="39"/>
    <d v="1994-10-26T00:00:00"/>
    <d v="1994-10-03T00:00:00"/>
    <n v="2"/>
    <n v="1.35"/>
    <s v="TradiÃ§Ã£o Hipermercados"/>
    <s v="Av. InÃªs de Castro, 414"/>
    <x v="29"/>
    <s v="SP"/>
    <s v="05634-030"/>
    <x v="2"/>
    <n v="9"/>
  </r>
  <r>
    <n v="10293"/>
    <x v="23"/>
    <n v="1"/>
    <x v="40"/>
    <d v="1994-10-27T00:00:00"/>
    <d v="1994-10-12T00:00:00"/>
    <n v="3"/>
    <n v="21.18"/>
    <s v="Tortuga Restaurante"/>
    <s v="Avda. Azteca 123"/>
    <x v="10"/>
    <s v="unknown"/>
    <s v="05033"/>
    <x v="7"/>
    <n v="9"/>
  </r>
  <r>
    <n v="10294"/>
    <x v="13"/>
    <n v="4"/>
    <x v="41"/>
    <d v="1994-10-28T00:00:00"/>
    <d v="1994-10-06T00:00:00"/>
    <n v="2"/>
    <n v="147.26"/>
    <s v="Rattlesnake Canyon Grocery"/>
    <s v="2817 Milton Dr."/>
    <x v="12"/>
    <s v="NM"/>
    <s v="87110"/>
    <x v="8"/>
    <n v="9"/>
  </r>
  <r>
    <n v="10295"/>
    <x v="0"/>
    <n v="2"/>
    <x v="42"/>
    <d v="1994-10-31T00:00:00"/>
    <d v="1994-10-11T00:00:00"/>
    <n v="2"/>
    <n v="1.1499999999999999"/>
    <s v="Vins et alcools Chevalier"/>
    <s v="59 rue de l'Abbaye"/>
    <x v="0"/>
    <s v="unknown"/>
    <s v="51100"/>
    <x v="0"/>
    <n v="10"/>
  </r>
  <r>
    <n v="10296"/>
    <x v="28"/>
    <n v="6"/>
    <x v="43"/>
    <d v="1994-11-01T00:00:00"/>
    <d v="1994-10-12T00:00:00"/>
    <n v="1"/>
    <n v="0.12"/>
    <s v="LILA-Supermercado"/>
    <s v="Carrera 52 con Ave. BolÃ­var #65-98 Llano Largo"/>
    <x v="26"/>
    <s v="Lara"/>
    <s v="3508"/>
    <x v="5"/>
    <n v="10"/>
  </r>
  <r>
    <n v="10297"/>
    <x v="15"/>
    <n v="5"/>
    <x v="44"/>
    <d v="1994-11-16T00:00:00"/>
    <d v="1994-10-11T00:00:00"/>
    <n v="2"/>
    <n v="5.74"/>
    <s v="Blondel pÃ¨re et fils"/>
    <s v="24, place KlÃ©ber"/>
    <x v="14"/>
    <s v="unknown"/>
    <s v="67000"/>
    <x v="0"/>
    <n v="10"/>
  </r>
  <r>
    <n v="10298"/>
    <x v="34"/>
    <n v="6"/>
    <x v="45"/>
    <d v="1994-11-03T00:00:00"/>
    <d v="1994-10-12T00:00:00"/>
    <n v="2"/>
    <n v="168.22"/>
    <s v="Hungry Owl All-Night Grocers"/>
    <s v="8 Johnstown Road"/>
    <x v="30"/>
    <s v="Co. Cork"/>
    <s v="unknown"/>
    <x v="14"/>
    <n v="10"/>
  </r>
  <r>
    <n v="10299"/>
    <x v="29"/>
    <n v="4"/>
    <x v="46"/>
    <d v="1994-11-04T00:00:00"/>
    <d v="1994-10-14T00:00:00"/>
    <n v="2"/>
    <n v="29.76"/>
    <s v="Ricardo Adocicados"/>
    <s v="Av. Copacabana, 267"/>
    <x v="2"/>
    <s v="RJ"/>
    <s v="02389-890"/>
    <x v="2"/>
    <n v="10"/>
  </r>
  <r>
    <n v="10300"/>
    <x v="22"/>
    <n v="2"/>
    <x v="47"/>
    <d v="1994-11-07T00:00:00"/>
    <d v="1994-10-19T00:00:00"/>
    <n v="2"/>
    <n v="17.68"/>
    <s v="Magazzini Alimentari Riuniti"/>
    <s v="Via Ludovico il Moro 22"/>
    <x v="21"/>
    <s v="unknown"/>
    <s v="24100"/>
    <x v="11"/>
    <n v="10"/>
  </r>
  <r>
    <n v="10301"/>
    <x v="35"/>
    <n v="8"/>
    <x v="47"/>
    <d v="1994-11-07T00:00:00"/>
    <d v="1994-10-18T00:00:00"/>
    <n v="2"/>
    <n v="45.08"/>
    <s v="Die Wandernde Kuh"/>
    <s v="Adenauerallee 900"/>
    <x v="31"/>
    <s v="unknown"/>
    <s v="70563"/>
    <x v="1"/>
    <n v="10"/>
  </r>
  <r>
    <n v="10302"/>
    <x v="4"/>
    <n v="4"/>
    <x v="48"/>
    <d v="1994-11-08T00:00:00"/>
    <d v="1994-11-09T00:00:00"/>
    <n v="2"/>
    <n v="6.27"/>
    <s v="SuprÃªmes dÃ©lices"/>
    <s v="Boulevard Tirou, 255"/>
    <x v="4"/>
    <s v="unknown"/>
    <s v="B-6000"/>
    <x v="3"/>
    <n v="10"/>
  </r>
  <r>
    <n v="10303"/>
    <x v="36"/>
    <n v="7"/>
    <x v="49"/>
    <d v="1994-11-09T00:00:00"/>
    <d v="1994-10-19T00:00:00"/>
    <n v="2"/>
    <n v="107.83"/>
    <s v="Godos Cocina TÃ­pica"/>
    <s v="C/ Romero, 33"/>
    <x v="32"/>
    <s v="unknown"/>
    <s v="41101"/>
    <x v="12"/>
    <n v="10"/>
  </r>
  <r>
    <n v="10304"/>
    <x v="23"/>
    <n v="1"/>
    <x v="50"/>
    <d v="1994-11-10T00:00:00"/>
    <d v="1994-10-18T00:00:00"/>
    <n v="2"/>
    <n v="63.79"/>
    <s v="Tortuga Restaurante"/>
    <s v="Avda. Azteca 123"/>
    <x v="10"/>
    <s v="unknown"/>
    <s v="05033"/>
    <x v="7"/>
    <n v="10"/>
  </r>
  <r>
    <n v="10305"/>
    <x v="37"/>
    <n v="8"/>
    <x v="51"/>
    <d v="1994-11-11T00:00:00"/>
    <d v="1994-11-09T00:00:00"/>
    <n v="3"/>
    <n v="257.62"/>
    <s v="Old World Delicatessen"/>
    <s v="2743 Bering St."/>
    <x v="33"/>
    <s v="AK"/>
    <s v="99508"/>
    <x v="8"/>
    <n v="10"/>
  </r>
  <r>
    <n v="10306"/>
    <x v="27"/>
    <n v="1"/>
    <x v="52"/>
    <d v="1994-11-14T00:00:00"/>
    <d v="1994-10-24T00:00:00"/>
    <n v="3"/>
    <n v="7.56"/>
    <s v="Romero y tomillo"/>
    <s v="Gran VÃ­a, 1"/>
    <x v="25"/>
    <s v="unknown"/>
    <s v="28001"/>
    <x v="12"/>
    <n v="10"/>
  </r>
  <r>
    <n v="10307"/>
    <x v="38"/>
    <n v="2"/>
    <x v="53"/>
    <d v="1994-11-15T00:00:00"/>
    <d v="1994-10-26T00:00:00"/>
    <n v="2"/>
    <n v="0.56000000000000005"/>
    <s v="Lonesome Pine Restaurant"/>
    <s v="89 Chiaroscuro Rd."/>
    <x v="34"/>
    <s v="OR"/>
    <s v="97219"/>
    <x v="8"/>
    <n v="10"/>
  </r>
  <r>
    <n v="10308"/>
    <x v="39"/>
    <n v="7"/>
    <x v="54"/>
    <d v="1994-11-16T00:00:00"/>
    <d v="1994-10-25T00:00:00"/>
    <n v="3"/>
    <n v="1.61"/>
    <s v="Ana Trujillo Emparedados y helados"/>
    <s v="Avda. de la ConstituciÃ³n 2222"/>
    <x v="10"/>
    <s v="unknown"/>
    <s v="05021"/>
    <x v="7"/>
    <n v="10"/>
  </r>
  <r>
    <n v="10309"/>
    <x v="34"/>
    <n v="3"/>
    <x v="55"/>
    <d v="1994-11-17T00:00:00"/>
    <d v="1994-11-23T00:00:00"/>
    <n v="1"/>
    <n v="47.3"/>
    <s v="Hungry Owl All-Night Grocers"/>
    <s v="8 Johnstown Road"/>
    <x v="30"/>
    <s v="Co. Cork"/>
    <s v="unknown"/>
    <x v="14"/>
    <n v="10"/>
  </r>
  <r>
    <n v="10310"/>
    <x v="40"/>
    <n v="8"/>
    <x v="56"/>
    <d v="1994-11-18T00:00:00"/>
    <d v="1994-10-28T00:00:00"/>
    <n v="2"/>
    <n v="17.52"/>
    <s v="The Big Cheese"/>
    <s v="89 Jefferson WaySuite 2"/>
    <x v="34"/>
    <s v="OR"/>
    <s v="97201"/>
    <x v="8"/>
    <n v="10"/>
  </r>
  <r>
    <n v="10311"/>
    <x v="41"/>
    <n v="1"/>
    <x v="56"/>
    <d v="1994-11-04T00:00:00"/>
    <d v="1994-10-27T00:00:00"/>
    <n v="3"/>
    <n v="24.69"/>
    <s v="Du monde entier"/>
    <s v="67, rue des Cinquante Otages"/>
    <x v="35"/>
    <s v="unknown"/>
    <s v="44000"/>
    <x v="0"/>
    <n v="10"/>
  </r>
  <r>
    <n v="10312"/>
    <x v="35"/>
    <n v="2"/>
    <x v="57"/>
    <d v="1994-11-21T00:00:00"/>
    <d v="1994-11-03T00:00:00"/>
    <n v="2"/>
    <n v="40.26"/>
    <s v="Die Wandernde Kuh"/>
    <s v="Adenauerallee 900"/>
    <x v="31"/>
    <s v="unknown"/>
    <s v="70563"/>
    <x v="1"/>
    <n v="10"/>
  </r>
  <r>
    <n v="10313"/>
    <x v="21"/>
    <n v="2"/>
    <x v="58"/>
    <d v="1994-11-22T00:00:00"/>
    <d v="1994-11-04T00:00:00"/>
    <n v="2"/>
    <n v="1.96"/>
    <s v="QUICK-Stop"/>
    <s v="TaucherstraÃŸe 10"/>
    <x v="20"/>
    <s v="unknown"/>
    <s v="01307"/>
    <x v="1"/>
    <n v="10"/>
  </r>
  <r>
    <n v="10314"/>
    <x v="13"/>
    <n v="1"/>
    <x v="59"/>
    <d v="1994-11-23T00:00:00"/>
    <d v="1994-11-04T00:00:00"/>
    <n v="2"/>
    <n v="74.16"/>
    <s v="Rattlesnake Canyon Grocery"/>
    <s v="2817 Milton Dr."/>
    <x v="12"/>
    <s v="NM"/>
    <s v="87110"/>
    <x v="8"/>
    <n v="10"/>
  </r>
  <r>
    <n v="10315"/>
    <x v="42"/>
    <n v="4"/>
    <x v="60"/>
    <d v="1994-11-24T00:00:00"/>
    <d v="1994-11-03T00:00:00"/>
    <n v="2"/>
    <n v="41.76"/>
    <s v="Island Trading"/>
    <s v="Garden HouseCrowther Way"/>
    <x v="36"/>
    <s v="Isle of Wight"/>
    <s v="PO31 7PJ"/>
    <x v="13"/>
    <n v="10"/>
  </r>
  <r>
    <n v="10316"/>
    <x v="13"/>
    <n v="1"/>
    <x v="61"/>
    <d v="1994-11-25T00:00:00"/>
    <d v="1994-11-08T00:00:00"/>
    <n v="3"/>
    <n v="150.15"/>
    <s v="Rattlesnake Canyon Grocery"/>
    <s v="2817 Milton Dr."/>
    <x v="12"/>
    <s v="NM"/>
    <s v="87110"/>
    <x v="8"/>
    <n v="10"/>
  </r>
  <r>
    <n v="10317"/>
    <x v="38"/>
    <n v="6"/>
    <x v="62"/>
    <d v="1994-11-28T00:00:00"/>
    <d v="1994-11-10T00:00:00"/>
    <n v="1"/>
    <n v="12.69"/>
    <s v="Lonesome Pine Restaurant"/>
    <s v="89 Chiaroscuro Rd."/>
    <x v="34"/>
    <s v="OR"/>
    <s v="97219"/>
    <x v="8"/>
    <n v="10"/>
  </r>
  <r>
    <n v="10318"/>
    <x v="42"/>
    <n v="8"/>
    <x v="63"/>
    <d v="1994-11-29T00:00:00"/>
    <d v="1994-11-04T00:00:00"/>
    <n v="2"/>
    <n v="4.7300000000000004"/>
    <s v="Island Trading"/>
    <s v="Garden HouseCrowther Way"/>
    <x v="36"/>
    <s v="Isle of Wight"/>
    <s v="PO31 7PJ"/>
    <x v="13"/>
    <n v="11"/>
  </r>
  <r>
    <n v="10319"/>
    <x v="23"/>
    <n v="7"/>
    <x v="64"/>
    <d v="1994-11-30T00:00:00"/>
    <d v="1994-11-11T00:00:00"/>
    <n v="3"/>
    <n v="64.5"/>
    <s v="Tortuga Restaurante"/>
    <s v="Avda. Azteca 123"/>
    <x v="10"/>
    <s v="unknown"/>
    <s v="05033"/>
    <x v="7"/>
    <n v="11"/>
  </r>
  <r>
    <n v="10320"/>
    <x v="16"/>
    <n v="5"/>
    <x v="65"/>
    <d v="1994-11-17T00:00:00"/>
    <d v="1994-11-18T00:00:00"/>
    <n v="3"/>
    <n v="34.57"/>
    <s v="Wartian Herkku"/>
    <s v="Torikatu 38"/>
    <x v="15"/>
    <s v="unknown"/>
    <s v="90110"/>
    <x v="10"/>
    <n v="11"/>
  </r>
  <r>
    <n v="10321"/>
    <x v="42"/>
    <n v="3"/>
    <x v="65"/>
    <d v="1994-12-01T00:00:00"/>
    <d v="1994-11-11T00:00:00"/>
    <n v="2"/>
    <n v="3.43"/>
    <s v="Island Trading"/>
    <s v="Garden HouseCrowther Way"/>
    <x v="36"/>
    <s v="Isle of Wight"/>
    <s v="PO31 7PJ"/>
    <x v="13"/>
    <n v="11"/>
  </r>
  <r>
    <n v="10322"/>
    <x v="43"/>
    <n v="7"/>
    <x v="66"/>
    <d v="1994-12-02T00:00:00"/>
    <d v="1994-11-23T00:00:00"/>
    <n v="3"/>
    <n v="0.4"/>
    <s v="Pericles Comidas clÃ¡sicas"/>
    <s v="Calle Dr. Jorge Cash 321"/>
    <x v="10"/>
    <s v="unknown"/>
    <s v="05033"/>
    <x v="7"/>
    <n v="11"/>
  </r>
  <r>
    <n v="10323"/>
    <x v="44"/>
    <n v="4"/>
    <x v="67"/>
    <d v="1994-12-05T00:00:00"/>
    <d v="1994-11-14T00:00:00"/>
    <n v="1"/>
    <n v="4.88"/>
    <s v="KÃ¶niglich Essen"/>
    <s v="Maubelstr. 90"/>
    <x v="37"/>
    <s v="unknown"/>
    <s v="14776"/>
    <x v="1"/>
    <n v="11"/>
  </r>
  <r>
    <n v="10324"/>
    <x v="45"/>
    <n v="9"/>
    <x v="68"/>
    <d v="1994-12-06T00:00:00"/>
    <d v="1994-11-10T00:00:00"/>
    <n v="1"/>
    <n v="214.27"/>
    <s v="Save-a-lot Markets"/>
    <s v="187 Suffolk Ln."/>
    <x v="38"/>
    <s v="ID"/>
    <s v="83720"/>
    <x v="8"/>
    <n v="11"/>
  </r>
  <r>
    <n v="10325"/>
    <x v="44"/>
    <n v="1"/>
    <x v="69"/>
    <d v="1994-11-23T00:00:00"/>
    <d v="1994-11-14T00:00:00"/>
    <n v="3"/>
    <n v="64.86"/>
    <s v="KÃ¶niglich Essen"/>
    <s v="Maubelstr. 90"/>
    <x v="37"/>
    <s v="unknown"/>
    <s v="14776"/>
    <x v="1"/>
    <n v="11"/>
  </r>
  <r>
    <n v="10326"/>
    <x v="46"/>
    <n v="4"/>
    <x v="70"/>
    <d v="1994-12-08T00:00:00"/>
    <d v="1994-11-14T00:00:00"/>
    <n v="2"/>
    <n v="77.92"/>
    <s v="BÃ³lido Comidas preparadas"/>
    <s v="C/ Araquil, 67"/>
    <x v="25"/>
    <s v="unknown"/>
    <s v="28023"/>
    <x v="12"/>
    <n v="11"/>
  </r>
  <r>
    <n v="10327"/>
    <x v="14"/>
    <n v="2"/>
    <x v="71"/>
    <d v="1994-12-09T00:00:00"/>
    <d v="1994-11-14T00:00:00"/>
    <n v="1"/>
    <n v="63.36"/>
    <s v="Folk och fÃ¤ HB"/>
    <s v="Ã…kergatan 24"/>
    <x v="13"/>
    <s v="unknown"/>
    <s v="S-844 67"/>
    <x v="9"/>
    <n v="11"/>
  </r>
  <r>
    <n v="10328"/>
    <x v="47"/>
    <n v="4"/>
    <x v="72"/>
    <d v="1994-12-12T00:00:00"/>
    <d v="1994-11-17T00:00:00"/>
    <n v="3"/>
    <n v="87.03"/>
    <s v="Furia Bacalhau e Frutos do Mar"/>
    <s v="Jardim das rosas n. 32"/>
    <x v="39"/>
    <s v="unknown"/>
    <s v="1675"/>
    <x v="15"/>
    <n v="11"/>
  </r>
  <r>
    <n v="10329"/>
    <x v="20"/>
    <n v="4"/>
    <x v="73"/>
    <d v="1994-12-27T00:00:00"/>
    <d v="1994-11-23T00:00:00"/>
    <n v="2"/>
    <n v="191.67"/>
    <s v="Split Rail Beer &amp; Ale"/>
    <s v="P.O. Box 555"/>
    <x v="19"/>
    <s v="WY"/>
    <s v="82520"/>
    <x v="8"/>
    <n v="11"/>
  </r>
  <r>
    <n v="10330"/>
    <x v="28"/>
    <n v="3"/>
    <x v="74"/>
    <d v="1994-12-14T00:00:00"/>
    <d v="1994-11-28T00:00:00"/>
    <n v="1"/>
    <n v="12.75"/>
    <s v="LILA-Supermercado"/>
    <s v="Carrera 52 con Ave. BolÃ­var #65-98 Llano Largo"/>
    <x v="26"/>
    <s v="Lara"/>
    <s v="3508"/>
    <x v="5"/>
    <n v="11"/>
  </r>
  <r>
    <n v="10331"/>
    <x v="48"/>
    <n v="9"/>
    <x v="74"/>
    <d v="1994-12-28T00:00:00"/>
    <d v="1994-11-21T00:00:00"/>
    <n v="1"/>
    <n v="10.19"/>
    <s v="Bon app'"/>
    <s v="12, rue des Bouchers"/>
    <x v="40"/>
    <s v="unknown"/>
    <s v="13008"/>
    <x v="0"/>
    <n v="11"/>
  </r>
  <r>
    <n v="10332"/>
    <x v="49"/>
    <n v="3"/>
    <x v="75"/>
    <d v="1994-12-29T00:00:00"/>
    <d v="1994-11-21T00:00:00"/>
    <n v="2"/>
    <n v="52.84"/>
    <s v="MÃ¨re Paillarde"/>
    <s v="43 rue St. Laurent"/>
    <x v="41"/>
    <s v="QuÃ©bec"/>
    <s v="H1J 1C3"/>
    <x v="16"/>
    <n v="11"/>
  </r>
  <r>
    <n v="10333"/>
    <x v="16"/>
    <n v="5"/>
    <x v="76"/>
    <d v="1994-12-16T00:00:00"/>
    <d v="1994-11-25T00:00:00"/>
    <n v="3"/>
    <n v="0.59"/>
    <s v="Wartian Herkku"/>
    <s v="Torikatu 38"/>
    <x v="15"/>
    <s v="unknown"/>
    <s v="90110"/>
    <x v="10"/>
    <n v="11"/>
  </r>
  <r>
    <n v="10334"/>
    <x v="3"/>
    <n v="8"/>
    <x v="77"/>
    <d v="1994-12-19T00:00:00"/>
    <d v="1994-11-28T00:00:00"/>
    <n v="2"/>
    <n v="8.56"/>
    <s v="Victuailles en stock"/>
    <s v="2, rue du Commerce"/>
    <x v="3"/>
    <s v="unknown"/>
    <s v="69004"/>
    <x v="0"/>
    <n v="11"/>
  </r>
  <r>
    <n v="10335"/>
    <x v="34"/>
    <n v="7"/>
    <x v="78"/>
    <d v="1994-12-20T00:00:00"/>
    <d v="1994-11-24T00:00:00"/>
    <n v="2"/>
    <n v="42.11"/>
    <s v="Hungry Owl All-Night Grocers"/>
    <s v="8 Johnstown Road"/>
    <x v="30"/>
    <s v="Co. Cork"/>
    <s v="unknown"/>
    <x v="14"/>
    <n v="11"/>
  </r>
  <r>
    <n v="10336"/>
    <x v="50"/>
    <n v="7"/>
    <x v="79"/>
    <d v="1994-12-21T00:00:00"/>
    <d v="1994-11-25T00:00:00"/>
    <n v="2"/>
    <n v="15.51"/>
    <s v="Princesa Isabel Vinhos"/>
    <s v="Estrada da saÃºde n. 58"/>
    <x v="39"/>
    <s v="unknown"/>
    <s v="1756"/>
    <x v="15"/>
    <n v="11"/>
  </r>
  <r>
    <n v="10337"/>
    <x v="17"/>
    <n v="4"/>
    <x v="80"/>
    <d v="1994-12-22T00:00:00"/>
    <d v="1994-11-29T00:00:00"/>
    <n v="3"/>
    <n v="108.26"/>
    <s v="Frankenversand"/>
    <s v="Berliner Platz 43"/>
    <x v="16"/>
    <s v="unknown"/>
    <s v="80805"/>
    <x v="1"/>
    <n v="11"/>
  </r>
  <r>
    <n v="10338"/>
    <x v="37"/>
    <n v="4"/>
    <x v="81"/>
    <d v="1994-12-23T00:00:00"/>
    <d v="1994-11-29T00:00:00"/>
    <n v="3"/>
    <n v="84.21"/>
    <s v="Old World Delicatessen"/>
    <s v="2743 Bering St."/>
    <x v="33"/>
    <s v="AK"/>
    <s v="99508"/>
    <x v="8"/>
    <n v="11"/>
  </r>
  <r>
    <n v="10339"/>
    <x v="49"/>
    <n v="2"/>
    <x v="82"/>
    <d v="1994-12-26T00:00:00"/>
    <d v="1994-12-05T00:00:00"/>
    <n v="2"/>
    <n v="15.66"/>
    <s v="MÃ¨re Paillarde"/>
    <s v="43 rue St. Laurent"/>
    <x v="41"/>
    <s v="QuÃ©bec"/>
    <s v="H1J 1C3"/>
    <x v="16"/>
    <n v="11"/>
  </r>
  <r>
    <n v="10340"/>
    <x v="48"/>
    <n v="1"/>
    <x v="83"/>
    <d v="1994-12-27T00:00:00"/>
    <d v="1994-12-09T00:00:00"/>
    <n v="3"/>
    <n v="166.31"/>
    <s v="Bon app'"/>
    <s v="12, rue des Bouchers"/>
    <x v="40"/>
    <s v="unknown"/>
    <s v="13008"/>
    <x v="0"/>
    <n v="11"/>
  </r>
  <r>
    <n v="10341"/>
    <x v="51"/>
    <n v="7"/>
    <x v="83"/>
    <d v="1994-12-27T00:00:00"/>
    <d v="1994-12-06T00:00:00"/>
    <n v="3"/>
    <n v="26.78"/>
    <s v="Simons bistro"/>
    <s v="VinbÃ¦ltet 34"/>
    <x v="42"/>
    <s v="unknown"/>
    <s v="1734"/>
    <x v="17"/>
    <n v="11"/>
  </r>
  <r>
    <n v="10342"/>
    <x v="17"/>
    <n v="4"/>
    <x v="84"/>
    <d v="1994-12-14T00:00:00"/>
    <d v="1994-12-05T00:00:00"/>
    <n v="2"/>
    <n v="54.83"/>
    <s v="Frankenversand"/>
    <s v="Berliner Platz 43"/>
    <x v="16"/>
    <s v="unknown"/>
    <s v="80805"/>
    <x v="1"/>
    <n v="11"/>
  </r>
  <r>
    <n v="10343"/>
    <x v="26"/>
    <n v="4"/>
    <x v="85"/>
    <d v="1994-12-29T00:00:00"/>
    <d v="1994-12-07T00:00:00"/>
    <n v="1"/>
    <n v="110.37"/>
    <s v="Lehmanns Marktstand"/>
    <s v="Magazinweg 7"/>
    <x v="24"/>
    <s v="unknown"/>
    <s v="60528"/>
    <x v="1"/>
    <n v="12"/>
  </r>
  <r>
    <n v="10344"/>
    <x v="19"/>
    <n v="4"/>
    <x v="86"/>
    <d v="1994-12-30T00:00:00"/>
    <d v="1994-12-06T00:00:00"/>
    <n v="2"/>
    <n v="23.29"/>
    <s v="White Clover Markets"/>
    <s v="1029 - 12th Ave. S."/>
    <x v="18"/>
    <s v="WA"/>
    <s v="98124"/>
    <x v="8"/>
    <n v="12"/>
  </r>
  <r>
    <n v="10345"/>
    <x v="21"/>
    <n v="2"/>
    <x v="87"/>
    <d v="1995-01-02T00:00:00"/>
    <d v="1994-12-12T00:00:00"/>
    <n v="2"/>
    <n v="249.06"/>
    <s v="QUICK-Stop"/>
    <s v="TaucherstraÃŸe 10"/>
    <x v="20"/>
    <s v="unknown"/>
    <s v="01307"/>
    <x v="1"/>
    <n v="12"/>
  </r>
  <r>
    <n v="10346"/>
    <x v="13"/>
    <n v="3"/>
    <x v="88"/>
    <d v="1995-01-17T00:00:00"/>
    <d v="1994-12-09T00:00:00"/>
    <n v="3"/>
    <n v="142.08000000000001"/>
    <s v="Rattlesnake Canyon Grocery"/>
    <s v="2817 Milton Dr."/>
    <x v="12"/>
    <s v="NM"/>
    <s v="87110"/>
    <x v="8"/>
    <n v="12"/>
  </r>
  <r>
    <n v="10347"/>
    <x v="52"/>
    <n v="4"/>
    <x v="89"/>
    <d v="1995-01-04T00:00:00"/>
    <d v="1994-12-09T00:00:00"/>
    <n v="3"/>
    <n v="3.1"/>
    <s v="Familia Arquibaldo"/>
    <s v="Rua OrÃ³s, 92"/>
    <x v="29"/>
    <s v="SP"/>
    <s v="05442-030"/>
    <x v="2"/>
    <n v="12"/>
  </r>
  <r>
    <n v="10348"/>
    <x v="35"/>
    <n v="4"/>
    <x v="90"/>
    <d v="1995-01-05T00:00:00"/>
    <d v="1994-12-16T00:00:00"/>
    <n v="2"/>
    <n v="0.78"/>
    <s v="Die Wandernde Kuh"/>
    <s v="Adenauerallee 900"/>
    <x v="31"/>
    <s v="unknown"/>
    <s v="70563"/>
    <x v="1"/>
    <n v="12"/>
  </r>
  <r>
    <n v="10349"/>
    <x v="20"/>
    <n v="7"/>
    <x v="91"/>
    <d v="1995-01-06T00:00:00"/>
    <d v="1994-12-16T00:00:00"/>
    <n v="1"/>
    <n v="8.6300000000000008"/>
    <s v="Split Rail Beer &amp; Ale"/>
    <s v="P.O. Box 555"/>
    <x v="19"/>
    <s v="WY"/>
    <s v="82520"/>
    <x v="8"/>
    <n v="12"/>
  </r>
  <r>
    <n v="10350"/>
    <x v="53"/>
    <n v="6"/>
    <x v="92"/>
    <d v="1995-01-09T00:00:00"/>
    <d v="1995-01-03T00:00:00"/>
    <n v="2"/>
    <n v="64.19"/>
    <s v="La maison d'Asie"/>
    <s v="1 rue Alsace-Lorraine"/>
    <x v="43"/>
    <s v="unknown"/>
    <s v="31000"/>
    <x v="0"/>
    <n v="12"/>
  </r>
  <r>
    <n v="10351"/>
    <x v="9"/>
    <n v="1"/>
    <x v="92"/>
    <d v="1995-01-09T00:00:00"/>
    <d v="1994-12-21T00:00:00"/>
    <n v="1"/>
    <n v="162.33000000000001"/>
    <s v="Ernst Handel"/>
    <s v="Kirchgasse 6"/>
    <x v="9"/>
    <s v="unknown"/>
    <s v="8010"/>
    <x v="6"/>
    <n v="12"/>
  </r>
  <r>
    <n v="10352"/>
    <x v="47"/>
    <n v="3"/>
    <x v="93"/>
    <d v="1994-12-27T00:00:00"/>
    <d v="1994-12-19T00:00:00"/>
    <n v="3"/>
    <n v="1.3"/>
    <s v="Furia Bacalhau e Frutos do Mar"/>
    <s v="Jardim das rosas n. 32"/>
    <x v="39"/>
    <s v="unknown"/>
    <s v="1675"/>
    <x v="15"/>
    <n v="12"/>
  </r>
  <r>
    <n v="10353"/>
    <x v="54"/>
    <n v="7"/>
    <x v="94"/>
    <d v="1995-01-11T00:00:00"/>
    <d v="1994-12-26T00:00:00"/>
    <n v="3"/>
    <n v="360.63"/>
    <s v="Piccolo und mehr"/>
    <s v="Geislweg 14"/>
    <x v="44"/>
    <s v="unknown"/>
    <s v="5020"/>
    <x v="6"/>
    <n v="12"/>
  </r>
  <r>
    <n v="10354"/>
    <x v="43"/>
    <n v="8"/>
    <x v="95"/>
    <d v="1995-01-12T00:00:00"/>
    <d v="1994-12-21T00:00:00"/>
    <n v="3"/>
    <n v="53.8"/>
    <s v="Pericles Comidas clÃ¡sicas"/>
    <s v="Calle Dr. Jorge Cash 321"/>
    <x v="10"/>
    <s v="unknown"/>
    <s v="05033"/>
    <x v="7"/>
    <n v="12"/>
  </r>
  <r>
    <n v="10355"/>
    <x v="55"/>
    <n v="6"/>
    <x v="96"/>
    <d v="1995-01-13T00:00:00"/>
    <d v="1994-12-21T00:00:00"/>
    <n v="1"/>
    <n v="41.95"/>
    <s v="Around the Horn"/>
    <s v="Brook FarmStratford St. Mary"/>
    <x v="45"/>
    <s v="Essex"/>
    <s v="CO7 6JX"/>
    <x v="13"/>
    <n v="12"/>
  </r>
  <r>
    <n v="10356"/>
    <x v="35"/>
    <n v="6"/>
    <x v="97"/>
    <d v="1995-01-16T00:00:00"/>
    <d v="1994-12-28T00:00:00"/>
    <n v="2"/>
    <n v="36.71"/>
    <s v="Die Wandernde Kuh"/>
    <s v="Adenauerallee 900"/>
    <x v="31"/>
    <s v="unknown"/>
    <s v="70563"/>
    <x v="1"/>
    <n v="12"/>
  </r>
  <r>
    <n v="10357"/>
    <x v="28"/>
    <n v="1"/>
    <x v="98"/>
    <d v="1995-01-17T00:00:00"/>
    <d v="1995-01-02T00:00:00"/>
    <n v="3"/>
    <n v="34.880000000000003"/>
    <s v="LILA-Supermercado"/>
    <s v="Carrera 52 con Ave. BolÃ­var #65-98 Llano Largo"/>
    <x v="26"/>
    <s v="Lara"/>
    <s v="3508"/>
    <x v="5"/>
    <n v="12"/>
  </r>
  <r>
    <n v="10358"/>
    <x v="53"/>
    <n v="5"/>
    <x v="99"/>
    <d v="1995-01-18T00:00:00"/>
    <d v="1994-12-28T00:00:00"/>
    <n v="1"/>
    <n v="19.64"/>
    <s v="La maison d'Asie"/>
    <s v="1 rue Alsace-Lorraine"/>
    <x v="43"/>
    <s v="unknown"/>
    <s v="31000"/>
    <x v="0"/>
    <n v="12"/>
  </r>
  <r>
    <n v="10359"/>
    <x v="56"/>
    <n v="5"/>
    <x v="100"/>
    <d v="1995-01-19T00:00:00"/>
    <d v="1994-12-27T00:00:00"/>
    <n v="3"/>
    <n v="288.43"/>
    <s v="Seven Seas Imports"/>
    <s v="90 Wadhurst Rd."/>
    <x v="28"/>
    <s v="unknown"/>
    <s v="OX15 4NB"/>
    <x v="13"/>
    <n v="12"/>
  </r>
  <r>
    <n v="10360"/>
    <x v="15"/>
    <n v="4"/>
    <x v="101"/>
    <d v="1995-01-20T00:00:00"/>
    <d v="1995-01-02T00:00:00"/>
    <n v="3"/>
    <n v="131.69999999999999"/>
    <s v="Blondel pÃ¨re et fils"/>
    <s v="24, place KlÃ©ber"/>
    <x v="14"/>
    <s v="unknown"/>
    <s v="67000"/>
    <x v="0"/>
    <n v="12"/>
  </r>
  <r>
    <n v="10361"/>
    <x v="21"/>
    <n v="1"/>
    <x v="101"/>
    <d v="1995-01-20T00:00:00"/>
    <d v="1995-01-03T00:00:00"/>
    <n v="2"/>
    <n v="183.17"/>
    <s v="QUICK-Stop"/>
    <s v="TaucherstraÃŸe 10"/>
    <x v="20"/>
    <s v="unknown"/>
    <s v="01307"/>
    <x v="1"/>
    <n v="12"/>
  </r>
  <r>
    <n v="10362"/>
    <x v="48"/>
    <n v="3"/>
    <x v="102"/>
    <d v="1995-01-23T00:00:00"/>
    <d v="1994-12-29T00:00:00"/>
    <n v="1"/>
    <n v="96.04"/>
    <s v="Bon app'"/>
    <s v="12, rue des Bouchers"/>
    <x v="40"/>
    <s v="unknown"/>
    <s v="13008"/>
    <x v="0"/>
    <n v="12"/>
  </r>
  <r>
    <n v="10363"/>
    <x v="57"/>
    <n v="4"/>
    <x v="103"/>
    <d v="1995-01-24T00:00:00"/>
    <d v="1995-01-04T00:00:00"/>
    <n v="3"/>
    <n v="30.54"/>
    <s v="Drachenblut Delikatessen"/>
    <s v="Walserweg 21"/>
    <x v="46"/>
    <s v="unknown"/>
    <s v="52066"/>
    <x v="1"/>
    <n v="12"/>
  </r>
  <r>
    <n v="10364"/>
    <x v="58"/>
    <n v="1"/>
    <x v="103"/>
    <d v="1995-02-07T00:00:00"/>
    <d v="1995-01-04T00:00:00"/>
    <n v="1"/>
    <n v="71.97"/>
    <s v="Eastern Connection"/>
    <s v="35 King George"/>
    <x v="28"/>
    <s v="unknown"/>
    <s v="WX3 6FW"/>
    <x v="13"/>
    <n v="12"/>
  </r>
  <r>
    <n v="10365"/>
    <x v="59"/>
    <n v="3"/>
    <x v="104"/>
    <d v="1995-01-25T00:00:00"/>
    <d v="1995-01-02T00:00:00"/>
    <n v="2"/>
    <n v="22"/>
    <s v="Antonio Moreno TaquerÃ­a"/>
    <s v="Mataderos  2312"/>
    <x v="10"/>
    <s v="unknown"/>
    <s v="05023"/>
    <x v="7"/>
    <n v="12"/>
  </r>
  <r>
    <n v="10366"/>
    <x v="60"/>
    <n v="8"/>
    <x v="105"/>
    <d v="1995-02-09T00:00:00"/>
    <d v="1995-01-30T00:00:00"/>
    <n v="2"/>
    <n v="10.14"/>
    <s v="GalerÃ­a del gastronÃ³mo"/>
    <s v="Rambla de CataluÃ±a, 23"/>
    <x v="47"/>
    <s v="unknown"/>
    <s v="8022"/>
    <x v="12"/>
    <n v="12"/>
  </r>
  <r>
    <n v="10367"/>
    <x v="61"/>
    <n v="7"/>
    <x v="105"/>
    <d v="1995-01-26T00:00:00"/>
    <d v="1995-01-02T00:00:00"/>
    <n v="3"/>
    <n v="13.55"/>
    <s v="Vaffeljernet"/>
    <s v="SmagslÃ¸get 45"/>
    <x v="48"/>
    <s v="unknown"/>
    <s v="8200"/>
    <x v="17"/>
    <n v="12"/>
  </r>
  <r>
    <n v="10368"/>
    <x v="9"/>
    <n v="2"/>
    <x v="106"/>
    <d v="1995-01-27T00:00:00"/>
    <d v="1995-01-02T00:00:00"/>
    <n v="2"/>
    <n v="101.95"/>
    <s v="Ernst Handel"/>
    <s v="Kirchgasse 6"/>
    <x v="9"/>
    <s v="unknown"/>
    <s v="8010"/>
    <x v="6"/>
    <n v="12"/>
  </r>
  <r>
    <n v="10369"/>
    <x v="20"/>
    <n v="8"/>
    <x v="107"/>
    <d v="1995-01-30T00:00:00"/>
    <d v="1995-01-09T00:00:00"/>
    <n v="2"/>
    <n v="195.68"/>
    <s v="Split Rail Beer &amp; Ale"/>
    <s v="P.O. Box 555"/>
    <x v="19"/>
    <s v="WY"/>
    <s v="82520"/>
    <x v="8"/>
    <n v="1"/>
  </r>
  <r>
    <n v="10370"/>
    <x v="5"/>
    <n v="6"/>
    <x v="108"/>
    <d v="1995-01-31T00:00:00"/>
    <d v="1995-01-27T00:00:00"/>
    <n v="2"/>
    <n v="1.17"/>
    <s v="Chop-suey Chinese"/>
    <s v="Hauptstr. 31"/>
    <x v="5"/>
    <s v="unknown"/>
    <s v="3012"/>
    <x v="4"/>
    <n v="1"/>
  </r>
  <r>
    <n v="10371"/>
    <x v="53"/>
    <n v="1"/>
    <x v="108"/>
    <d v="1995-01-31T00:00:00"/>
    <d v="1995-01-24T00:00:00"/>
    <n v="1"/>
    <n v="0.45"/>
    <s v="La maison d'Asie"/>
    <s v="1 rue Alsace-Lorraine"/>
    <x v="43"/>
    <s v="unknown"/>
    <s v="31000"/>
    <x v="0"/>
    <n v="1"/>
  </r>
  <r>
    <n v="10372"/>
    <x v="62"/>
    <n v="5"/>
    <x v="109"/>
    <d v="1995-02-01T00:00:00"/>
    <d v="1995-01-09T00:00:00"/>
    <n v="2"/>
    <n v="890.78"/>
    <s v="Queen Cozinha"/>
    <s v="Alameda dos CanÃ rios, 891"/>
    <x v="29"/>
    <s v="SP"/>
    <s v="05487-020"/>
    <x v="2"/>
    <n v="1"/>
  </r>
  <r>
    <n v="10373"/>
    <x v="34"/>
    <n v="4"/>
    <x v="110"/>
    <d v="1995-02-02T00:00:00"/>
    <d v="1995-01-11T00:00:00"/>
    <n v="3"/>
    <n v="124.12"/>
    <s v="Hungry Owl All-Night Grocers"/>
    <s v="8 Johnstown Road"/>
    <x v="30"/>
    <s v="Co. Cork"/>
    <s v="unknown"/>
    <x v="14"/>
    <n v="1"/>
  </r>
  <r>
    <n v="10374"/>
    <x v="63"/>
    <n v="1"/>
    <x v="110"/>
    <d v="1995-02-02T00:00:00"/>
    <d v="1995-01-09T00:00:00"/>
    <n v="3"/>
    <n v="3.94"/>
    <s v="Wolski Zajazd"/>
    <s v="ul. Filtrowa 68"/>
    <x v="49"/>
    <s v="unknown"/>
    <s v="01-012"/>
    <x v="18"/>
    <n v="1"/>
  </r>
  <r>
    <n v="10375"/>
    <x v="64"/>
    <n v="3"/>
    <x v="111"/>
    <d v="1995-02-03T00:00:00"/>
    <d v="1995-01-09T00:00:00"/>
    <n v="2"/>
    <n v="20.12"/>
    <s v="Hungry Coyote Import Store"/>
    <s v="City Center Plaza516 Main St."/>
    <x v="50"/>
    <s v="OR"/>
    <s v="97827"/>
    <x v="8"/>
    <n v="1"/>
  </r>
  <r>
    <n v="10376"/>
    <x v="49"/>
    <n v="1"/>
    <x v="112"/>
    <d v="1995-02-06T00:00:00"/>
    <d v="1995-01-13T00:00:00"/>
    <n v="2"/>
    <n v="20.39"/>
    <s v="MÃ¨re Paillarde"/>
    <s v="43 rue St. Laurent"/>
    <x v="41"/>
    <s v="QuÃ©bec"/>
    <s v="H1J 1C3"/>
    <x v="16"/>
    <n v="1"/>
  </r>
  <r>
    <n v="10377"/>
    <x v="56"/>
    <n v="1"/>
    <x v="112"/>
    <d v="1995-02-06T00:00:00"/>
    <d v="1995-01-13T00:00:00"/>
    <n v="3"/>
    <n v="22.21"/>
    <s v="Seven Seas Imports"/>
    <s v="90 Wadhurst Rd."/>
    <x v="28"/>
    <s v="unknown"/>
    <s v="OX15 4NB"/>
    <x v="13"/>
    <n v="1"/>
  </r>
  <r>
    <n v="10378"/>
    <x v="14"/>
    <n v="5"/>
    <x v="113"/>
    <d v="1995-02-07T00:00:00"/>
    <d v="1995-01-19T00:00:00"/>
    <n v="3"/>
    <n v="5.44"/>
    <s v="Folk och fÃ¤ HB"/>
    <s v="Ã…kergatan 24"/>
    <x v="13"/>
    <s v="unknown"/>
    <s v="S-844 67"/>
    <x v="9"/>
    <n v="1"/>
  </r>
  <r>
    <n v="10379"/>
    <x v="12"/>
    <n v="2"/>
    <x v="114"/>
    <d v="1995-02-08T00:00:00"/>
    <d v="1995-01-13T00:00:00"/>
    <n v="1"/>
    <n v="45.03"/>
    <s v="Que DelÃ­cia"/>
    <s v="Rua da Panificadora, 12"/>
    <x v="2"/>
    <s v="RJ"/>
    <s v="02389-673"/>
    <x v="2"/>
    <n v="1"/>
  </r>
  <r>
    <n v="10380"/>
    <x v="34"/>
    <n v="8"/>
    <x v="115"/>
    <d v="1995-02-09T00:00:00"/>
    <d v="1995-02-16T00:00:00"/>
    <n v="3"/>
    <n v="35.03"/>
    <s v="Hungry Owl All-Night Grocers"/>
    <s v="8 Johnstown Road"/>
    <x v="30"/>
    <s v="Co. Cork"/>
    <s v="unknown"/>
    <x v="14"/>
    <n v="1"/>
  </r>
  <r>
    <n v="10381"/>
    <x v="28"/>
    <n v="3"/>
    <x v="115"/>
    <d v="1995-02-09T00:00:00"/>
    <d v="1995-01-13T00:00:00"/>
    <n v="3"/>
    <n v="7.99"/>
    <s v="LILA-Supermercado"/>
    <s v="Carrera 52 con Ave. BolÃ­var #65-98 Llano Largo"/>
    <x v="26"/>
    <s v="Lara"/>
    <s v="3508"/>
    <x v="5"/>
    <n v="1"/>
  </r>
  <r>
    <n v="10382"/>
    <x v="9"/>
    <n v="4"/>
    <x v="116"/>
    <d v="1995-02-10T00:00:00"/>
    <d v="1995-01-16T00:00:00"/>
    <n v="1"/>
    <n v="94.77"/>
    <s v="Ernst Handel"/>
    <s v="Kirchgasse 6"/>
    <x v="9"/>
    <s v="unknown"/>
    <s v="8010"/>
    <x v="6"/>
    <n v="1"/>
  </r>
  <r>
    <n v="10383"/>
    <x v="55"/>
    <n v="8"/>
    <x v="117"/>
    <d v="1995-02-13T00:00:00"/>
    <d v="1995-01-18T00:00:00"/>
    <n v="3"/>
    <n v="34.24"/>
    <s v="Around the Horn"/>
    <s v="Brook FarmStratford St. Mary"/>
    <x v="45"/>
    <s v="Essex"/>
    <s v="CO7 6JX"/>
    <x v="13"/>
    <n v="1"/>
  </r>
  <r>
    <n v="10384"/>
    <x v="25"/>
    <n v="3"/>
    <x v="117"/>
    <d v="1995-02-13T00:00:00"/>
    <d v="1995-01-20T00:00:00"/>
    <n v="3"/>
    <n v="168.64"/>
    <s v="Berglunds snabbkÃ¶p"/>
    <s v="BerguvsvÃ¤gen  8"/>
    <x v="23"/>
    <s v="unknown"/>
    <s v="S-958 22"/>
    <x v="9"/>
    <n v="1"/>
  </r>
  <r>
    <n v="10385"/>
    <x v="20"/>
    <n v="1"/>
    <x v="118"/>
    <d v="1995-02-14T00:00:00"/>
    <d v="1995-01-23T00:00:00"/>
    <n v="2"/>
    <n v="30.96"/>
    <s v="Split Rail Beer &amp; Ale"/>
    <s v="P.O. Box 555"/>
    <x v="19"/>
    <s v="WY"/>
    <s v="82520"/>
    <x v="8"/>
    <n v="1"/>
  </r>
  <r>
    <n v="10386"/>
    <x v="52"/>
    <n v="9"/>
    <x v="119"/>
    <d v="1995-02-01T00:00:00"/>
    <d v="1995-01-25T00:00:00"/>
    <n v="3"/>
    <n v="13.99"/>
    <s v="Familia Arquibaldo"/>
    <s v="Rua OrÃ³s, 92"/>
    <x v="29"/>
    <s v="SP"/>
    <s v="05442-030"/>
    <x v="2"/>
    <n v="1"/>
  </r>
  <r>
    <n v="10387"/>
    <x v="65"/>
    <n v="1"/>
    <x v="119"/>
    <d v="1995-02-15T00:00:00"/>
    <d v="1995-01-20T00:00:00"/>
    <n v="2"/>
    <n v="93.63"/>
    <s v="SantÃ© Gourmet"/>
    <s v="Erling Skakkes gate 78"/>
    <x v="51"/>
    <s v="unknown"/>
    <s v="4110"/>
    <x v="19"/>
    <n v="1"/>
  </r>
  <r>
    <n v="10388"/>
    <x v="56"/>
    <n v="2"/>
    <x v="120"/>
    <d v="1995-02-16T00:00:00"/>
    <d v="1995-01-20T00:00:00"/>
    <n v="1"/>
    <n v="34.86"/>
    <s v="Seven Seas Imports"/>
    <s v="90 Wadhurst Rd."/>
    <x v="28"/>
    <s v="unknown"/>
    <s v="OX15 4NB"/>
    <x v="13"/>
    <n v="1"/>
  </r>
  <r>
    <n v="10389"/>
    <x v="66"/>
    <n v="4"/>
    <x v="121"/>
    <d v="1995-02-17T00:00:00"/>
    <d v="1995-01-24T00:00:00"/>
    <n v="2"/>
    <n v="47.42"/>
    <s v="Bottom-Dollar Markets"/>
    <s v="23 Tsawassen Blvd."/>
    <x v="52"/>
    <s v="BC"/>
    <s v="T2F 8M4"/>
    <x v="16"/>
    <n v="1"/>
  </r>
  <r>
    <n v="10390"/>
    <x v="9"/>
    <n v="6"/>
    <x v="122"/>
    <d v="1995-02-20T00:00:00"/>
    <d v="1995-01-26T00:00:00"/>
    <n v="1"/>
    <n v="126.38"/>
    <s v="Ernst Handel"/>
    <s v="Kirchgasse 6"/>
    <x v="9"/>
    <s v="unknown"/>
    <s v="8010"/>
    <x v="6"/>
    <n v="1"/>
  </r>
  <r>
    <n v="10391"/>
    <x v="57"/>
    <n v="3"/>
    <x v="122"/>
    <d v="1995-02-20T00:00:00"/>
    <d v="1995-01-31T00:00:00"/>
    <n v="3"/>
    <n v="5.45"/>
    <s v="Drachenblut Delikatessen"/>
    <s v="Walserweg 21"/>
    <x v="46"/>
    <s v="unknown"/>
    <s v="52066"/>
    <x v="1"/>
    <n v="1"/>
  </r>
  <r>
    <n v="10392"/>
    <x v="54"/>
    <n v="2"/>
    <x v="123"/>
    <d v="1995-02-21T00:00:00"/>
    <d v="1995-02-01T00:00:00"/>
    <n v="3"/>
    <n v="122.46"/>
    <s v="Piccolo und mehr"/>
    <s v="Geislweg 14"/>
    <x v="44"/>
    <s v="unknown"/>
    <s v="5020"/>
    <x v="6"/>
    <n v="1"/>
  </r>
  <r>
    <n v="10393"/>
    <x v="45"/>
    <n v="1"/>
    <x v="124"/>
    <d v="1995-02-22T00:00:00"/>
    <d v="1995-02-03T00:00:00"/>
    <n v="3"/>
    <n v="126.56"/>
    <s v="Save-a-lot Markets"/>
    <s v="187 Suffolk Ln."/>
    <x v="38"/>
    <s v="ID"/>
    <s v="83720"/>
    <x v="8"/>
    <n v="1"/>
  </r>
  <r>
    <n v="10394"/>
    <x v="64"/>
    <n v="1"/>
    <x v="124"/>
    <d v="1995-02-22T00:00:00"/>
    <d v="1995-02-03T00:00:00"/>
    <n v="3"/>
    <n v="30.34"/>
    <s v="Hungry Coyote Import Store"/>
    <s v="City Center Plaza516 Main St."/>
    <x v="50"/>
    <s v="OR"/>
    <s v="97827"/>
    <x v="8"/>
    <n v="1"/>
  </r>
  <r>
    <n v="10395"/>
    <x v="8"/>
    <n v="6"/>
    <x v="125"/>
    <d v="1995-02-23T00:00:00"/>
    <d v="1995-02-03T00:00:00"/>
    <n v="1"/>
    <n v="184.41"/>
    <s v="HILARIÃ“N-Abastos"/>
    <s v="Carrera 22 con Ave. Carlos Soublette #8-35"/>
    <x v="8"/>
    <s v="TÃ¡chira"/>
    <s v="5022"/>
    <x v="5"/>
    <n v="1"/>
  </r>
  <r>
    <n v="10396"/>
    <x v="17"/>
    <n v="1"/>
    <x v="126"/>
    <d v="1995-02-10T00:00:00"/>
    <d v="1995-02-06T00:00:00"/>
    <n v="3"/>
    <n v="135.35"/>
    <s v="Frankenversand"/>
    <s v="Berliner Platz 43"/>
    <x v="16"/>
    <s v="unknown"/>
    <s v="80805"/>
    <x v="1"/>
    <n v="1"/>
  </r>
  <r>
    <n v="10397"/>
    <x v="50"/>
    <n v="5"/>
    <x v="126"/>
    <d v="1995-02-24T00:00:00"/>
    <d v="1995-02-02T00:00:00"/>
    <n v="1"/>
    <n v="60.26"/>
    <s v="Princesa Isabel Vinhos"/>
    <s v="Estrada da saÃºde n. 58"/>
    <x v="39"/>
    <s v="unknown"/>
    <s v="1756"/>
    <x v="15"/>
    <n v="1"/>
  </r>
  <r>
    <n v="10398"/>
    <x v="45"/>
    <n v="2"/>
    <x v="127"/>
    <d v="1995-02-27T00:00:00"/>
    <d v="1995-02-09T00:00:00"/>
    <n v="3"/>
    <n v="89.16"/>
    <s v="Save-a-lot Markets"/>
    <s v="187 Suffolk Ln."/>
    <x v="38"/>
    <s v="ID"/>
    <s v="83720"/>
    <x v="8"/>
    <n v="1"/>
  </r>
  <r>
    <n v="10399"/>
    <x v="61"/>
    <n v="8"/>
    <x v="128"/>
    <d v="1995-02-14T00:00:00"/>
    <d v="1995-02-08T00:00:00"/>
    <n v="3"/>
    <n v="27.36"/>
    <s v="Vaffeljernet"/>
    <s v="SmagslÃ¸get 45"/>
    <x v="48"/>
    <s v="unknown"/>
    <s v="8200"/>
    <x v="17"/>
    <n v="1"/>
  </r>
  <r>
    <n v="10400"/>
    <x v="58"/>
    <n v="1"/>
    <x v="129"/>
    <d v="1995-03-01T00:00:00"/>
    <d v="1995-02-16T00:00:00"/>
    <n v="3"/>
    <n v="83.93"/>
    <s v="Eastern Connection"/>
    <s v="35 King George"/>
    <x v="28"/>
    <s v="unknown"/>
    <s v="WX3 6FW"/>
    <x v="13"/>
    <n v="2"/>
  </r>
  <r>
    <n v="10401"/>
    <x v="13"/>
    <n v="1"/>
    <x v="129"/>
    <d v="1995-03-01T00:00:00"/>
    <d v="1995-02-10T00:00:00"/>
    <n v="1"/>
    <n v="12.51"/>
    <s v="Rattlesnake Canyon Grocery"/>
    <s v="2817 Milton Dr."/>
    <x v="12"/>
    <s v="NM"/>
    <s v="87110"/>
    <x v="8"/>
    <n v="2"/>
  </r>
  <r>
    <n v="10402"/>
    <x v="9"/>
    <n v="8"/>
    <x v="130"/>
    <d v="1995-03-16T00:00:00"/>
    <d v="1995-02-10T00:00:00"/>
    <n v="2"/>
    <n v="67.88"/>
    <s v="Ernst Handel"/>
    <s v="Kirchgasse 6"/>
    <x v="9"/>
    <s v="unknown"/>
    <s v="8010"/>
    <x v="6"/>
    <n v="2"/>
  </r>
  <r>
    <n v="10403"/>
    <x v="9"/>
    <n v="4"/>
    <x v="131"/>
    <d v="1995-03-03T00:00:00"/>
    <d v="1995-02-09T00:00:00"/>
    <n v="3"/>
    <n v="73.790000000000006"/>
    <s v="Ernst Handel"/>
    <s v="Kirchgasse 6"/>
    <x v="9"/>
    <s v="unknown"/>
    <s v="8010"/>
    <x v="6"/>
    <n v="2"/>
  </r>
  <r>
    <n v="10404"/>
    <x v="22"/>
    <n v="2"/>
    <x v="131"/>
    <d v="1995-03-03T00:00:00"/>
    <d v="1995-02-08T00:00:00"/>
    <n v="1"/>
    <n v="155.97"/>
    <s v="Magazzini Alimentari Riuniti"/>
    <s v="Via Ludovico il Moro 22"/>
    <x v="21"/>
    <s v="unknown"/>
    <s v="24100"/>
    <x v="11"/>
    <n v="2"/>
  </r>
  <r>
    <n v="10405"/>
    <x v="67"/>
    <n v="1"/>
    <x v="132"/>
    <d v="1995-03-06T00:00:00"/>
    <d v="1995-02-22T00:00:00"/>
    <n v="1"/>
    <n v="34.82"/>
    <s v="LINO-Delicateses"/>
    <s v="Ave. 5 de Mayo Porlamar"/>
    <x v="53"/>
    <s v="Nueva Esparta"/>
    <s v="4980"/>
    <x v="5"/>
    <n v="2"/>
  </r>
  <r>
    <n v="10406"/>
    <x v="62"/>
    <n v="7"/>
    <x v="133"/>
    <d v="1995-03-21T00:00:00"/>
    <d v="1995-02-13T00:00:00"/>
    <n v="1"/>
    <n v="108.04"/>
    <s v="Queen Cozinha"/>
    <s v="Alameda dos CanÃ rios, 891"/>
    <x v="29"/>
    <s v="SP"/>
    <s v="05487-020"/>
    <x v="2"/>
    <n v="2"/>
  </r>
  <r>
    <n v="10407"/>
    <x v="11"/>
    <n v="2"/>
    <x v="133"/>
    <d v="1995-03-07T00:00:00"/>
    <d v="1995-03-02T00:00:00"/>
    <n v="2"/>
    <n v="91.48"/>
    <s v="Ottilies KÃ¤seladen"/>
    <s v="Mehrheimerstr. 369"/>
    <x v="11"/>
    <s v="unknown"/>
    <s v="50739"/>
    <x v="1"/>
    <n v="2"/>
  </r>
  <r>
    <n v="10408"/>
    <x v="68"/>
    <n v="8"/>
    <x v="134"/>
    <d v="1995-03-08T00:00:00"/>
    <d v="1995-02-14T00:00:00"/>
    <n v="1"/>
    <n v="11.26"/>
    <s v="Folies gourmandes"/>
    <s v="184, chaussÃ©e de Tournai"/>
    <x v="54"/>
    <s v="unknown"/>
    <s v="59000"/>
    <x v="0"/>
    <n v="2"/>
  </r>
  <r>
    <n v="10409"/>
    <x v="69"/>
    <n v="3"/>
    <x v="135"/>
    <d v="1995-03-09T00:00:00"/>
    <d v="1995-02-14T00:00:00"/>
    <n v="1"/>
    <n v="29.83"/>
    <s v="OcÃ©ano AtlÃ¡ntico Ltda."/>
    <s v="Ing. Gustavo Moncada 8585Piso 20-A"/>
    <x v="55"/>
    <s v="unknown"/>
    <s v="1010"/>
    <x v="20"/>
    <n v="2"/>
  </r>
  <r>
    <n v="10410"/>
    <x v="66"/>
    <n v="3"/>
    <x v="136"/>
    <d v="1995-03-10T00:00:00"/>
    <d v="1995-02-15T00:00:00"/>
    <n v="3"/>
    <n v="2.4"/>
    <s v="Bottom-Dollar Markets"/>
    <s v="23 Tsawassen Blvd."/>
    <x v="52"/>
    <s v="BC"/>
    <s v="T2F 8M4"/>
    <x v="16"/>
    <n v="2"/>
  </r>
  <r>
    <n v="10411"/>
    <x v="66"/>
    <n v="9"/>
    <x v="136"/>
    <d v="1995-03-10T00:00:00"/>
    <d v="1995-02-21T00:00:00"/>
    <n v="3"/>
    <n v="23.65"/>
    <s v="Bottom-Dollar Markets"/>
    <s v="23 Tsawassen Blvd."/>
    <x v="52"/>
    <s v="BC"/>
    <s v="T2F 8M4"/>
    <x v="16"/>
    <n v="2"/>
  </r>
  <r>
    <n v="10412"/>
    <x v="16"/>
    <n v="8"/>
    <x v="137"/>
    <d v="1995-03-13T00:00:00"/>
    <d v="1995-02-15T00:00:00"/>
    <n v="2"/>
    <n v="3.77"/>
    <s v="Wartian Herkku"/>
    <s v="Torikatu 38"/>
    <x v="15"/>
    <s v="unknown"/>
    <s v="90110"/>
    <x v="10"/>
    <n v="2"/>
  </r>
  <r>
    <n v="10413"/>
    <x v="53"/>
    <n v="3"/>
    <x v="138"/>
    <d v="1995-03-14T00:00:00"/>
    <d v="1995-02-16T00:00:00"/>
    <n v="2"/>
    <n v="95.66"/>
    <s v="La maison d'Asie"/>
    <s v="1 rue Alsace-Lorraine"/>
    <x v="43"/>
    <s v="unknown"/>
    <s v="31000"/>
    <x v="0"/>
    <n v="2"/>
  </r>
  <r>
    <n v="10414"/>
    <x v="52"/>
    <n v="2"/>
    <x v="138"/>
    <d v="1995-03-14T00:00:00"/>
    <d v="1995-02-17T00:00:00"/>
    <n v="3"/>
    <n v="21.48"/>
    <s v="Familia Arquibaldo"/>
    <s v="Rua OrÃ³s, 92"/>
    <x v="29"/>
    <s v="SP"/>
    <s v="05442-030"/>
    <x v="2"/>
    <n v="2"/>
  </r>
  <r>
    <n v="10415"/>
    <x v="64"/>
    <n v="3"/>
    <x v="139"/>
    <d v="1995-03-15T00:00:00"/>
    <d v="1995-02-24T00:00:00"/>
    <n v="1"/>
    <n v="0.2"/>
    <s v="Hungry Coyote Import Store"/>
    <s v="City Center Plaza516 Main St."/>
    <x v="50"/>
    <s v="OR"/>
    <s v="97827"/>
    <x v="8"/>
    <n v="2"/>
  </r>
  <r>
    <n v="10416"/>
    <x v="16"/>
    <n v="8"/>
    <x v="140"/>
    <d v="1995-03-16T00:00:00"/>
    <d v="1995-02-27T00:00:00"/>
    <n v="3"/>
    <n v="22.72"/>
    <s v="Wartian Herkku"/>
    <s v="Torikatu 38"/>
    <x v="15"/>
    <s v="unknown"/>
    <s v="90110"/>
    <x v="10"/>
    <n v="2"/>
  </r>
  <r>
    <n v="10417"/>
    <x v="51"/>
    <n v="4"/>
    <x v="140"/>
    <d v="1995-03-16T00:00:00"/>
    <d v="1995-02-28T00:00:00"/>
    <n v="3"/>
    <n v="70.290000000000006"/>
    <s v="Simons bistro"/>
    <s v="VinbÃ¦ltet 34"/>
    <x v="42"/>
    <s v="unknown"/>
    <s v="1734"/>
    <x v="17"/>
    <n v="2"/>
  </r>
  <r>
    <n v="10418"/>
    <x v="21"/>
    <n v="4"/>
    <x v="141"/>
    <d v="1995-03-17T00:00:00"/>
    <d v="1995-02-24T00:00:00"/>
    <n v="1"/>
    <n v="17.55"/>
    <s v="QUICK-Stop"/>
    <s v="TaucherstraÃŸe 10"/>
    <x v="20"/>
    <s v="unknown"/>
    <s v="01307"/>
    <x v="1"/>
    <n v="2"/>
  </r>
  <r>
    <n v="10419"/>
    <x v="6"/>
    <n v="4"/>
    <x v="142"/>
    <d v="1995-03-20T00:00:00"/>
    <d v="1995-03-02T00:00:00"/>
    <n v="2"/>
    <n v="137.35"/>
    <s v="Richter Supermarkt"/>
    <s v="Starenweg 5"/>
    <x v="6"/>
    <s v="unknown"/>
    <s v="1204"/>
    <x v="4"/>
    <n v="2"/>
  </r>
  <r>
    <n v="10420"/>
    <x v="7"/>
    <n v="3"/>
    <x v="143"/>
    <d v="1995-03-21T00:00:00"/>
    <d v="1995-02-27T00:00:00"/>
    <n v="1"/>
    <n v="44.12"/>
    <s v="Wellington Importadora"/>
    <s v="Rua do Mercado, 12"/>
    <x v="7"/>
    <s v="SP"/>
    <s v="08737-363"/>
    <x v="2"/>
    <n v="2"/>
  </r>
  <r>
    <n v="10421"/>
    <x v="12"/>
    <n v="8"/>
    <x v="143"/>
    <d v="1995-04-04T00:00:00"/>
    <d v="1995-02-27T00:00:00"/>
    <n v="1"/>
    <n v="99.23"/>
    <s v="Que DelÃ­cia"/>
    <s v="Rua da Panificadora, 12"/>
    <x v="2"/>
    <s v="RJ"/>
    <s v="02389-673"/>
    <x v="2"/>
    <n v="2"/>
  </r>
  <r>
    <n v="10422"/>
    <x v="70"/>
    <n v="2"/>
    <x v="144"/>
    <d v="1995-03-22T00:00:00"/>
    <d v="1995-03-03T00:00:00"/>
    <n v="1"/>
    <n v="3.02"/>
    <s v="Franchi S.p.A."/>
    <s v="Via Monte Bianco 34"/>
    <x v="56"/>
    <s v="unknown"/>
    <s v="10100"/>
    <x v="11"/>
    <n v="2"/>
  </r>
  <r>
    <n v="10423"/>
    <x v="71"/>
    <n v="6"/>
    <x v="145"/>
    <d v="1995-03-09T00:00:00"/>
    <d v="1995-03-27T00:00:00"/>
    <n v="3"/>
    <n v="24.5"/>
    <s v="Gourmet Lanchonetes"/>
    <s v="Av. Brasil, 442"/>
    <x v="57"/>
    <s v="SP"/>
    <s v="04876-786"/>
    <x v="2"/>
    <n v="2"/>
  </r>
  <r>
    <n v="10424"/>
    <x v="49"/>
    <n v="7"/>
    <x v="145"/>
    <d v="1995-03-23T00:00:00"/>
    <d v="1995-02-27T00:00:00"/>
    <n v="2"/>
    <n v="370.61"/>
    <s v="MÃ¨re Paillarde"/>
    <s v="43 rue St. Laurent"/>
    <x v="41"/>
    <s v="QuÃ©bec"/>
    <s v="H1J 1C3"/>
    <x v="16"/>
    <n v="2"/>
  </r>
  <r>
    <n v="10425"/>
    <x v="53"/>
    <n v="6"/>
    <x v="146"/>
    <d v="1995-03-24T00:00:00"/>
    <d v="1995-03-17T00:00:00"/>
    <n v="2"/>
    <n v="7.93"/>
    <s v="La maison d'Asie"/>
    <s v="1 rue Alsace-Lorraine"/>
    <x v="43"/>
    <s v="unknown"/>
    <s v="31000"/>
    <x v="0"/>
    <n v="2"/>
  </r>
  <r>
    <n v="10426"/>
    <x v="60"/>
    <n v="4"/>
    <x v="147"/>
    <d v="1995-03-27T00:00:00"/>
    <d v="1995-03-09T00:00:00"/>
    <n v="1"/>
    <n v="18.690000000000001"/>
    <s v="GalerÃ­a del gastronÃ³mo"/>
    <s v="Rambla de CataluÃ±a, 23"/>
    <x v="47"/>
    <s v="unknown"/>
    <s v="8022"/>
    <x v="12"/>
    <n v="2"/>
  </r>
  <r>
    <n v="10427"/>
    <x v="54"/>
    <n v="4"/>
    <x v="147"/>
    <d v="1995-03-27T00:00:00"/>
    <d v="1995-04-03T00:00:00"/>
    <n v="2"/>
    <n v="31.29"/>
    <s v="Piccolo und mehr"/>
    <s v="Geislweg 14"/>
    <x v="44"/>
    <s v="unknown"/>
    <s v="5020"/>
    <x v="6"/>
    <n v="2"/>
  </r>
  <r>
    <n v="10428"/>
    <x v="30"/>
    <n v="7"/>
    <x v="148"/>
    <d v="1995-03-28T00:00:00"/>
    <d v="1995-03-07T00:00:00"/>
    <n v="1"/>
    <n v="11.09"/>
    <s v="Reggiani Caseifici"/>
    <s v="Strada Provinciale 124"/>
    <x v="27"/>
    <s v="unknown"/>
    <s v="42100"/>
    <x v="11"/>
    <n v="2"/>
  </r>
  <r>
    <n v="10429"/>
    <x v="34"/>
    <n v="3"/>
    <x v="149"/>
    <d v="1995-04-12T00:00:00"/>
    <d v="1995-03-10T00:00:00"/>
    <n v="2"/>
    <n v="56.63"/>
    <s v="Hungry Owl All-Night Grocers"/>
    <s v="8 Johnstown Road"/>
    <x v="30"/>
    <s v="Co. Cork"/>
    <s v="unknown"/>
    <x v="14"/>
    <n v="3"/>
  </r>
  <r>
    <n v="10430"/>
    <x v="9"/>
    <n v="4"/>
    <x v="150"/>
    <d v="1995-03-16T00:00:00"/>
    <d v="1995-03-06T00:00:00"/>
    <n v="1"/>
    <n v="458.78"/>
    <s v="Ernst Handel"/>
    <s v="Kirchgasse 6"/>
    <x v="9"/>
    <s v="unknown"/>
    <s v="8010"/>
    <x v="6"/>
    <n v="3"/>
  </r>
  <r>
    <n v="10431"/>
    <x v="66"/>
    <n v="4"/>
    <x v="150"/>
    <d v="1995-03-16T00:00:00"/>
    <d v="1995-03-10T00:00:00"/>
    <n v="2"/>
    <n v="44.17"/>
    <s v="Bottom-Dollar Markets"/>
    <s v="23 Tsawassen Blvd."/>
    <x v="52"/>
    <s v="BC"/>
    <s v="T2F 8M4"/>
    <x v="16"/>
    <n v="3"/>
  </r>
  <r>
    <n v="10432"/>
    <x v="20"/>
    <n v="3"/>
    <x v="151"/>
    <d v="1995-03-17T00:00:00"/>
    <d v="1995-03-10T00:00:00"/>
    <n v="2"/>
    <n v="4.34"/>
    <s v="Split Rail Beer &amp; Ale"/>
    <s v="P.O. Box 555"/>
    <x v="19"/>
    <s v="WY"/>
    <s v="82520"/>
    <x v="8"/>
    <n v="3"/>
  </r>
  <r>
    <n v="10433"/>
    <x v="50"/>
    <n v="3"/>
    <x v="152"/>
    <d v="1995-04-03T00:00:00"/>
    <d v="1995-04-04T00:00:00"/>
    <n v="3"/>
    <n v="73.83"/>
    <s v="Princesa Isabel Vinhos"/>
    <s v="Estrada da saÃºde n. 58"/>
    <x v="39"/>
    <s v="unknown"/>
    <s v="1756"/>
    <x v="15"/>
    <n v="3"/>
  </r>
  <r>
    <n v="10434"/>
    <x v="14"/>
    <n v="3"/>
    <x v="152"/>
    <d v="1995-04-03T00:00:00"/>
    <d v="1995-03-16T00:00:00"/>
    <n v="2"/>
    <n v="17.920000000000002"/>
    <s v="Folk och fÃ¤ HB"/>
    <s v="Ã…kergatan 24"/>
    <x v="13"/>
    <s v="unknown"/>
    <s v="S-844 67"/>
    <x v="9"/>
    <n v="3"/>
  </r>
  <r>
    <n v="10435"/>
    <x v="72"/>
    <n v="8"/>
    <x v="153"/>
    <d v="1995-04-18T00:00:00"/>
    <d v="1995-03-10T00:00:00"/>
    <n v="2"/>
    <n v="9.2100000000000009"/>
    <s v="Consolidated Holdings"/>
    <s v="Berkeley Gardens12  Brewery"/>
    <x v="28"/>
    <s v="unknown"/>
    <s v="WX1 6LT"/>
    <x v="13"/>
    <n v="3"/>
  </r>
  <r>
    <n v="10436"/>
    <x v="15"/>
    <n v="3"/>
    <x v="154"/>
    <d v="1995-04-05T00:00:00"/>
    <d v="1995-03-14T00:00:00"/>
    <n v="2"/>
    <n v="156.66"/>
    <s v="Blondel pÃ¨re et fils"/>
    <s v="24, place KlÃ©ber"/>
    <x v="14"/>
    <s v="unknown"/>
    <s v="67000"/>
    <x v="0"/>
    <n v="3"/>
  </r>
  <r>
    <n v="10437"/>
    <x v="16"/>
    <n v="8"/>
    <x v="154"/>
    <d v="1995-04-05T00:00:00"/>
    <d v="1995-03-15T00:00:00"/>
    <n v="1"/>
    <n v="19.97"/>
    <s v="Wartian Herkku"/>
    <s v="Torikatu 38"/>
    <x v="15"/>
    <s v="unknown"/>
    <s v="90110"/>
    <x v="10"/>
    <n v="3"/>
  </r>
  <r>
    <n v="10438"/>
    <x v="1"/>
    <n v="3"/>
    <x v="155"/>
    <d v="1995-04-06T00:00:00"/>
    <d v="1995-03-17T00:00:00"/>
    <n v="2"/>
    <n v="8.24"/>
    <s v="Toms SpezialitÃ¤ten"/>
    <s v="Luisenstr. 48"/>
    <x v="1"/>
    <s v="unknown"/>
    <s v="44087"/>
    <x v="1"/>
    <n v="3"/>
  </r>
  <r>
    <n v="10439"/>
    <x v="49"/>
    <n v="6"/>
    <x v="156"/>
    <d v="1995-04-07T00:00:00"/>
    <d v="1995-03-13T00:00:00"/>
    <n v="3"/>
    <n v="4.07"/>
    <s v="MÃ¨re Paillarde"/>
    <s v="43 rue St. Laurent"/>
    <x v="41"/>
    <s v="QuÃ©bec"/>
    <s v="H1J 1C3"/>
    <x v="16"/>
    <n v="3"/>
  </r>
  <r>
    <n v="10440"/>
    <x v="45"/>
    <n v="4"/>
    <x v="157"/>
    <d v="1995-04-10T00:00:00"/>
    <d v="1995-03-31T00:00:00"/>
    <n v="2"/>
    <n v="86.53"/>
    <s v="Save-a-lot Markets"/>
    <s v="187 Suffolk Ln."/>
    <x v="38"/>
    <s v="ID"/>
    <s v="83720"/>
    <x v="8"/>
    <n v="3"/>
  </r>
  <r>
    <n v="10441"/>
    <x v="37"/>
    <n v="3"/>
    <x v="157"/>
    <d v="1995-04-24T00:00:00"/>
    <d v="1995-04-14T00:00:00"/>
    <n v="2"/>
    <n v="73.02"/>
    <s v="Old World Delicatessen"/>
    <s v="2743 Bering St."/>
    <x v="33"/>
    <s v="AK"/>
    <s v="99508"/>
    <x v="8"/>
    <n v="3"/>
  </r>
  <r>
    <n v="10442"/>
    <x v="9"/>
    <n v="3"/>
    <x v="158"/>
    <d v="1995-04-11T00:00:00"/>
    <d v="1995-03-21T00:00:00"/>
    <n v="2"/>
    <n v="47.94"/>
    <s v="Ernst Handel"/>
    <s v="Kirchgasse 6"/>
    <x v="9"/>
    <s v="unknown"/>
    <s v="8010"/>
    <x v="6"/>
    <n v="3"/>
  </r>
  <r>
    <n v="10443"/>
    <x v="30"/>
    <n v="8"/>
    <x v="159"/>
    <d v="1995-04-12T00:00:00"/>
    <d v="1995-03-17T00:00:00"/>
    <n v="1"/>
    <n v="13.95"/>
    <s v="Reggiani Caseifici"/>
    <s v="Strada Provinciale 124"/>
    <x v="27"/>
    <s v="unknown"/>
    <s v="42100"/>
    <x v="11"/>
    <n v="3"/>
  </r>
  <r>
    <n v="10444"/>
    <x v="25"/>
    <n v="3"/>
    <x v="159"/>
    <d v="1995-04-12T00:00:00"/>
    <d v="1995-03-24T00:00:00"/>
    <n v="3"/>
    <n v="3.5"/>
    <s v="Berglunds snabbkÃ¶p"/>
    <s v="BerguvsvÃ¤gen  8"/>
    <x v="23"/>
    <s v="unknown"/>
    <s v="S-958 22"/>
    <x v="9"/>
    <n v="3"/>
  </r>
  <r>
    <n v="10445"/>
    <x v="25"/>
    <n v="3"/>
    <x v="160"/>
    <d v="1995-04-13T00:00:00"/>
    <d v="1995-03-23T00:00:00"/>
    <n v="1"/>
    <n v="9.3000000000000007"/>
    <s v="Berglunds snabbkÃ¶p"/>
    <s v="BerguvsvÃ¤gen  8"/>
    <x v="23"/>
    <s v="unknown"/>
    <s v="S-958 22"/>
    <x v="9"/>
    <n v="3"/>
  </r>
  <r>
    <n v="10446"/>
    <x v="1"/>
    <n v="6"/>
    <x v="161"/>
    <d v="1995-04-14T00:00:00"/>
    <d v="1995-03-22T00:00:00"/>
    <n v="1"/>
    <n v="14.68"/>
    <s v="Toms SpezialitÃ¤ten"/>
    <s v="Luisenstr. 48"/>
    <x v="1"/>
    <s v="unknown"/>
    <s v="44087"/>
    <x v="1"/>
    <n v="3"/>
  </r>
  <r>
    <n v="10447"/>
    <x v="29"/>
    <n v="4"/>
    <x v="161"/>
    <d v="1995-04-14T00:00:00"/>
    <d v="1995-04-07T00:00:00"/>
    <n v="2"/>
    <n v="68.66"/>
    <s v="Ricardo Adocicados"/>
    <s v="Av. Copacabana, 267"/>
    <x v="2"/>
    <s v="RJ"/>
    <s v="02389-890"/>
    <x v="2"/>
    <n v="3"/>
  </r>
  <r>
    <n v="10448"/>
    <x v="73"/>
    <n v="4"/>
    <x v="162"/>
    <d v="1995-04-17T00:00:00"/>
    <d v="1995-03-27T00:00:00"/>
    <n v="2"/>
    <n v="38.82"/>
    <s v="Rancho grande"/>
    <s v="Av. del Libertador 900"/>
    <x v="55"/>
    <s v="unknown"/>
    <s v="1010"/>
    <x v="20"/>
    <n v="3"/>
  </r>
  <r>
    <n v="10449"/>
    <x v="15"/>
    <n v="3"/>
    <x v="163"/>
    <d v="1995-04-18T00:00:00"/>
    <d v="1995-03-30T00:00:00"/>
    <n v="2"/>
    <n v="53.3"/>
    <s v="Blondel pÃ¨re et fils"/>
    <s v="24, place KlÃ©ber"/>
    <x v="14"/>
    <s v="unknown"/>
    <s v="67000"/>
    <x v="0"/>
    <n v="3"/>
  </r>
  <r>
    <n v="10450"/>
    <x v="3"/>
    <n v="8"/>
    <x v="164"/>
    <d v="1995-04-19T00:00:00"/>
    <d v="1995-04-11T00:00:00"/>
    <n v="2"/>
    <n v="7.23"/>
    <s v="Victuailles en stock"/>
    <s v="2, rue du Commerce"/>
    <x v="3"/>
    <s v="unknown"/>
    <s v="69004"/>
    <x v="0"/>
    <n v="3"/>
  </r>
  <r>
    <n v="10451"/>
    <x v="21"/>
    <n v="4"/>
    <x v="164"/>
    <d v="1995-04-05T00:00:00"/>
    <d v="1995-04-12T00:00:00"/>
    <n v="3"/>
    <n v="189.09"/>
    <s v="QUICK-Stop"/>
    <s v="TaucherstraÃŸe 10"/>
    <x v="20"/>
    <s v="unknown"/>
    <s v="01307"/>
    <x v="1"/>
    <n v="3"/>
  </r>
  <r>
    <n v="10452"/>
    <x v="45"/>
    <n v="8"/>
    <x v="165"/>
    <d v="1995-04-20T00:00:00"/>
    <d v="1995-03-29T00:00:00"/>
    <n v="1"/>
    <n v="140.26"/>
    <s v="Save-a-lot Markets"/>
    <s v="187 Suffolk Ln."/>
    <x v="38"/>
    <s v="ID"/>
    <s v="83720"/>
    <x v="8"/>
    <n v="3"/>
  </r>
  <r>
    <n v="10453"/>
    <x v="55"/>
    <n v="1"/>
    <x v="166"/>
    <d v="1995-04-21T00:00:00"/>
    <d v="1995-03-29T00:00:00"/>
    <n v="2"/>
    <n v="25.36"/>
    <s v="Around the Horn"/>
    <s v="Brook FarmStratford St. Mary"/>
    <x v="45"/>
    <s v="Essex"/>
    <s v="CO7 6JX"/>
    <x v="13"/>
    <n v="3"/>
  </r>
  <r>
    <n v="10454"/>
    <x v="53"/>
    <n v="4"/>
    <x v="166"/>
    <d v="1995-04-21T00:00:00"/>
    <d v="1995-03-28T00:00:00"/>
    <n v="3"/>
    <n v="2.74"/>
    <s v="La maison d'Asie"/>
    <s v="1 rue Alsace-Lorraine"/>
    <x v="43"/>
    <s v="unknown"/>
    <s v="31000"/>
    <x v="0"/>
    <n v="3"/>
  </r>
  <r>
    <n v="10455"/>
    <x v="16"/>
    <n v="8"/>
    <x v="167"/>
    <d v="1995-05-08T00:00:00"/>
    <d v="1995-04-03T00:00:00"/>
    <n v="2"/>
    <n v="180.45"/>
    <s v="Wartian Herkku"/>
    <s v="Torikatu 38"/>
    <x v="15"/>
    <s v="unknown"/>
    <s v="90110"/>
    <x v="10"/>
    <n v="3"/>
  </r>
  <r>
    <n v="10456"/>
    <x v="44"/>
    <n v="8"/>
    <x v="168"/>
    <d v="1995-05-09T00:00:00"/>
    <d v="1995-03-31T00:00:00"/>
    <n v="2"/>
    <n v="8.1199999999999992"/>
    <s v="KÃ¶niglich Essen"/>
    <s v="Maubelstr. 90"/>
    <x v="37"/>
    <s v="unknown"/>
    <s v="14776"/>
    <x v="1"/>
    <n v="3"/>
  </r>
  <r>
    <n v="10457"/>
    <x v="44"/>
    <n v="2"/>
    <x v="168"/>
    <d v="1995-04-25T00:00:00"/>
    <d v="1995-04-03T00:00:00"/>
    <n v="1"/>
    <n v="11.57"/>
    <s v="KÃ¶niglich Essen"/>
    <s v="Maubelstr. 90"/>
    <x v="37"/>
    <s v="unknown"/>
    <s v="14776"/>
    <x v="1"/>
    <n v="3"/>
  </r>
  <r>
    <n v="10458"/>
    <x v="4"/>
    <n v="7"/>
    <x v="169"/>
    <d v="1995-04-26T00:00:00"/>
    <d v="1995-04-04T00:00:00"/>
    <n v="3"/>
    <n v="147.06"/>
    <s v="SuprÃªmes dÃ©lices"/>
    <s v="Boulevard Tirou, 255"/>
    <x v="4"/>
    <s v="unknown"/>
    <s v="B-6000"/>
    <x v="3"/>
    <n v="3"/>
  </r>
  <r>
    <n v="10459"/>
    <x v="3"/>
    <n v="4"/>
    <x v="170"/>
    <d v="1995-04-27T00:00:00"/>
    <d v="1995-03-31T00:00:00"/>
    <n v="2"/>
    <n v="25.09"/>
    <s v="Victuailles en stock"/>
    <s v="2, rue du Commerce"/>
    <x v="3"/>
    <s v="unknown"/>
    <s v="69004"/>
    <x v="0"/>
    <n v="3"/>
  </r>
  <r>
    <n v="10460"/>
    <x v="14"/>
    <n v="8"/>
    <x v="171"/>
    <d v="1995-04-28T00:00:00"/>
    <d v="1995-04-03T00:00:00"/>
    <n v="1"/>
    <n v="16.27"/>
    <s v="Folk och fÃ¤ HB"/>
    <s v="Ã…kergatan 24"/>
    <x v="13"/>
    <s v="unknown"/>
    <s v="S-844 67"/>
    <x v="9"/>
    <n v="3"/>
  </r>
  <r>
    <n v="10461"/>
    <x v="28"/>
    <n v="1"/>
    <x v="171"/>
    <d v="1995-04-28T00:00:00"/>
    <d v="1995-04-05T00:00:00"/>
    <n v="3"/>
    <n v="148.61000000000001"/>
    <s v="LILA-Supermercado"/>
    <s v="Carrera 52 con Ave. BolÃ­var #65-98 Llano Largo"/>
    <x v="26"/>
    <s v="Lara"/>
    <s v="3508"/>
    <x v="5"/>
    <n v="3"/>
  </r>
  <r>
    <n v="10462"/>
    <x v="72"/>
    <n v="2"/>
    <x v="172"/>
    <d v="1995-05-01T00:00:00"/>
    <d v="1995-04-18T00:00:00"/>
    <n v="1"/>
    <n v="6.17"/>
    <s v="Consolidated Holdings"/>
    <s v="Berkeley Gardens12  Brewery"/>
    <x v="28"/>
    <s v="unknown"/>
    <s v="WX1 6LT"/>
    <x v="13"/>
    <n v="4"/>
  </r>
  <r>
    <n v="10463"/>
    <x v="4"/>
    <n v="5"/>
    <x v="173"/>
    <d v="1995-05-02T00:00:00"/>
    <d v="1995-04-06T00:00:00"/>
    <n v="3"/>
    <n v="14.78"/>
    <s v="SuprÃªmes dÃ©lices"/>
    <s v="Boulevard Tirou, 255"/>
    <x v="4"/>
    <s v="unknown"/>
    <s v="B-6000"/>
    <x v="3"/>
    <n v="4"/>
  </r>
  <r>
    <n v="10464"/>
    <x v="47"/>
    <n v="4"/>
    <x v="173"/>
    <d v="1995-05-02T00:00:00"/>
    <d v="1995-04-14T00:00:00"/>
    <n v="2"/>
    <n v="89"/>
    <s v="Furia Bacalhau e Frutos do Mar"/>
    <s v="Jardim das rosas n. 32"/>
    <x v="39"/>
    <s v="unknown"/>
    <s v="1675"/>
    <x v="15"/>
    <n v="4"/>
  </r>
  <r>
    <n v="10465"/>
    <x v="61"/>
    <n v="1"/>
    <x v="174"/>
    <d v="1995-05-03T00:00:00"/>
    <d v="1995-04-14T00:00:00"/>
    <n v="3"/>
    <n v="145.04"/>
    <s v="Vaffeljernet"/>
    <s v="SmagslÃ¸get 45"/>
    <x v="48"/>
    <s v="unknown"/>
    <s v="8200"/>
    <x v="17"/>
    <n v="4"/>
  </r>
  <r>
    <n v="10466"/>
    <x v="32"/>
    <n v="4"/>
    <x v="175"/>
    <d v="1995-05-04T00:00:00"/>
    <d v="1995-04-13T00:00:00"/>
    <n v="1"/>
    <n v="11.93"/>
    <s v="ComÃ©rcio Mineiro"/>
    <s v="Av. dos LusÃ­adas, 23"/>
    <x v="29"/>
    <s v="SP"/>
    <s v="05432-043"/>
    <x v="2"/>
    <n v="4"/>
  </r>
  <r>
    <n v="10467"/>
    <x v="22"/>
    <n v="8"/>
    <x v="175"/>
    <d v="1995-05-04T00:00:00"/>
    <d v="1995-04-11T00:00:00"/>
    <n v="2"/>
    <n v="4.93"/>
    <s v="Magazzini Alimentari Riuniti"/>
    <s v="Via Ludovico il Moro 22"/>
    <x v="21"/>
    <s v="unknown"/>
    <s v="24100"/>
    <x v="11"/>
    <n v="4"/>
  </r>
  <r>
    <n v="10468"/>
    <x v="44"/>
    <n v="3"/>
    <x v="176"/>
    <d v="1995-05-05T00:00:00"/>
    <d v="1995-04-12T00:00:00"/>
    <n v="3"/>
    <n v="44.12"/>
    <s v="KÃ¶niglich Essen"/>
    <s v="Maubelstr. 90"/>
    <x v="37"/>
    <s v="unknown"/>
    <s v="14776"/>
    <x v="1"/>
    <n v="4"/>
  </r>
  <r>
    <n v="10469"/>
    <x v="19"/>
    <n v="1"/>
    <x v="177"/>
    <d v="1995-05-08T00:00:00"/>
    <d v="1995-04-14T00:00:00"/>
    <n v="1"/>
    <n v="60.18"/>
    <s v="White Clover Markets"/>
    <s v="1029 - 12th Ave. S."/>
    <x v="18"/>
    <s v="WA"/>
    <s v="98124"/>
    <x v="8"/>
    <n v="4"/>
  </r>
  <r>
    <n v="10470"/>
    <x v="48"/>
    <n v="4"/>
    <x v="178"/>
    <d v="1995-05-09T00:00:00"/>
    <d v="1995-04-14T00:00:00"/>
    <n v="2"/>
    <n v="64.56"/>
    <s v="Bon app'"/>
    <s v="12, rue des Bouchers"/>
    <x v="40"/>
    <s v="unknown"/>
    <s v="13008"/>
    <x v="0"/>
    <n v="4"/>
  </r>
  <r>
    <n v="10471"/>
    <x v="31"/>
    <n v="2"/>
    <x v="178"/>
    <d v="1995-05-09T00:00:00"/>
    <d v="1995-04-18T00:00:00"/>
    <n v="3"/>
    <n v="45.59"/>
    <s v="B's Beverages"/>
    <s v="Fauntleroy Circus"/>
    <x v="28"/>
    <s v="unknown"/>
    <s v="EC2 5NT"/>
    <x v="13"/>
    <n v="4"/>
  </r>
  <r>
    <n v="10472"/>
    <x v="56"/>
    <n v="8"/>
    <x v="179"/>
    <d v="1995-05-10T00:00:00"/>
    <d v="1995-04-19T00:00:00"/>
    <n v="1"/>
    <n v="4.2"/>
    <s v="Seven Seas Imports"/>
    <s v="90 Wadhurst Rd."/>
    <x v="28"/>
    <s v="unknown"/>
    <s v="OX15 4NB"/>
    <x v="13"/>
    <n v="4"/>
  </r>
  <r>
    <n v="10473"/>
    <x v="42"/>
    <n v="1"/>
    <x v="180"/>
    <d v="1995-04-27T00:00:00"/>
    <d v="1995-04-21T00:00:00"/>
    <n v="3"/>
    <n v="16.37"/>
    <s v="Island Trading"/>
    <s v="Garden HouseCrowther Way"/>
    <x v="36"/>
    <s v="Isle of Wight"/>
    <s v="PO31 7PJ"/>
    <x v="13"/>
    <n v="4"/>
  </r>
  <r>
    <n v="10474"/>
    <x v="43"/>
    <n v="5"/>
    <x v="180"/>
    <d v="1995-05-11T00:00:00"/>
    <d v="1995-04-21T00:00:00"/>
    <n v="2"/>
    <n v="83.49"/>
    <s v="Pericles Comidas clÃ¡sicas"/>
    <s v="Calle Dr. Jorge Cash 321"/>
    <x v="10"/>
    <s v="unknown"/>
    <s v="05033"/>
    <x v="7"/>
    <n v="4"/>
  </r>
  <r>
    <n v="10475"/>
    <x v="4"/>
    <n v="9"/>
    <x v="181"/>
    <d v="1995-05-12T00:00:00"/>
    <d v="1995-05-05T00:00:00"/>
    <n v="1"/>
    <n v="68.52"/>
    <s v="SuprÃªmes dÃ©lices"/>
    <s v="Boulevard Tirou, 255"/>
    <x v="4"/>
    <s v="unknown"/>
    <s v="B-6000"/>
    <x v="3"/>
    <n v="4"/>
  </r>
  <r>
    <n v="10476"/>
    <x v="8"/>
    <n v="8"/>
    <x v="182"/>
    <d v="1995-05-15T00:00:00"/>
    <d v="1995-04-24T00:00:00"/>
    <n v="3"/>
    <n v="4.41"/>
    <s v="HILARIÃ“N-Abastos"/>
    <s v="Carrera 22 con Ave. Carlos Soublette #8-35"/>
    <x v="8"/>
    <s v="TÃ¡chira"/>
    <s v="5022"/>
    <x v="5"/>
    <n v="4"/>
  </r>
  <r>
    <n v="10477"/>
    <x v="50"/>
    <n v="5"/>
    <x v="182"/>
    <d v="1995-05-15T00:00:00"/>
    <d v="1995-04-25T00:00:00"/>
    <n v="2"/>
    <n v="13.02"/>
    <s v="Princesa Isabel Vinhos"/>
    <s v="Estrada da saÃºde n. 58"/>
    <x v="39"/>
    <s v="unknown"/>
    <s v="1756"/>
    <x v="15"/>
    <n v="4"/>
  </r>
  <r>
    <n v="10478"/>
    <x v="3"/>
    <n v="2"/>
    <x v="183"/>
    <d v="1995-05-02T00:00:00"/>
    <d v="1995-04-26T00:00:00"/>
    <n v="3"/>
    <n v="4.8099999999999996"/>
    <s v="Victuailles en stock"/>
    <s v="2, rue du Commerce"/>
    <x v="3"/>
    <s v="unknown"/>
    <s v="69004"/>
    <x v="0"/>
    <n v="4"/>
  </r>
  <r>
    <n v="10479"/>
    <x v="13"/>
    <n v="3"/>
    <x v="184"/>
    <d v="1995-05-17T00:00:00"/>
    <d v="1995-04-21T00:00:00"/>
    <n v="3"/>
    <n v="708.95"/>
    <s v="Rattlesnake Canyon Grocery"/>
    <s v="2817 Milton Dr."/>
    <x v="12"/>
    <s v="NM"/>
    <s v="87110"/>
    <x v="8"/>
    <n v="4"/>
  </r>
  <r>
    <n v="10480"/>
    <x v="68"/>
    <n v="6"/>
    <x v="185"/>
    <d v="1995-05-18T00:00:00"/>
    <d v="1995-04-24T00:00:00"/>
    <n v="2"/>
    <n v="1.35"/>
    <s v="Folies gourmandes"/>
    <s v="184, chaussÃ©e de Tournai"/>
    <x v="54"/>
    <s v="unknown"/>
    <s v="59000"/>
    <x v="0"/>
    <n v="4"/>
  </r>
  <r>
    <n v="10481"/>
    <x v="29"/>
    <n v="8"/>
    <x v="185"/>
    <d v="1995-05-18T00:00:00"/>
    <d v="1995-04-25T00:00:00"/>
    <n v="2"/>
    <n v="64.33"/>
    <s v="Ricardo Adocicados"/>
    <s v="Av. Copacabana, 267"/>
    <x v="2"/>
    <s v="RJ"/>
    <s v="02389-890"/>
    <x v="2"/>
    <n v="4"/>
  </r>
  <r>
    <n v="10482"/>
    <x v="74"/>
    <n v="1"/>
    <x v="186"/>
    <d v="1995-05-19T00:00:00"/>
    <d v="1995-05-11T00:00:00"/>
    <n v="3"/>
    <n v="7.48"/>
    <s v="Lazy K Kountry Store"/>
    <s v="12 Orchestra Terrace"/>
    <x v="58"/>
    <s v="WA"/>
    <s v="99362"/>
    <x v="8"/>
    <n v="4"/>
  </r>
  <r>
    <n v="10483"/>
    <x v="19"/>
    <n v="7"/>
    <x v="187"/>
    <d v="1995-05-22T00:00:00"/>
    <d v="1995-05-26T00:00:00"/>
    <n v="2"/>
    <n v="15.28"/>
    <s v="White Clover Markets"/>
    <s v="1029 - 12th Ave. S."/>
    <x v="18"/>
    <s v="WA"/>
    <s v="98124"/>
    <x v="8"/>
    <n v="4"/>
  </r>
  <r>
    <n v="10484"/>
    <x v="31"/>
    <n v="3"/>
    <x v="187"/>
    <d v="1995-05-22T00:00:00"/>
    <d v="1995-05-02T00:00:00"/>
    <n v="3"/>
    <n v="6.88"/>
    <s v="B's Beverages"/>
    <s v="Fauntleroy Circus"/>
    <x v="28"/>
    <s v="unknown"/>
    <s v="EC2 5NT"/>
    <x v="13"/>
    <n v="4"/>
  </r>
  <r>
    <n v="10485"/>
    <x v="67"/>
    <n v="4"/>
    <x v="188"/>
    <d v="1995-05-09T00:00:00"/>
    <d v="1995-05-01T00:00:00"/>
    <n v="2"/>
    <n v="64.45"/>
    <s v="LINO-Delicateses"/>
    <s v="Ave. 5 de Mayo Porlamar"/>
    <x v="53"/>
    <s v="Nueva Esparta"/>
    <s v="4980"/>
    <x v="5"/>
    <n v="4"/>
  </r>
  <r>
    <n v="10486"/>
    <x v="8"/>
    <n v="1"/>
    <x v="189"/>
    <d v="1995-05-24T00:00:00"/>
    <d v="1995-05-03T00:00:00"/>
    <n v="2"/>
    <n v="30.53"/>
    <s v="HILARIÃ“N-Abastos"/>
    <s v="Carrera 22 con Ave. Carlos Soublette #8-35"/>
    <x v="8"/>
    <s v="TÃ¡chira"/>
    <s v="5022"/>
    <x v="5"/>
    <n v="4"/>
  </r>
  <r>
    <n v="10487"/>
    <x v="62"/>
    <n v="2"/>
    <x v="189"/>
    <d v="1995-05-24T00:00:00"/>
    <d v="1995-04-28T00:00:00"/>
    <n v="2"/>
    <n v="71.069999999999993"/>
    <s v="Queen Cozinha"/>
    <s v="Alameda dos CanÃ rios, 891"/>
    <x v="29"/>
    <s v="SP"/>
    <s v="05487-020"/>
    <x v="2"/>
    <n v="4"/>
  </r>
  <r>
    <n v="10488"/>
    <x v="17"/>
    <n v="8"/>
    <x v="190"/>
    <d v="1995-05-25T00:00:00"/>
    <d v="1995-05-03T00:00:00"/>
    <n v="2"/>
    <n v="4.93"/>
    <s v="Frankenversand"/>
    <s v="Berliner Platz 43"/>
    <x v="16"/>
    <s v="unknown"/>
    <s v="80805"/>
    <x v="1"/>
    <n v="4"/>
  </r>
  <r>
    <n v="10489"/>
    <x v="54"/>
    <n v="6"/>
    <x v="191"/>
    <d v="1995-05-26T00:00:00"/>
    <d v="1995-05-10T00:00:00"/>
    <n v="2"/>
    <n v="5.29"/>
    <s v="Piccolo und mehr"/>
    <s v="Geislweg 14"/>
    <x v="44"/>
    <s v="unknown"/>
    <s v="5020"/>
    <x v="6"/>
    <n v="4"/>
  </r>
  <r>
    <n v="10490"/>
    <x v="8"/>
    <n v="7"/>
    <x v="192"/>
    <d v="1995-05-29T00:00:00"/>
    <d v="1995-05-04T00:00:00"/>
    <n v="2"/>
    <n v="210.19"/>
    <s v="HILARIÃ“N-Abastos"/>
    <s v="Carrera 22 con Ave. Carlos Soublette #8-35"/>
    <x v="8"/>
    <s v="TÃ¡chira"/>
    <s v="5022"/>
    <x v="5"/>
    <n v="5"/>
  </r>
  <r>
    <n v="10491"/>
    <x v="47"/>
    <n v="8"/>
    <x v="192"/>
    <d v="1995-05-29T00:00:00"/>
    <d v="1995-05-09T00:00:00"/>
    <n v="3"/>
    <n v="16.96"/>
    <s v="Furia Bacalhau e Frutos do Mar"/>
    <s v="Jardim das rosas n. 32"/>
    <x v="39"/>
    <s v="unknown"/>
    <s v="1675"/>
    <x v="15"/>
    <n v="5"/>
  </r>
  <r>
    <n v="10492"/>
    <x v="66"/>
    <n v="3"/>
    <x v="193"/>
    <d v="1995-05-30T00:00:00"/>
    <d v="1995-05-12T00:00:00"/>
    <n v="1"/>
    <n v="62.89"/>
    <s v="Bottom-Dollar Markets"/>
    <s v="23 Tsawassen Blvd."/>
    <x v="52"/>
    <s v="BC"/>
    <s v="T2F 8M4"/>
    <x v="16"/>
    <n v="5"/>
  </r>
  <r>
    <n v="10493"/>
    <x v="53"/>
    <n v="4"/>
    <x v="194"/>
    <d v="1995-05-31T00:00:00"/>
    <d v="1995-05-11T00:00:00"/>
    <n v="3"/>
    <n v="10.64"/>
    <s v="La maison d'Asie"/>
    <s v="1 rue Alsace-Lorraine"/>
    <x v="43"/>
    <s v="unknown"/>
    <s v="31000"/>
    <x v="0"/>
    <n v="5"/>
  </r>
  <r>
    <n v="10494"/>
    <x v="32"/>
    <n v="4"/>
    <x v="194"/>
    <d v="1995-05-31T00:00:00"/>
    <d v="1995-05-10T00:00:00"/>
    <n v="2"/>
    <n v="65.989999999999995"/>
    <s v="ComÃ©rcio Mineiro"/>
    <s v="Av. dos LusÃ­adas, 23"/>
    <x v="29"/>
    <s v="SP"/>
    <s v="05432-043"/>
    <x v="2"/>
    <n v="5"/>
  </r>
  <r>
    <n v="10495"/>
    <x v="75"/>
    <n v="3"/>
    <x v="195"/>
    <d v="1995-06-01T00:00:00"/>
    <d v="1995-05-12T00:00:00"/>
    <n v="3"/>
    <n v="4.6500000000000004"/>
    <s v="Laughing Bacchus Wine Cellars"/>
    <s v="2319 Elm St."/>
    <x v="59"/>
    <s v="BC"/>
    <s v="V3F 2K1"/>
    <x v="16"/>
    <n v="5"/>
  </r>
  <r>
    <n v="10496"/>
    <x v="33"/>
    <n v="7"/>
    <x v="196"/>
    <d v="1995-06-02T00:00:00"/>
    <d v="1995-05-08T00:00:00"/>
    <n v="2"/>
    <n v="46.77"/>
    <s v="TradiÃ§Ã£o Hipermercados"/>
    <s v="Av. InÃªs de Castro, 414"/>
    <x v="29"/>
    <s v="SP"/>
    <s v="05634-030"/>
    <x v="2"/>
    <n v="5"/>
  </r>
  <r>
    <n v="10497"/>
    <x v="26"/>
    <n v="7"/>
    <x v="196"/>
    <d v="1995-06-02T00:00:00"/>
    <d v="1995-05-08T00:00:00"/>
    <n v="1"/>
    <n v="36.21"/>
    <s v="Lehmanns Marktstand"/>
    <s v="Magazinweg 7"/>
    <x v="24"/>
    <s v="unknown"/>
    <s v="60528"/>
    <x v="1"/>
    <n v="5"/>
  </r>
  <r>
    <n v="10498"/>
    <x v="8"/>
    <n v="8"/>
    <x v="197"/>
    <d v="1995-06-05T00:00:00"/>
    <d v="1995-05-12T00:00:00"/>
    <n v="2"/>
    <n v="29.75"/>
    <s v="HILARIÃ“N-Abastos"/>
    <s v="Carrera 22 con Ave. Carlos Soublette #8-35"/>
    <x v="8"/>
    <s v="TÃ¡chira"/>
    <s v="5022"/>
    <x v="5"/>
    <n v="5"/>
  </r>
  <r>
    <n v="10499"/>
    <x v="28"/>
    <n v="4"/>
    <x v="198"/>
    <d v="1995-06-06T00:00:00"/>
    <d v="1995-05-17T00:00:00"/>
    <n v="2"/>
    <n v="102.02"/>
    <s v="LILA-Supermercado"/>
    <s v="Carrera 52 con Ave. BolÃ­var #65-98 Llano Largo"/>
    <x v="26"/>
    <s v="Lara"/>
    <s v="3508"/>
    <x v="5"/>
    <n v="5"/>
  </r>
  <r>
    <n v="10500"/>
    <x v="53"/>
    <n v="6"/>
    <x v="199"/>
    <d v="1995-06-07T00:00:00"/>
    <d v="1995-05-18T00:00:00"/>
    <n v="1"/>
    <n v="42.68"/>
    <s v="La maison d'Asie"/>
    <s v="1 rue Alsace-Lorraine"/>
    <x v="43"/>
    <s v="unknown"/>
    <s v="31000"/>
    <x v="0"/>
    <n v="5"/>
  </r>
  <r>
    <n v="10501"/>
    <x v="76"/>
    <n v="9"/>
    <x v="199"/>
    <d v="1995-06-07T00:00:00"/>
    <d v="1995-05-17T00:00:00"/>
    <n v="3"/>
    <n v="8.85"/>
    <s v="Blauer See Delikatessen"/>
    <s v="Forsterstr. 57"/>
    <x v="60"/>
    <s v="unknown"/>
    <s v="68306"/>
    <x v="1"/>
    <n v="5"/>
  </r>
  <r>
    <n v="10502"/>
    <x v="43"/>
    <n v="2"/>
    <x v="200"/>
    <d v="1995-06-08T00:00:00"/>
    <d v="1995-05-30T00:00:00"/>
    <n v="1"/>
    <n v="69.319999999999993"/>
    <s v="Pericles Comidas clÃ¡sicas"/>
    <s v="Calle Dr. Jorge Cash 321"/>
    <x v="10"/>
    <s v="unknown"/>
    <s v="05033"/>
    <x v="7"/>
    <n v="5"/>
  </r>
  <r>
    <n v="10503"/>
    <x v="34"/>
    <n v="6"/>
    <x v="201"/>
    <d v="1995-06-09T00:00:00"/>
    <d v="1995-05-17T00:00:00"/>
    <n v="2"/>
    <n v="16.739999999999998"/>
    <s v="Hungry Owl All-Night Grocers"/>
    <s v="8 Johnstown Road"/>
    <x v="30"/>
    <s v="Co. Cork"/>
    <s v="unknown"/>
    <x v="14"/>
    <n v="5"/>
  </r>
  <r>
    <n v="10504"/>
    <x v="19"/>
    <n v="4"/>
    <x v="201"/>
    <d v="1995-06-09T00:00:00"/>
    <d v="1995-05-19T00:00:00"/>
    <n v="3"/>
    <n v="59.13"/>
    <s v="White Clover Markets"/>
    <s v="1029 - 12th Ave. S."/>
    <x v="18"/>
    <s v="WA"/>
    <s v="98124"/>
    <x v="8"/>
    <n v="5"/>
  </r>
  <r>
    <n v="10505"/>
    <x v="49"/>
    <n v="3"/>
    <x v="202"/>
    <d v="1995-06-12T00:00:00"/>
    <d v="1995-05-22T00:00:00"/>
    <n v="3"/>
    <n v="7.13"/>
    <s v="MÃ¨re Paillarde"/>
    <s v="43 rue St. Laurent"/>
    <x v="41"/>
    <s v="QuÃ©bec"/>
    <s v="H1J 1C3"/>
    <x v="16"/>
    <n v="5"/>
  </r>
  <r>
    <n v="10506"/>
    <x v="44"/>
    <n v="9"/>
    <x v="203"/>
    <d v="1995-06-13T00:00:00"/>
    <d v="1995-06-02T00:00:00"/>
    <n v="2"/>
    <n v="21.19"/>
    <s v="KÃ¶niglich Essen"/>
    <s v="Maubelstr. 90"/>
    <x v="37"/>
    <s v="unknown"/>
    <s v="14776"/>
    <x v="1"/>
    <n v="5"/>
  </r>
  <r>
    <n v="10507"/>
    <x v="59"/>
    <n v="7"/>
    <x v="203"/>
    <d v="1995-06-13T00:00:00"/>
    <d v="1995-05-23T00:00:00"/>
    <n v="1"/>
    <n v="47.45"/>
    <s v="Antonio Moreno TaquerÃ­a"/>
    <s v="Mataderos  2312"/>
    <x v="10"/>
    <s v="unknown"/>
    <s v="05023"/>
    <x v="7"/>
    <n v="5"/>
  </r>
  <r>
    <n v="10508"/>
    <x v="11"/>
    <n v="1"/>
    <x v="204"/>
    <d v="1995-06-14T00:00:00"/>
    <d v="1995-06-13T00:00:00"/>
    <n v="2"/>
    <n v="4.99"/>
    <s v="Ottilies KÃ¤seladen"/>
    <s v="Mehrheimerstr. 369"/>
    <x v="11"/>
    <s v="unknown"/>
    <s v="50739"/>
    <x v="1"/>
    <n v="5"/>
  </r>
  <r>
    <n v="10509"/>
    <x v="76"/>
    <n v="4"/>
    <x v="205"/>
    <d v="1995-06-15T00:00:00"/>
    <d v="1995-05-30T00:00:00"/>
    <n v="1"/>
    <n v="0.15"/>
    <s v="Blauer See Delikatessen"/>
    <s v="Forsterstr. 57"/>
    <x v="60"/>
    <s v="unknown"/>
    <s v="68306"/>
    <x v="1"/>
    <n v="5"/>
  </r>
  <r>
    <n v="10510"/>
    <x v="45"/>
    <n v="6"/>
    <x v="206"/>
    <d v="1995-06-16T00:00:00"/>
    <d v="1995-05-29T00:00:00"/>
    <n v="3"/>
    <n v="367.63"/>
    <s v="Save-a-lot Markets"/>
    <s v="187 Suffolk Ln."/>
    <x v="38"/>
    <s v="ID"/>
    <s v="83720"/>
    <x v="8"/>
    <n v="5"/>
  </r>
  <r>
    <n v="10511"/>
    <x v="48"/>
    <n v="4"/>
    <x v="206"/>
    <d v="1995-06-16T00:00:00"/>
    <d v="1995-05-22T00:00:00"/>
    <n v="3"/>
    <n v="350.64"/>
    <s v="Bon app'"/>
    <s v="12, rue des Bouchers"/>
    <x v="40"/>
    <s v="unknown"/>
    <s v="13008"/>
    <x v="0"/>
    <n v="5"/>
  </r>
  <r>
    <n v="10512"/>
    <x v="52"/>
    <n v="7"/>
    <x v="207"/>
    <d v="1995-06-19T00:00:00"/>
    <d v="1995-05-25T00:00:00"/>
    <n v="2"/>
    <n v="3.53"/>
    <s v="Familia Arquibaldo"/>
    <s v="Rua OrÃ³s, 92"/>
    <x v="29"/>
    <s v="SP"/>
    <s v="05442-030"/>
    <x v="2"/>
    <n v="5"/>
  </r>
  <r>
    <n v="10513"/>
    <x v="35"/>
    <n v="7"/>
    <x v="208"/>
    <d v="1995-07-04T00:00:00"/>
    <d v="1995-05-29T00:00:00"/>
    <n v="1"/>
    <n v="105.65"/>
    <s v="Die Wandernde Kuh"/>
    <s v="Adenauerallee 900"/>
    <x v="31"/>
    <s v="unknown"/>
    <s v="70563"/>
    <x v="1"/>
    <n v="5"/>
  </r>
  <r>
    <n v="10514"/>
    <x v="9"/>
    <n v="3"/>
    <x v="208"/>
    <d v="1995-06-20T00:00:00"/>
    <d v="1995-06-16T00:00:00"/>
    <n v="2"/>
    <n v="789.95"/>
    <s v="Ernst Handel"/>
    <s v="Kirchgasse 6"/>
    <x v="9"/>
    <s v="unknown"/>
    <s v="8010"/>
    <x v="6"/>
    <n v="5"/>
  </r>
  <r>
    <n v="10515"/>
    <x v="21"/>
    <n v="2"/>
    <x v="209"/>
    <d v="1995-06-07T00:00:00"/>
    <d v="1995-06-23T00:00:00"/>
    <n v="1"/>
    <n v="204.47"/>
    <s v="QUICK-Stop"/>
    <s v="TaucherstraÃŸe 10"/>
    <x v="20"/>
    <s v="unknown"/>
    <s v="01307"/>
    <x v="1"/>
    <n v="5"/>
  </r>
  <r>
    <n v="10516"/>
    <x v="34"/>
    <n v="2"/>
    <x v="210"/>
    <d v="1995-06-22T00:00:00"/>
    <d v="1995-06-01T00:00:00"/>
    <n v="3"/>
    <n v="62.78"/>
    <s v="Hungry Owl All-Night Grocers"/>
    <s v="8 Johnstown Road"/>
    <x v="30"/>
    <s v="Co. Cork"/>
    <s v="unknown"/>
    <x v="14"/>
    <n v="5"/>
  </r>
  <r>
    <n v="10517"/>
    <x v="77"/>
    <n v="3"/>
    <x v="210"/>
    <d v="1995-06-22T00:00:00"/>
    <d v="1995-05-30T00:00:00"/>
    <n v="3"/>
    <n v="32.07"/>
    <s v="North/South"/>
    <s v="South House300 Queensbridge"/>
    <x v="28"/>
    <s v="unknown"/>
    <s v="SW7 1RZ"/>
    <x v="13"/>
    <n v="5"/>
  </r>
  <r>
    <n v="10518"/>
    <x v="23"/>
    <n v="4"/>
    <x v="211"/>
    <d v="1995-06-09T00:00:00"/>
    <d v="1995-06-05T00:00:00"/>
    <n v="2"/>
    <n v="218.15"/>
    <s v="Tortuga Restaurante"/>
    <s v="Avda. Azteca 123"/>
    <x v="10"/>
    <s v="unknown"/>
    <s v="05033"/>
    <x v="7"/>
    <n v="5"/>
  </r>
  <r>
    <n v="10519"/>
    <x v="5"/>
    <n v="6"/>
    <x v="212"/>
    <d v="1995-06-26T00:00:00"/>
    <d v="1995-06-01T00:00:00"/>
    <n v="3"/>
    <n v="91.76"/>
    <s v="Chop-suey Chinese"/>
    <s v="Hauptstr. 31"/>
    <x v="5"/>
    <s v="unknown"/>
    <s v="3012"/>
    <x v="4"/>
    <n v="5"/>
  </r>
  <r>
    <n v="10520"/>
    <x v="65"/>
    <n v="7"/>
    <x v="213"/>
    <d v="1995-06-27T00:00:00"/>
    <d v="1995-06-01T00:00:00"/>
    <n v="1"/>
    <n v="13.37"/>
    <s v="SantÃ© Gourmet"/>
    <s v="Erling Skakkes gate 78"/>
    <x v="51"/>
    <s v="unknown"/>
    <s v="4110"/>
    <x v="19"/>
    <n v="5"/>
  </r>
  <r>
    <n v="10521"/>
    <x v="78"/>
    <n v="8"/>
    <x v="213"/>
    <d v="1995-06-27T00:00:00"/>
    <d v="1995-06-02T00:00:00"/>
    <n v="2"/>
    <n v="17.22"/>
    <s v="Cactus Comidas para llevar"/>
    <s v="Cerrito 333"/>
    <x v="55"/>
    <s v="unknown"/>
    <s v="1010"/>
    <x v="20"/>
    <n v="5"/>
  </r>
  <r>
    <n v="10522"/>
    <x v="26"/>
    <n v="4"/>
    <x v="214"/>
    <d v="1995-06-28T00:00:00"/>
    <d v="1995-06-06T00:00:00"/>
    <n v="1"/>
    <n v="45.33"/>
    <s v="Lehmanns Marktstand"/>
    <s v="Magazinweg 7"/>
    <x v="24"/>
    <s v="unknown"/>
    <s v="60528"/>
    <x v="1"/>
    <n v="5"/>
  </r>
  <r>
    <n v="10523"/>
    <x v="56"/>
    <n v="7"/>
    <x v="215"/>
    <d v="1995-06-29T00:00:00"/>
    <d v="1995-06-30T00:00:00"/>
    <n v="2"/>
    <n v="77.63"/>
    <s v="Seven Seas Imports"/>
    <s v="90 Wadhurst Rd."/>
    <x v="28"/>
    <s v="unknown"/>
    <s v="OX15 4NB"/>
    <x v="13"/>
    <n v="6"/>
  </r>
  <r>
    <n v="10524"/>
    <x v="25"/>
    <n v="1"/>
    <x v="215"/>
    <d v="1995-06-29T00:00:00"/>
    <d v="1995-06-07T00:00:00"/>
    <n v="2"/>
    <n v="244.79"/>
    <s v="Berglunds snabbkÃ¶p"/>
    <s v="BerguvsvÃ¤gen  8"/>
    <x v="23"/>
    <s v="unknown"/>
    <s v="S-958 22"/>
    <x v="9"/>
    <n v="6"/>
  </r>
  <r>
    <n v="10525"/>
    <x v="48"/>
    <n v="1"/>
    <x v="216"/>
    <d v="1995-06-30T00:00:00"/>
    <d v="1995-06-23T00:00:00"/>
    <n v="2"/>
    <n v="11.06"/>
    <s v="Bon app'"/>
    <s v="12, rue des Bouchers"/>
    <x v="40"/>
    <s v="unknown"/>
    <s v="13008"/>
    <x v="0"/>
    <n v="6"/>
  </r>
  <r>
    <n v="10526"/>
    <x v="16"/>
    <n v="4"/>
    <x v="217"/>
    <d v="1995-07-03T00:00:00"/>
    <d v="1995-06-15T00:00:00"/>
    <n v="2"/>
    <n v="58.59"/>
    <s v="Wartian Herkku"/>
    <s v="Torikatu 38"/>
    <x v="15"/>
    <s v="unknown"/>
    <s v="90110"/>
    <x v="10"/>
    <n v="6"/>
  </r>
  <r>
    <n v="10527"/>
    <x v="21"/>
    <n v="7"/>
    <x v="217"/>
    <d v="1995-07-03T00:00:00"/>
    <d v="1995-06-07T00:00:00"/>
    <n v="1"/>
    <n v="41.9"/>
    <s v="QUICK-Stop"/>
    <s v="TaucherstraÃŸe 10"/>
    <x v="20"/>
    <s v="unknown"/>
    <s v="01307"/>
    <x v="1"/>
    <n v="6"/>
  </r>
  <r>
    <n v="10528"/>
    <x v="79"/>
    <n v="6"/>
    <x v="218"/>
    <d v="1995-06-20T00:00:00"/>
    <d v="1995-06-09T00:00:00"/>
    <n v="2"/>
    <n v="3.35"/>
    <s v="Great Lakes Food Market"/>
    <s v="2732 Baker Blvd."/>
    <x v="61"/>
    <s v="OR"/>
    <s v="97403"/>
    <x v="8"/>
    <n v="6"/>
  </r>
  <r>
    <n v="10529"/>
    <x v="80"/>
    <n v="5"/>
    <x v="219"/>
    <d v="1995-07-05T00:00:00"/>
    <d v="1995-06-09T00:00:00"/>
    <n v="2"/>
    <n v="66.69"/>
    <s v="Maison Dewey"/>
    <s v="Rue Joseph-Bens 532"/>
    <x v="62"/>
    <s v="unknown"/>
    <s v="B-1180"/>
    <x v="3"/>
    <n v="6"/>
  </r>
  <r>
    <n v="10530"/>
    <x v="54"/>
    <n v="3"/>
    <x v="220"/>
    <d v="1995-07-06T00:00:00"/>
    <d v="1995-06-12T00:00:00"/>
    <n v="2"/>
    <n v="339.22"/>
    <s v="Piccolo und mehr"/>
    <s v="Geislweg 14"/>
    <x v="44"/>
    <s v="unknown"/>
    <s v="5020"/>
    <x v="6"/>
    <n v="6"/>
  </r>
  <r>
    <n v="10531"/>
    <x v="69"/>
    <n v="7"/>
    <x v="220"/>
    <d v="1995-07-06T00:00:00"/>
    <d v="1995-06-19T00:00:00"/>
    <n v="1"/>
    <n v="8.1199999999999992"/>
    <s v="OcÃ©ano AtlÃ¡ntico Ltda."/>
    <s v="Ing. Gustavo Moncada 8585Piso 20-A"/>
    <x v="55"/>
    <s v="unknown"/>
    <s v="1010"/>
    <x v="20"/>
    <n v="6"/>
  </r>
  <r>
    <n v="10532"/>
    <x v="58"/>
    <n v="7"/>
    <x v="221"/>
    <d v="1995-07-07T00:00:00"/>
    <d v="1995-06-12T00:00:00"/>
    <n v="3"/>
    <n v="74.459999999999994"/>
    <s v="Eastern Connection"/>
    <s v="35 King George"/>
    <x v="28"/>
    <s v="unknown"/>
    <s v="WX3 6FW"/>
    <x v="13"/>
    <n v="6"/>
  </r>
  <r>
    <n v="10533"/>
    <x v="14"/>
    <n v="8"/>
    <x v="222"/>
    <d v="1995-07-10T00:00:00"/>
    <d v="1995-06-22T00:00:00"/>
    <n v="1"/>
    <n v="188.04"/>
    <s v="Folk och fÃ¤ HB"/>
    <s v="Ã…kergatan 24"/>
    <x v="13"/>
    <s v="unknown"/>
    <s v="S-844 67"/>
    <x v="9"/>
    <n v="6"/>
  </r>
  <r>
    <n v="10534"/>
    <x v="26"/>
    <n v="8"/>
    <x v="222"/>
    <d v="1995-07-10T00:00:00"/>
    <d v="1995-06-14T00:00:00"/>
    <n v="2"/>
    <n v="27.94"/>
    <s v="Lehmanns Marktstand"/>
    <s v="Magazinweg 7"/>
    <x v="24"/>
    <s v="unknown"/>
    <s v="60528"/>
    <x v="1"/>
    <n v="6"/>
  </r>
  <r>
    <n v="10535"/>
    <x v="59"/>
    <n v="4"/>
    <x v="223"/>
    <d v="1995-07-11T00:00:00"/>
    <d v="1995-06-21T00:00:00"/>
    <n v="1"/>
    <n v="15.64"/>
    <s v="Antonio Moreno TaquerÃ­a"/>
    <s v="Mataderos  2312"/>
    <x v="10"/>
    <s v="unknown"/>
    <s v="05023"/>
    <x v="7"/>
    <n v="6"/>
  </r>
  <r>
    <n v="10536"/>
    <x v="26"/>
    <n v="3"/>
    <x v="224"/>
    <d v="1995-07-12T00:00:00"/>
    <d v="1995-07-07T00:00:00"/>
    <n v="2"/>
    <n v="58.88"/>
    <s v="Lehmanns Marktstand"/>
    <s v="Magazinweg 7"/>
    <x v="24"/>
    <s v="unknown"/>
    <s v="60528"/>
    <x v="1"/>
    <n v="6"/>
  </r>
  <r>
    <n v="10537"/>
    <x v="6"/>
    <n v="1"/>
    <x v="224"/>
    <d v="1995-06-28T00:00:00"/>
    <d v="1995-06-19T00:00:00"/>
    <n v="1"/>
    <n v="78.849999999999994"/>
    <s v="Richter Supermarkt"/>
    <s v="Starenweg 5"/>
    <x v="6"/>
    <s v="unknown"/>
    <s v="1204"/>
    <x v="4"/>
    <n v="6"/>
  </r>
  <r>
    <n v="10538"/>
    <x v="31"/>
    <n v="9"/>
    <x v="225"/>
    <d v="1995-07-13T00:00:00"/>
    <d v="1995-06-16T00:00:00"/>
    <n v="3"/>
    <n v="4.87"/>
    <s v="B's Beverages"/>
    <s v="Fauntleroy Circus"/>
    <x v="28"/>
    <s v="unknown"/>
    <s v="EC2 5NT"/>
    <x v="13"/>
    <n v="6"/>
  </r>
  <r>
    <n v="10539"/>
    <x v="31"/>
    <n v="6"/>
    <x v="226"/>
    <d v="1995-07-14T00:00:00"/>
    <d v="1995-06-23T00:00:00"/>
    <n v="3"/>
    <n v="12.36"/>
    <s v="B's Beverages"/>
    <s v="Fauntleroy Circus"/>
    <x v="28"/>
    <s v="unknown"/>
    <s v="EC2 5NT"/>
    <x v="13"/>
    <n v="6"/>
  </r>
  <r>
    <n v="10540"/>
    <x v="21"/>
    <n v="3"/>
    <x v="227"/>
    <d v="1995-07-17T00:00:00"/>
    <d v="1995-07-14T00:00:00"/>
    <n v="3"/>
    <n v="1007.64"/>
    <s v="QUICK-Stop"/>
    <s v="TaucherstraÃŸe 10"/>
    <x v="20"/>
    <s v="unknown"/>
    <s v="01307"/>
    <x v="1"/>
    <n v="6"/>
  </r>
  <r>
    <n v="10541"/>
    <x v="2"/>
    <n v="2"/>
    <x v="227"/>
    <d v="1995-07-17T00:00:00"/>
    <d v="1995-06-29T00:00:00"/>
    <n v="1"/>
    <n v="68.650000000000006"/>
    <s v="Hanari Carnes"/>
    <s v="Rua do PaÃ§o, 67"/>
    <x v="2"/>
    <s v="RJ"/>
    <s v="05454-876"/>
    <x v="2"/>
    <n v="6"/>
  </r>
  <r>
    <n v="10542"/>
    <x v="44"/>
    <n v="1"/>
    <x v="228"/>
    <d v="1995-07-18T00:00:00"/>
    <d v="1995-06-26T00:00:00"/>
    <n v="3"/>
    <n v="10.95"/>
    <s v="KÃ¶niglich Essen"/>
    <s v="Maubelstr. 90"/>
    <x v="37"/>
    <s v="unknown"/>
    <s v="14776"/>
    <x v="1"/>
    <n v="6"/>
  </r>
  <r>
    <n v="10543"/>
    <x v="28"/>
    <n v="8"/>
    <x v="229"/>
    <d v="1995-07-19T00:00:00"/>
    <d v="1995-06-23T00:00:00"/>
    <n v="2"/>
    <n v="48.17"/>
    <s v="LILA-Supermercado"/>
    <s v="Carrera 52 con Ave. BolÃ­var #65-98 Llano Largo"/>
    <x v="26"/>
    <s v="Lara"/>
    <s v="3508"/>
    <x v="5"/>
    <n v="6"/>
  </r>
  <r>
    <n v="10544"/>
    <x v="38"/>
    <n v="4"/>
    <x v="229"/>
    <d v="1995-07-19T00:00:00"/>
    <d v="1995-06-30T00:00:00"/>
    <n v="1"/>
    <n v="24.91"/>
    <s v="Lonesome Pine Restaurant"/>
    <s v="89 Chiaroscuro Rd."/>
    <x v="34"/>
    <s v="OR"/>
    <s v="97219"/>
    <x v="8"/>
    <n v="6"/>
  </r>
  <r>
    <n v="10545"/>
    <x v="74"/>
    <n v="8"/>
    <x v="230"/>
    <d v="1995-07-20T00:00:00"/>
    <d v="1995-07-27T00:00:00"/>
    <n v="2"/>
    <n v="11.92"/>
    <s v="Lazy K Kountry Store"/>
    <s v="12 Orchestra Terrace"/>
    <x v="58"/>
    <s v="WA"/>
    <s v="99362"/>
    <x v="8"/>
    <n v="6"/>
  </r>
  <r>
    <n v="10546"/>
    <x v="3"/>
    <n v="1"/>
    <x v="231"/>
    <d v="1995-07-21T00:00:00"/>
    <d v="1995-06-27T00:00:00"/>
    <n v="3"/>
    <n v="194.72"/>
    <s v="Victuailles en stock"/>
    <s v="2, rue du Commerce"/>
    <x v="3"/>
    <s v="unknown"/>
    <s v="69004"/>
    <x v="0"/>
    <n v="6"/>
  </r>
  <r>
    <n v="10547"/>
    <x v="56"/>
    <n v="3"/>
    <x v="231"/>
    <d v="1995-07-21T00:00:00"/>
    <d v="1995-07-03T00:00:00"/>
    <n v="2"/>
    <n v="178.43"/>
    <s v="Seven Seas Imports"/>
    <s v="90 Wadhurst Rd."/>
    <x v="28"/>
    <s v="unknown"/>
    <s v="OX15 4NB"/>
    <x v="13"/>
    <n v="6"/>
  </r>
  <r>
    <n v="10548"/>
    <x v="1"/>
    <n v="3"/>
    <x v="232"/>
    <d v="1995-07-24T00:00:00"/>
    <d v="1995-07-03T00:00:00"/>
    <n v="2"/>
    <n v="1.43"/>
    <s v="Toms SpezialitÃ¤ten"/>
    <s v="Luisenstr. 48"/>
    <x v="1"/>
    <s v="unknown"/>
    <s v="44087"/>
    <x v="1"/>
    <n v="6"/>
  </r>
  <r>
    <n v="10549"/>
    <x v="21"/>
    <n v="5"/>
    <x v="233"/>
    <d v="1995-07-11T00:00:00"/>
    <d v="1995-06-30T00:00:00"/>
    <n v="1"/>
    <n v="171.24"/>
    <s v="QUICK-Stop"/>
    <s v="TaucherstraÃŸe 10"/>
    <x v="20"/>
    <s v="unknown"/>
    <s v="01307"/>
    <x v="1"/>
    <n v="6"/>
  </r>
  <r>
    <n v="10550"/>
    <x v="36"/>
    <n v="7"/>
    <x v="234"/>
    <d v="1995-07-26T00:00:00"/>
    <d v="1995-07-07T00:00:00"/>
    <n v="3"/>
    <n v="4.32"/>
    <s v="Godos Cocina TÃ­pica"/>
    <s v="C/ Romero, 33"/>
    <x v="32"/>
    <s v="unknown"/>
    <s v="41101"/>
    <x v="12"/>
    <n v="6"/>
  </r>
  <r>
    <n v="10551"/>
    <x v="47"/>
    <n v="4"/>
    <x v="234"/>
    <d v="1995-08-09T00:00:00"/>
    <d v="1995-07-07T00:00:00"/>
    <n v="3"/>
    <n v="72.95"/>
    <s v="Furia Bacalhau e Frutos do Mar"/>
    <s v="Jardim das rosas n. 32"/>
    <x v="39"/>
    <s v="unknown"/>
    <s v="1675"/>
    <x v="15"/>
    <n v="6"/>
  </r>
  <r>
    <n v="10552"/>
    <x v="8"/>
    <n v="2"/>
    <x v="235"/>
    <d v="1995-07-27T00:00:00"/>
    <d v="1995-07-06T00:00:00"/>
    <n v="1"/>
    <n v="83.22"/>
    <s v="HILARIÃ“N-Abastos"/>
    <s v="Carrera 22 con Ave. Carlos Soublette #8-35"/>
    <x v="8"/>
    <s v="TÃ¡chira"/>
    <s v="5022"/>
    <x v="5"/>
    <n v="6"/>
  </r>
  <r>
    <n v="10553"/>
    <x v="16"/>
    <n v="2"/>
    <x v="236"/>
    <d v="1995-07-28T00:00:00"/>
    <d v="1995-07-04T00:00:00"/>
    <n v="2"/>
    <n v="149.49"/>
    <s v="Wartian Herkku"/>
    <s v="Torikatu 38"/>
    <x v="15"/>
    <s v="unknown"/>
    <s v="90110"/>
    <x v="10"/>
    <n v="6"/>
  </r>
  <r>
    <n v="10554"/>
    <x v="11"/>
    <n v="4"/>
    <x v="236"/>
    <d v="1995-07-28T00:00:00"/>
    <d v="1995-07-06T00:00:00"/>
    <n v="3"/>
    <n v="120.97"/>
    <s v="Ottilies KÃ¤seladen"/>
    <s v="Mehrheimerstr. 369"/>
    <x v="11"/>
    <s v="unknown"/>
    <s v="50739"/>
    <x v="1"/>
    <n v="6"/>
  </r>
  <r>
    <n v="10555"/>
    <x v="45"/>
    <n v="6"/>
    <x v="237"/>
    <d v="1995-07-31T00:00:00"/>
    <d v="1995-07-05T00:00:00"/>
    <n v="3"/>
    <n v="252.49"/>
    <s v="Save-a-lot Markets"/>
    <s v="187 Suffolk Ln."/>
    <x v="38"/>
    <s v="ID"/>
    <s v="83720"/>
    <x v="8"/>
    <n v="7"/>
  </r>
  <r>
    <n v="10556"/>
    <x v="51"/>
    <n v="2"/>
    <x v="238"/>
    <d v="1995-08-15T00:00:00"/>
    <d v="1995-07-14T00:00:00"/>
    <n v="1"/>
    <n v="9.8000000000000007"/>
    <s v="Simons bistro"/>
    <s v="VinbÃ¦ltet 34"/>
    <x v="42"/>
    <s v="unknown"/>
    <s v="1734"/>
    <x v="17"/>
    <n v="7"/>
  </r>
  <r>
    <n v="10557"/>
    <x v="26"/>
    <n v="9"/>
    <x v="238"/>
    <d v="1995-07-18T00:00:00"/>
    <d v="1995-07-07T00:00:00"/>
    <n v="2"/>
    <n v="96.72"/>
    <s v="Lehmanns Marktstand"/>
    <s v="Magazinweg 7"/>
    <x v="24"/>
    <s v="unknown"/>
    <s v="60528"/>
    <x v="1"/>
    <n v="7"/>
  </r>
  <r>
    <n v="10558"/>
    <x v="55"/>
    <n v="1"/>
    <x v="239"/>
    <d v="1995-08-02T00:00:00"/>
    <d v="1995-07-11T00:00:00"/>
    <n v="2"/>
    <n v="72.97"/>
    <s v="Around the Horn"/>
    <s v="Brook FarmStratford St. Mary"/>
    <x v="45"/>
    <s v="Essex"/>
    <s v="CO7 6JX"/>
    <x v="13"/>
    <n v="7"/>
  </r>
  <r>
    <n v="10559"/>
    <x v="15"/>
    <n v="6"/>
    <x v="240"/>
    <d v="1995-08-03T00:00:00"/>
    <d v="1995-07-14T00:00:00"/>
    <n v="1"/>
    <n v="8.0500000000000007"/>
    <s v="Blondel pÃ¨re et fils"/>
    <s v="24, place KlÃ©ber"/>
    <x v="14"/>
    <s v="unknown"/>
    <s v="67000"/>
    <x v="0"/>
    <n v="7"/>
  </r>
  <r>
    <n v="10560"/>
    <x v="17"/>
    <n v="8"/>
    <x v="241"/>
    <d v="1995-08-04T00:00:00"/>
    <d v="1995-07-10T00:00:00"/>
    <n v="1"/>
    <n v="36.65"/>
    <s v="Frankenversand"/>
    <s v="Berliner Platz 43"/>
    <x v="16"/>
    <s v="unknown"/>
    <s v="80805"/>
    <x v="1"/>
    <n v="7"/>
  </r>
  <r>
    <n v="10561"/>
    <x v="14"/>
    <n v="2"/>
    <x v="241"/>
    <d v="1995-08-04T00:00:00"/>
    <d v="1995-07-10T00:00:00"/>
    <n v="2"/>
    <n v="242.21"/>
    <s v="Folk och fÃ¤ HB"/>
    <s v="Ã…kergatan 24"/>
    <x v="13"/>
    <s v="unknown"/>
    <s v="S-844 67"/>
    <x v="9"/>
    <n v="7"/>
  </r>
  <r>
    <n v="10562"/>
    <x v="30"/>
    <n v="1"/>
    <x v="242"/>
    <d v="1995-08-07T00:00:00"/>
    <d v="1995-07-13T00:00:00"/>
    <n v="1"/>
    <n v="22.95"/>
    <s v="Reggiani Caseifici"/>
    <s v="Strada Provinciale 124"/>
    <x v="27"/>
    <s v="unknown"/>
    <s v="42100"/>
    <x v="11"/>
    <n v="7"/>
  </r>
  <r>
    <n v="10563"/>
    <x v="29"/>
    <n v="2"/>
    <x v="243"/>
    <d v="1995-08-22T00:00:00"/>
    <d v="1995-07-25T00:00:00"/>
    <n v="2"/>
    <n v="60.43"/>
    <s v="Ricardo Adocicados"/>
    <s v="Av. Copacabana, 267"/>
    <x v="2"/>
    <s v="RJ"/>
    <s v="02389-890"/>
    <x v="2"/>
    <n v="7"/>
  </r>
  <r>
    <n v="10564"/>
    <x v="13"/>
    <n v="4"/>
    <x v="243"/>
    <d v="1995-08-08T00:00:00"/>
    <d v="1995-07-17T00:00:00"/>
    <n v="3"/>
    <n v="13.75"/>
    <s v="Rattlesnake Canyon Grocery"/>
    <s v="2817 Milton Dr."/>
    <x v="12"/>
    <s v="NM"/>
    <s v="87110"/>
    <x v="8"/>
    <n v="7"/>
  </r>
  <r>
    <n v="10565"/>
    <x v="49"/>
    <n v="8"/>
    <x v="244"/>
    <d v="1995-08-09T00:00:00"/>
    <d v="1995-07-19T00:00:00"/>
    <n v="2"/>
    <n v="7.15"/>
    <s v="MÃ¨re Paillarde"/>
    <s v="43 rue St. Laurent"/>
    <x v="41"/>
    <s v="QuÃ©bec"/>
    <s v="H1J 1C3"/>
    <x v="16"/>
    <n v="7"/>
  </r>
  <r>
    <n v="10566"/>
    <x v="15"/>
    <n v="9"/>
    <x v="245"/>
    <d v="1995-08-10T00:00:00"/>
    <d v="1995-07-19T00:00:00"/>
    <n v="1"/>
    <n v="88.4"/>
    <s v="Blondel pÃ¨re et fils"/>
    <s v="24, place KlÃ©ber"/>
    <x v="14"/>
    <s v="unknown"/>
    <s v="67000"/>
    <x v="0"/>
    <n v="7"/>
  </r>
  <r>
    <n v="10567"/>
    <x v="34"/>
    <n v="1"/>
    <x v="245"/>
    <d v="1995-08-10T00:00:00"/>
    <d v="1995-07-18T00:00:00"/>
    <n v="1"/>
    <n v="33.97"/>
    <s v="Hungry Owl All-Night Grocers"/>
    <s v="8 Johnstown Road"/>
    <x v="30"/>
    <s v="Co. Cork"/>
    <s v="unknown"/>
    <x v="14"/>
    <n v="7"/>
  </r>
  <r>
    <n v="10568"/>
    <x v="60"/>
    <n v="3"/>
    <x v="246"/>
    <d v="1995-08-11T00:00:00"/>
    <d v="1995-08-09T00:00:00"/>
    <n v="3"/>
    <n v="6.54"/>
    <s v="GalerÃ­a del gastronÃ³mo"/>
    <s v="Rambla de CataluÃ±a, 23"/>
    <x v="47"/>
    <s v="unknown"/>
    <s v="8022"/>
    <x v="12"/>
    <n v="7"/>
  </r>
  <r>
    <n v="10569"/>
    <x v="13"/>
    <n v="5"/>
    <x v="247"/>
    <d v="1995-08-14T00:00:00"/>
    <d v="1995-08-11T00:00:00"/>
    <n v="1"/>
    <n v="58.98"/>
    <s v="Rattlesnake Canyon Grocery"/>
    <s v="2817 Milton Dr."/>
    <x v="12"/>
    <s v="NM"/>
    <s v="87110"/>
    <x v="8"/>
    <n v="7"/>
  </r>
  <r>
    <n v="10570"/>
    <x v="49"/>
    <n v="3"/>
    <x v="248"/>
    <d v="1995-08-15T00:00:00"/>
    <d v="1995-07-20T00:00:00"/>
    <n v="3"/>
    <n v="188.99"/>
    <s v="MÃ¨re Paillarde"/>
    <s v="43 rue St. Laurent"/>
    <x v="41"/>
    <s v="QuÃ©bec"/>
    <s v="H1J 1C3"/>
    <x v="16"/>
    <n v="7"/>
  </r>
  <r>
    <n v="10571"/>
    <x v="9"/>
    <n v="8"/>
    <x v="248"/>
    <d v="1995-08-29T00:00:00"/>
    <d v="1995-08-04T00:00:00"/>
    <n v="3"/>
    <n v="26.06"/>
    <s v="Ernst Handel"/>
    <s v="Kirchgasse 6"/>
    <x v="9"/>
    <s v="unknown"/>
    <s v="8010"/>
    <x v="6"/>
    <n v="7"/>
  </r>
  <r>
    <n v="10572"/>
    <x v="25"/>
    <n v="3"/>
    <x v="249"/>
    <d v="1995-08-16T00:00:00"/>
    <d v="1995-07-26T00:00:00"/>
    <n v="2"/>
    <n v="116.43"/>
    <s v="Berglunds snabbkÃ¶p"/>
    <s v="BerguvsvÃ¤gen  8"/>
    <x v="23"/>
    <s v="unknown"/>
    <s v="S-958 22"/>
    <x v="9"/>
    <n v="7"/>
  </r>
  <r>
    <n v="10573"/>
    <x v="59"/>
    <n v="7"/>
    <x v="250"/>
    <d v="1995-08-17T00:00:00"/>
    <d v="1995-07-21T00:00:00"/>
    <n v="3"/>
    <n v="84.84"/>
    <s v="Antonio Moreno TaquerÃ­a"/>
    <s v="Mataderos  2312"/>
    <x v="10"/>
    <s v="unknown"/>
    <s v="05023"/>
    <x v="7"/>
    <n v="7"/>
  </r>
  <r>
    <n v="10574"/>
    <x v="81"/>
    <n v="4"/>
    <x v="250"/>
    <d v="1995-08-17T00:00:00"/>
    <d v="1995-07-31T00:00:00"/>
    <n v="2"/>
    <n v="37.6"/>
    <s v="Trail's Head Gourmet Provisioners"/>
    <s v="722 DaVinci Blvd."/>
    <x v="63"/>
    <s v="WA"/>
    <s v="98034"/>
    <x v="8"/>
    <n v="7"/>
  </r>
  <r>
    <n v="10575"/>
    <x v="24"/>
    <n v="5"/>
    <x v="251"/>
    <d v="1995-08-04T00:00:00"/>
    <d v="1995-07-31T00:00:00"/>
    <n v="1"/>
    <n v="127.34"/>
    <s v="Morgenstern Gesundkost"/>
    <s v="Heerstr. 22"/>
    <x v="22"/>
    <s v="unknown"/>
    <s v="04179"/>
    <x v="1"/>
    <n v="7"/>
  </r>
  <r>
    <n v="10576"/>
    <x v="23"/>
    <n v="3"/>
    <x v="252"/>
    <d v="1995-08-07T00:00:00"/>
    <d v="1995-07-31T00:00:00"/>
    <n v="3"/>
    <n v="18.559999999999999"/>
    <s v="Tortuga Restaurante"/>
    <s v="Avda. Azteca 123"/>
    <x v="10"/>
    <s v="unknown"/>
    <s v="05033"/>
    <x v="7"/>
    <n v="7"/>
  </r>
  <r>
    <n v="10577"/>
    <x v="81"/>
    <n v="9"/>
    <x v="252"/>
    <d v="1995-09-04T00:00:00"/>
    <d v="1995-07-31T00:00:00"/>
    <n v="2"/>
    <n v="25.41"/>
    <s v="Trail's Head Gourmet Provisioners"/>
    <s v="722 DaVinci Blvd."/>
    <x v="63"/>
    <s v="WA"/>
    <s v="98034"/>
    <x v="8"/>
    <n v="7"/>
  </r>
  <r>
    <n v="10578"/>
    <x v="31"/>
    <n v="4"/>
    <x v="253"/>
    <d v="1995-08-22T00:00:00"/>
    <d v="1995-08-25T00:00:00"/>
    <n v="3"/>
    <n v="29.6"/>
    <s v="B's Beverages"/>
    <s v="Fauntleroy Circus"/>
    <x v="28"/>
    <s v="unknown"/>
    <s v="EC2 5NT"/>
    <x v="13"/>
    <n v="7"/>
  </r>
  <r>
    <n v="10579"/>
    <x v="82"/>
    <n v="1"/>
    <x v="254"/>
    <d v="1995-08-23T00:00:00"/>
    <d v="1995-08-04T00:00:00"/>
    <n v="2"/>
    <n v="13.73"/>
    <s v="Let's Stop N Shop"/>
    <s v="87 Polk St.Suite 5"/>
    <x v="64"/>
    <s v="CA"/>
    <s v="94117"/>
    <x v="8"/>
    <n v="7"/>
  </r>
  <r>
    <n v="10580"/>
    <x v="11"/>
    <n v="4"/>
    <x v="255"/>
    <d v="1995-08-24T00:00:00"/>
    <d v="1995-08-01T00:00:00"/>
    <n v="3"/>
    <n v="75.89"/>
    <s v="Ottilies KÃ¤seladen"/>
    <s v="Mehrheimerstr. 369"/>
    <x v="11"/>
    <s v="unknown"/>
    <s v="50739"/>
    <x v="1"/>
    <n v="7"/>
  </r>
  <r>
    <n v="10581"/>
    <x v="52"/>
    <n v="3"/>
    <x v="255"/>
    <d v="1995-08-24T00:00:00"/>
    <d v="1995-08-02T00:00:00"/>
    <n v="1"/>
    <n v="3.01"/>
    <s v="Familia Arquibaldo"/>
    <s v="Rua OrÃ³s, 92"/>
    <x v="29"/>
    <s v="SP"/>
    <s v="05442-030"/>
    <x v="2"/>
    <n v="7"/>
  </r>
  <r>
    <n v="10582"/>
    <x v="76"/>
    <n v="3"/>
    <x v="256"/>
    <d v="1995-08-25T00:00:00"/>
    <d v="1995-08-14T00:00:00"/>
    <n v="2"/>
    <n v="27.71"/>
    <s v="Blauer See Delikatessen"/>
    <s v="Forsterstr. 57"/>
    <x v="60"/>
    <s v="unknown"/>
    <s v="68306"/>
    <x v="1"/>
    <n v="7"/>
  </r>
  <r>
    <n v="10583"/>
    <x v="16"/>
    <n v="2"/>
    <x v="257"/>
    <d v="1995-08-28T00:00:00"/>
    <d v="1995-08-04T00:00:00"/>
    <n v="2"/>
    <n v="7.28"/>
    <s v="Wartian Herkku"/>
    <s v="Torikatu 38"/>
    <x v="15"/>
    <s v="unknown"/>
    <s v="90110"/>
    <x v="10"/>
    <n v="7"/>
  </r>
  <r>
    <n v="10584"/>
    <x v="15"/>
    <n v="4"/>
    <x v="257"/>
    <d v="1995-08-28T00:00:00"/>
    <d v="1995-08-04T00:00:00"/>
    <n v="1"/>
    <n v="59.14"/>
    <s v="Blondel pÃ¨re et fils"/>
    <s v="24, place KlÃ©ber"/>
    <x v="14"/>
    <s v="unknown"/>
    <s v="67000"/>
    <x v="0"/>
    <n v="7"/>
  </r>
  <r>
    <n v="10585"/>
    <x v="7"/>
    <n v="7"/>
    <x v="258"/>
    <d v="1995-08-29T00:00:00"/>
    <d v="1995-08-10T00:00:00"/>
    <n v="1"/>
    <n v="13.41"/>
    <s v="Wellington Importadora"/>
    <s v="Rua do Mercado, 12"/>
    <x v="7"/>
    <s v="SP"/>
    <s v="08737-363"/>
    <x v="2"/>
    <n v="8"/>
  </r>
  <r>
    <n v="10586"/>
    <x v="30"/>
    <n v="9"/>
    <x v="259"/>
    <d v="1995-08-30T00:00:00"/>
    <d v="1995-08-09T00:00:00"/>
    <n v="1"/>
    <n v="0.48"/>
    <s v="Reggiani Caseifici"/>
    <s v="Strada Provinciale 124"/>
    <x v="27"/>
    <s v="unknown"/>
    <s v="42100"/>
    <x v="11"/>
    <n v="8"/>
  </r>
  <r>
    <n v="10587"/>
    <x v="12"/>
    <n v="1"/>
    <x v="259"/>
    <d v="1995-08-30T00:00:00"/>
    <d v="1995-08-09T00:00:00"/>
    <n v="1"/>
    <n v="62.52"/>
    <s v="Que DelÃ­cia"/>
    <s v="Rua da Panificadora, 12"/>
    <x v="2"/>
    <s v="RJ"/>
    <s v="02389-673"/>
    <x v="2"/>
    <n v="8"/>
  </r>
  <r>
    <n v="10588"/>
    <x v="21"/>
    <n v="2"/>
    <x v="260"/>
    <d v="1995-08-31T00:00:00"/>
    <d v="1995-08-10T00:00:00"/>
    <n v="3"/>
    <n v="194.67"/>
    <s v="QUICK-Stop"/>
    <s v="TaucherstraÃŸe 10"/>
    <x v="20"/>
    <s v="unknown"/>
    <s v="01307"/>
    <x v="1"/>
    <n v="8"/>
  </r>
  <r>
    <n v="10589"/>
    <x v="79"/>
    <n v="8"/>
    <x v="261"/>
    <d v="1995-09-01T00:00:00"/>
    <d v="1995-08-14T00:00:00"/>
    <n v="2"/>
    <n v="4.42"/>
    <s v="Great Lakes Food Market"/>
    <s v="2732 Baker Blvd."/>
    <x v="61"/>
    <s v="OR"/>
    <s v="97403"/>
    <x v="8"/>
    <n v="8"/>
  </r>
  <r>
    <n v="10590"/>
    <x v="49"/>
    <n v="4"/>
    <x v="262"/>
    <d v="1995-09-04T00:00:00"/>
    <d v="1995-08-14T00:00:00"/>
    <n v="3"/>
    <n v="44.77"/>
    <s v="MÃ¨re Paillarde"/>
    <s v="43 rue St. Laurent"/>
    <x v="41"/>
    <s v="QuÃ©bec"/>
    <s v="H1J 1C3"/>
    <x v="16"/>
    <n v="8"/>
  </r>
  <r>
    <n v="10591"/>
    <x v="61"/>
    <n v="1"/>
    <x v="262"/>
    <d v="1995-08-21T00:00:00"/>
    <d v="1995-08-16T00:00:00"/>
    <n v="1"/>
    <n v="55.92"/>
    <s v="Vaffeljernet"/>
    <s v="SmagslÃ¸get 45"/>
    <x v="48"/>
    <s v="unknown"/>
    <s v="8200"/>
    <x v="17"/>
    <n v="8"/>
  </r>
  <r>
    <n v="10592"/>
    <x v="26"/>
    <n v="3"/>
    <x v="263"/>
    <d v="1995-09-05T00:00:00"/>
    <d v="1995-08-16T00:00:00"/>
    <n v="1"/>
    <n v="32.1"/>
    <s v="Lehmanns Marktstand"/>
    <s v="Magazinweg 7"/>
    <x v="24"/>
    <s v="unknown"/>
    <s v="60528"/>
    <x v="1"/>
    <n v="8"/>
  </r>
  <r>
    <n v="10593"/>
    <x v="26"/>
    <n v="7"/>
    <x v="264"/>
    <d v="1995-09-06T00:00:00"/>
    <d v="1995-09-13T00:00:00"/>
    <n v="2"/>
    <n v="174.2"/>
    <s v="Lehmanns Marktstand"/>
    <s v="Magazinweg 7"/>
    <x v="24"/>
    <s v="unknown"/>
    <s v="60528"/>
    <x v="1"/>
    <n v="8"/>
  </r>
  <r>
    <n v="10594"/>
    <x v="37"/>
    <n v="3"/>
    <x v="264"/>
    <d v="1995-09-06T00:00:00"/>
    <d v="1995-08-16T00:00:00"/>
    <n v="2"/>
    <n v="5.24"/>
    <s v="Old World Delicatessen"/>
    <s v="2743 Bering St."/>
    <x v="33"/>
    <s v="AK"/>
    <s v="99508"/>
    <x v="8"/>
    <n v="8"/>
  </r>
  <r>
    <n v="10595"/>
    <x v="9"/>
    <n v="2"/>
    <x v="265"/>
    <d v="1995-09-07T00:00:00"/>
    <d v="1995-08-14T00:00:00"/>
    <n v="1"/>
    <n v="96.78"/>
    <s v="Ernst Handel"/>
    <s v="Kirchgasse 6"/>
    <x v="9"/>
    <s v="unknown"/>
    <s v="8010"/>
    <x v="6"/>
    <n v="8"/>
  </r>
  <r>
    <n v="10596"/>
    <x v="19"/>
    <n v="8"/>
    <x v="266"/>
    <d v="1995-09-08T00:00:00"/>
    <d v="1995-09-12T00:00:00"/>
    <n v="1"/>
    <n v="16.34"/>
    <s v="White Clover Markets"/>
    <s v="1029 - 12th Ave. S."/>
    <x v="18"/>
    <s v="WA"/>
    <s v="98124"/>
    <x v="8"/>
    <n v="8"/>
  </r>
  <r>
    <n v="10597"/>
    <x v="54"/>
    <n v="7"/>
    <x v="266"/>
    <d v="1995-09-08T00:00:00"/>
    <d v="1995-08-18T00:00:00"/>
    <n v="3"/>
    <n v="35.119999999999997"/>
    <s v="Piccolo und mehr"/>
    <s v="Geislweg 14"/>
    <x v="44"/>
    <s v="unknown"/>
    <s v="5020"/>
    <x v="6"/>
    <n v="8"/>
  </r>
  <r>
    <n v="10598"/>
    <x v="13"/>
    <n v="1"/>
    <x v="267"/>
    <d v="1995-09-11T00:00:00"/>
    <d v="1995-08-18T00:00:00"/>
    <n v="3"/>
    <n v="44.42"/>
    <s v="Rattlesnake Canyon Grocery"/>
    <s v="2817 Milton Dr."/>
    <x v="12"/>
    <s v="NM"/>
    <s v="87110"/>
    <x v="8"/>
    <n v="8"/>
  </r>
  <r>
    <n v="10599"/>
    <x v="31"/>
    <n v="6"/>
    <x v="268"/>
    <d v="1995-09-26T00:00:00"/>
    <d v="1995-08-21T00:00:00"/>
    <n v="3"/>
    <n v="29.98"/>
    <s v="B's Beverages"/>
    <s v="Fauntleroy Circus"/>
    <x v="28"/>
    <s v="unknown"/>
    <s v="EC2 5NT"/>
    <x v="13"/>
    <n v="8"/>
  </r>
  <r>
    <n v="10600"/>
    <x v="64"/>
    <n v="4"/>
    <x v="269"/>
    <d v="1995-09-13T00:00:00"/>
    <d v="1995-08-21T00:00:00"/>
    <n v="1"/>
    <n v="45.13"/>
    <s v="Hungry Coyote Import Store"/>
    <s v="City Center Plaza516 Main St."/>
    <x v="50"/>
    <s v="OR"/>
    <s v="97827"/>
    <x v="8"/>
    <n v="8"/>
  </r>
  <r>
    <n v="10601"/>
    <x v="8"/>
    <n v="7"/>
    <x v="269"/>
    <d v="1995-09-27T00:00:00"/>
    <d v="1995-08-22T00:00:00"/>
    <n v="1"/>
    <n v="58.3"/>
    <s v="HILARIÃ“N-Abastos"/>
    <s v="Carrera 22 con Ave. Carlos Soublette #8-35"/>
    <x v="8"/>
    <s v="TÃ¡chira"/>
    <s v="5022"/>
    <x v="5"/>
    <n v="8"/>
  </r>
  <r>
    <n v="10602"/>
    <x v="61"/>
    <n v="8"/>
    <x v="270"/>
    <d v="1995-09-14T00:00:00"/>
    <d v="1995-08-22T00:00:00"/>
    <n v="2"/>
    <n v="2.92"/>
    <s v="Vaffeljernet"/>
    <s v="SmagslÃ¸get 45"/>
    <x v="48"/>
    <s v="unknown"/>
    <s v="8200"/>
    <x v="17"/>
    <n v="8"/>
  </r>
  <r>
    <n v="10603"/>
    <x v="45"/>
    <n v="8"/>
    <x v="271"/>
    <d v="1995-09-15T00:00:00"/>
    <d v="1995-09-08T00:00:00"/>
    <n v="2"/>
    <n v="48.77"/>
    <s v="Save-a-lot Markets"/>
    <s v="187 Suffolk Ln."/>
    <x v="38"/>
    <s v="ID"/>
    <s v="83720"/>
    <x v="8"/>
    <n v="8"/>
  </r>
  <r>
    <n v="10604"/>
    <x v="47"/>
    <n v="1"/>
    <x v="271"/>
    <d v="1995-09-15T00:00:00"/>
    <d v="1995-08-29T00:00:00"/>
    <n v="1"/>
    <n v="7.46"/>
    <s v="Furia Bacalhau e Frutos do Mar"/>
    <s v="Jardim das rosas n. 32"/>
    <x v="39"/>
    <s v="unknown"/>
    <s v="1675"/>
    <x v="15"/>
    <n v="8"/>
  </r>
  <r>
    <n v="10605"/>
    <x v="49"/>
    <n v="1"/>
    <x v="272"/>
    <d v="1995-09-18T00:00:00"/>
    <d v="1995-08-29T00:00:00"/>
    <n v="2"/>
    <n v="379.13"/>
    <s v="MÃ¨re Paillarde"/>
    <s v="43 rue St. Laurent"/>
    <x v="41"/>
    <s v="QuÃ©bec"/>
    <s v="H1J 1C3"/>
    <x v="16"/>
    <n v="8"/>
  </r>
  <r>
    <n v="10606"/>
    <x v="33"/>
    <n v="4"/>
    <x v="273"/>
    <d v="1995-09-19T00:00:00"/>
    <d v="1995-08-31T00:00:00"/>
    <n v="3"/>
    <n v="79.400000000000006"/>
    <s v="TradiÃ§Ã£o Hipermercados"/>
    <s v="Av. InÃªs de Castro, 414"/>
    <x v="29"/>
    <s v="SP"/>
    <s v="05634-030"/>
    <x v="2"/>
    <n v="8"/>
  </r>
  <r>
    <n v="10607"/>
    <x v="45"/>
    <n v="5"/>
    <x v="273"/>
    <d v="1995-09-19T00:00:00"/>
    <d v="1995-08-25T00:00:00"/>
    <n v="1"/>
    <n v="200.24"/>
    <s v="Save-a-lot Markets"/>
    <s v="187 Suffolk Ln."/>
    <x v="38"/>
    <s v="ID"/>
    <s v="83720"/>
    <x v="8"/>
    <n v="8"/>
  </r>
  <r>
    <n v="10608"/>
    <x v="1"/>
    <n v="4"/>
    <x v="274"/>
    <d v="1995-09-20T00:00:00"/>
    <d v="1995-09-01T00:00:00"/>
    <n v="2"/>
    <n v="27.79"/>
    <s v="Toms SpezialitÃ¤ten"/>
    <s v="Luisenstr. 48"/>
    <x v="1"/>
    <s v="unknown"/>
    <s v="44087"/>
    <x v="1"/>
    <n v="8"/>
  </r>
  <r>
    <n v="10609"/>
    <x v="41"/>
    <n v="7"/>
    <x v="275"/>
    <d v="1995-09-21T00:00:00"/>
    <d v="1995-08-30T00:00:00"/>
    <n v="2"/>
    <n v="1.85"/>
    <s v="Du monde entier"/>
    <s v="67, rue des Cinquante Otages"/>
    <x v="35"/>
    <s v="unknown"/>
    <s v="44000"/>
    <x v="0"/>
    <n v="8"/>
  </r>
  <r>
    <n v="10610"/>
    <x v="53"/>
    <n v="8"/>
    <x v="276"/>
    <d v="1995-09-22T00:00:00"/>
    <d v="1995-09-06T00:00:00"/>
    <n v="1"/>
    <n v="26.78"/>
    <s v="La maison d'Asie"/>
    <s v="1 rue Alsace-Lorraine"/>
    <x v="43"/>
    <s v="unknown"/>
    <s v="31000"/>
    <x v="0"/>
    <n v="8"/>
  </r>
  <r>
    <n v="10611"/>
    <x v="63"/>
    <n v="6"/>
    <x v="276"/>
    <d v="1995-09-22T00:00:00"/>
    <d v="1995-09-01T00:00:00"/>
    <n v="2"/>
    <n v="80.650000000000006"/>
    <s v="Wolski Zajazd"/>
    <s v="ul. Filtrowa 68"/>
    <x v="49"/>
    <s v="unknown"/>
    <s v="01-012"/>
    <x v="18"/>
    <n v="8"/>
  </r>
  <r>
    <n v="10612"/>
    <x v="45"/>
    <n v="1"/>
    <x v="277"/>
    <d v="1995-09-25T00:00:00"/>
    <d v="1995-09-01T00:00:00"/>
    <n v="2"/>
    <n v="544.08000000000004"/>
    <s v="Save-a-lot Markets"/>
    <s v="187 Suffolk Ln."/>
    <x v="38"/>
    <s v="ID"/>
    <s v="83720"/>
    <x v="8"/>
    <n v="8"/>
  </r>
  <r>
    <n v="10613"/>
    <x v="8"/>
    <n v="4"/>
    <x v="278"/>
    <d v="1995-09-26T00:00:00"/>
    <d v="1995-09-01T00:00:00"/>
    <n v="2"/>
    <n v="8.11"/>
    <s v="HILARIÃ“N-Abastos"/>
    <s v="Carrera 22 con Ave. Carlos Soublette #8-35"/>
    <x v="8"/>
    <s v="TÃ¡chira"/>
    <s v="5022"/>
    <x v="5"/>
    <n v="8"/>
  </r>
  <r>
    <n v="10614"/>
    <x v="76"/>
    <n v="8"/>
    <x v="278"/>
    <d v="1995-09-26T00:00:00"/>
    <d v="1995-09-01T00:00:00"/>
    <n v="3"/>
    <n v="1.93"/>
    <s v="Blauer See Delikatessen"/>
    <s v="Forsterstr. 57"/>
    <x v="60"/>
    <s v="unknown"/>
    <s v="68306"/>
    <x v="1"/>
    <n v="8"/>
  </r>
  <r>
    <n v="10615"/>
    <x v="83"/>
    <n v="2"/>
    <x v="279"/>
    <d v="1995-09-27T00:00:00"/>
    <d v="1995-09-06T00:00:00"/>
    <n v="3"/>
    <n v="0.75"/>
    <s v="Wilman Kala"/>
    <s v="Keskuskatu 45"/>
    <x v="65"/>
    <s v="unknown"/>
    <s v="21240"/>
    <x v="10"/>
    <n v="8"/>
  </r>
  <r>
    <n v="10616"/>
    <x v="79"/>
    <n v="1"/>
    <x v="280"/>
    <d v="1995-09-28T00:00:00"/>
    <d v="1995-09-05T00:00:00"/>
    <n v="2"/>
    <n v="116.53"/>
    <s v="Great Lakes Food Market"/>
    <s v="2732 Baker Blvd."/>
    <x v="61"/>
    <s v="OR"/>
    <s v="97403"/>
    <x v="8"/>
    <n v="8"/>
  </r>
  <r>
    <n v="10617"/>
    <x v="79"/>
    <n v="4"/>
    <x v="280"/>
    <d v="1995-09-28T00:00:00"/>
    <d v="1995-09-04T00:00:00"/>
    <n v="2"/>
    <n v="18.53"/>
    <s v="Great Lakes Food Market"/>
    <s v="2732 Baker Blvd."/>
    <x v="61"/>
    <s v="OR"/>
    <s v="97403"/>
    <x v="8"/>
    <n v="8"/>
  </r>
  <r>
    <n v="10618"/>
    <x v="49"/>
    <n v="1"/>
    <x v="281"/>
    <d v="1995-10-13T00:00:00"/>
    <d v="1995-09-08T00:00:00"/>
    <n v="1"/>
    <n v="154.68"/>
    <s v="MÃ¨re Paillarde"/>
    <s v="43 rue St. Laurent"/>
    <x v="41"/>
    <s v="QuÃ©bec"/>
    <s v="H1J 1C3"/>
    <x v="16"/>
    <n v="9"/>
  </r>
  <r>
    <n v="10619"/>
    <x v="49"/>
    <n v="3"/>
    <x v="282"/>
    <d v="1995-10-02T00:00:00"/>
    <d v="1995-09-07T00:00:00"/>
    <n v="3"/>
    <n v="91.05"/>
    <s v="MÃ¨re Paillarde"/>
    <s v="43 rue St. Laurent"/>
    <x v="41"/>
    <s v="QuÃ©bec"/>
    <s v="H1J 1C3"/>
    <x v="16"/>
    <n v="9"/>
  </r>
  <r>
    <n v="10620"/>
    <x v="75"/>
    <n v="2"/>
    <x v="283"/>
    <d v="1995-10-03T00:00:00"/>
    <d v="1995-09-14T00:00:00"/>
    <n v="3"/>
    <n v="0.94"/>
    <s v="Laughing Bacchus Wine Cellars"/>
    <s v="2319 Elm St."/>
    <x v="59"/>
    <s v="BC"/>
    <s v="V3F 2K1"/>
    <x v="16"/>
    <n v="9"/>
  </r>
  <r>
    <n v="10621"/>
    <x v="42"/>
    <n v="4"/>
    <x v="283"/>
    <d v="1995-10-03T00:00:00"/>
    <d v="1995-09-11T00:00:00"/>
    <n v="2"/>
    <n v="23.73"/>
    <s v="Island Trading"/>
    <s v="Garden HouseCrowther Way"/>
    <x v="36"/>
    <s v="Isle of Wight"/>
    <s v="PO31 7PJ"/>
    <x v="13"/>
    <n v="9"/>
  </r>
  <r>
    <n v="10622"/>
    <x v="29"/>
    <n v="4"/>
    <x v="284"/>
    <d v="1995-10-04T00:00:00"/>
    <d v="1995-09-11T00:00:00"/>
    <n v="3"/>
    <n v="50.97"/>
    <s v="Ricardo Adocicados"/>
    <s v="Av. Copacabana, 267"/>
    <x v="2"/>
    <s v="RJ"/>
    <s v="02389-890"/>
    <x v="2"/>
    <n v="9"/>
  </r>
  <r>
    <n v="10623"/>
    <x v="17"/>
    <n v="8"/>
    <x v="285"/>
    <d v="1995-10-05T00:00:00"/>
    <d v="1995-09-12T00:00:00"/>
    <n v="2"/>
    <n v="97.18"/>
    <s v="Frankenversand"/>
    <s v="Berliner Platz 43"/>
    <x v="16"/>
    <s v="unknown"/>
    <s v="80805"/>
    <x v="1"/>
    <n v="9"/>
  </r>
  <r>
    <n v="10624"/>
    <x v="84"/>
    <n v="4"/>
    <x v="285"/>
    <d v="1995-10-05T00:00:00"/>
    <d v="1995-09-19T00:00:00"/>
    <n v="2"/>
    <n v="94.8"/>
    <s v="The Cracker Box"/>
    <s v="55 Grizzly Peak Rd."/>
    <x v="66"/>
    <s v="MT"/>
    <s v="59801"/>
    <x v="8"/>
    <n v="9"/>
  </r>
  <r>
    <n v="10625"/>
    <x v="39"/>
    <n v="3"/>
    <x v="286"/>
    <d v="1995-10-06T00:00:00"/>
    <d v="1995-09-14T00:00:00"/>
    <n v="1"/>
    <n v="43.9"/>
    <s v="Ana Trujillo Emparedados y helados"/>
    <s v="Avda. de la ConstituciÃ³n 2222"/>
    <x v="10"/>
    <s v="unknown"/>
    <s v="05021"/>
    <x v="7"/>
    <n v="9"/>
  </r>
  <r>
    <n v="10626"/>
    <x v="25"/>
    <n v="1"/>
    <x v="287"/>
    <d v="1995-10-09T00:00:00"/>
    <d v="1995-09-20T00:00:00"/>
    <n v="2"/>
    <n v="138.69"/>
    <s v="Berglunds snabbkÃ¶p"/>
    <s v="BerguvsvÃ¤gen  8"/>
    <x v="23"/>
    <s v="unknown"/>
    <s v="S-958 22"/>
    <x v="9"/>
    <n v="9"/>
  </r>
  <r>
    <n v="10627"/>
    <x v="45"/>
    <n v="8"/>
    <x v="287"/>
    <d v="1995-10-23T00:00:00"/>
    <d v="1995-09-21T00:00:00"/>
    <n v="3"/>
    <n v="107.46"/>
    <s v="Save-a-lot Markets"/>
    <s v="187 Suffolk Ln."/>
    <x v="38"/>
    <s v="ID"/>
    <s v="83720"/>
    <x v="8"/>
    <n v="9"/>
  </r>
  <r>
    <n v="10628"/>
    <x v="15"/>
    <n v="4"/>
    <x v="288"/>
    <d v="1995-10-10T00:00:00"/>
    <d v="1995-09-20T00:00:00"/>
    <n v="3"/>
    <n v="30.36"/>
    <s v="Blondel pÃ¨re et fils"/>
    <s v="24, place KlÃ©ber"/>
    <x v="14"/>
    <s v="unknown"/>
    <s v="67000"/>
    <x v="0"/>
    <n v="9"/>
  </r>
  <r>
    <n v="10629"/>
    <x v="36"/>
    <n v="4"/>
    <x v="288"/>
    <d v="1995-10-10T00:00:00"/>
    <d v="1995-09-20T00:00:00"/>
    <n v="3"/>
    <n v="85.46"/>
    <s v="Godos Cocina TÃ­pica"/>
    <s v="C/ Romero, 33"/>
    <x v="32"/>
    <s v="unknown"/>
    <s v="41101"/>
    <x v="12"/>
    <n v="9"/>
  </r>
  <r>
    <n v="10630"/>
    <x v="44"/>
    <n v="1"/>
    <x v="289"/>
    <d v="1995-10-11T00:00:00"/>
    <d v="1995-09-19T00:00:00"/>
    <n v="2"/>
    <n v="32.35"/>
    <s v="KÃ¶niglich Essen"/>
    <s v="Maubelstr. 90"/>
    <x v="37"/>
    <s v="unknown"/>
    <s v="14776"/>
    <x v="1"/>
    <n v="9"/>
  </r>
  <r>
    <n v="10631"/>
    <x v="53"/>
    <n v="8"/>
    <x v="290"/>
    <d v="1995-10-12T00:00:00"/>
    <d v="1995-09-15T00:00:00"/>
    <n v="1"/>
    <n v="0.87"/>
    <s v="La maison d'Asie"/>
    <s v="1 rue Alsace-Lorraine"/>
    <x v="43"/>
    <s v="unknown"/>
    <s v="31000"/>
    <x v="0"/>
    <n v="9"/>
  </r>
  <r>
    <n v="10632"/>
    <x v="35"/>
    <n v="8"/>
    <x v="290"/>
    <d v="1995-10-12T00:00:00"/>
    <d v="1995-09-19T00:00:00"/>
    <n v="1"/>
    <n v="41.38"/>
    <s v="Die Wandernde Kuh"/>
    <s v="Adenauerallee 900"/>
    <x v="31"/>
    <s v="unknown"/>
    <s v="70563"/>
    <x v="1"/>
    <n v="9"/>
  </r>
  <r>
    <n v="10633"/>
    <x v="9"/>
    <n v="7"/>
    <x v="291"/>
    <d v="1995-10-13T00:00:00"/>
    <d v="1995-09-18T00:00:00"/>
    <n v="3"/>
    <n v="477.9"/>
    <s v="Ernst Handel"/>
    <s v="Kirchgasse 6"/>
    <x v="9"/>
    <s v="unknown"/>
    <s v="8010"/>
    <x v="6"/>
    <n v="9"/>
  </r>
  <r>
    <n v="10634"/>
    <x v="68"/>
    <n v="4"/>
    <x v="291"/>
    <d v="1995-10-13T00:00:00"/>
    <d v="1995-09-21T00:00:00"/>
    <n v="3"/>
    <n v="487.38"/>
    <s v="Folies gourmandes"/>
    <s v="184, chaussÃ©e de Tournai"/>
    <x v="54"/>
    <s v="unknown"/>
    <s v="59000"/>
    <x v="0"/>
    <n v="9"/>
  </r>
  <r>
    <n v="10635"/>
    <x v="22"/>
    <n v="8"/>
    <x v="292"/>
    <d v="1995-10-16T00:00:00"/>
    <d v="1995-09-21T00:00:00"/>
    <n v="3"/>
    <n v="47.46"/>
    <s v="Magazzini Alimentari Riuniti"/>
    <s v="Via Ludovico il Moro 22"/>
    <x v="21"/>
    <s v="unknown"/>
    <s v="24100"/>
    <x v="11"/>
    <n v="9"/>
  </r>
  <r>
    <n v="10636"/>
    <x v="16"/>
    <n v="4"/>
    <x v="293"/>
    <d v="1995-10-17T00:00:00"/>
    <d v="1995-09-26T00:00:00"/>
    <n v="1"/>
    <n v="1.1499999999999999"/>
    <s v="Wartian Herkku"/>
    <s v="Torikatu 38"/>
    <x v="15"/>
    <s v="unknown"/>
    <s v="90110"/>
    <x v="10"/>
    <n v="9"/>
  </r>
  <r>
    <n v="10637"/>
    <x v="62"/>
    <n v="6"/>
    <x v="293"/>
    <d v="1995-10-17T00:00:00"/>
    <d v="1995-09-26T00:00:00"/>
    <n v="1"/>
    <n v="201.29"/>
    <s v="Queen Cozinha"/>
    <s v="Alameda dos CanÃ rios, 891"/>
    <x v="29"/>
    <s v="SP"/>
    <s v="05487-020"/>
    <x v="2"/>
    <n v="9"/>
  </r>
  <r>
    <n v="10638"/>
    <x v="67"/>
    <n v="3"/>
    <x v="294"/>
    <d v="1995-10-18T00:00:00"/>
    <d v="1995-10-02T00:00:00"/>
    <n v="1"/>
    <n v="158.44"/>
    <s v="LINO-Delicateses"/>
    <s v="Ave. 5 de Mayo Porlamar"/>
    <x v="53"/>
    <s v="Nueva Esparta"/>
    <s v="4980"/>
    <x v="5"/>
    <n v="9"/>
  </r>
  <r>
    <n v="10639"/>
    <x v="65"/>
    <n v="7"/>
    <x v="294"/>
    <d v="1995-10-18T00:00:00"/>
    <d v="1995-09-27T00:00:00"/>
    <n v="3"/>
    <n v="38.64"/>
    <s v="SantÃ© Gourmet"/>
    <s v="Erling Skakkes gate 78"/>
    <x v="51"/>
    <s v="unknown"/>
    <s v="4110"/>
    <x v="19"/>
    <n v="9"/>
  </r>
  <r>
    <n v="10640"/>
    <x v="35"/>
    <n v="4"/>
    <x v="295"/>
    <d v="1995-10-19T00:00:00"/>
    <d v="1995-09-28T00:00:00"/>
    <n v="1"/>
    <n v="23.55"/>
    <s v="Die Wandernde Kuh"/>
    <s v="Adenauerallee 900"/>
    <x v="31"/>
    <s v="unknown"/>
    <s v="70563"/>
    <x v="1"/>
    <n v="9"/>
  </r>
  <r>
    <n v="10641"/>
    <x v="8"/>
    <n v="4"/>
    <x v="296"/>
    <d v="1995-10-20T00:00:00"/>
    <d v="1995-09-26T00:00:00"/>
    <n v="2"/>
    <n v="179.61"/>
    <s v="HILARIÃ“N-Abastos"/>
    <s v="Carrera 22 con Ave. Carlos Soublette #8-35"/>
    <x v="8"/>
    <s v="TÃ¡chira"/>
    <s v="5022"/>
    <x v="5"/>
    <n v="9"/>
  </r>
  <r>
    <n v="10642"/>
    <x v="51"/>
    <n v="7"/>
    <x v="296"/>
    <d v="1995-10-20T00:00:00"/>
    <d v="1995-10-06T00:00:00"/>
    <n v="3"/>
    <n v="41.89"/>
    <s v="Simons bistro"/>
    <s v="VinbÃ¦ltet 34"/>
    <x v="42"/>
    <s v="unknown"/>
    <s v="1734"/>
    <x v="17"/>
    <n v="9"/>
  </r>
  <r>
    <n v="10643"/>
    <x v="85"/>
    <n v="6"/>
    <x v="297"/>
    <d v="1995-10-23T00:00:00"/>
    <d v="1995-10-03T00:00:00"/>
    <n v="1"/>
    <n v="29.46"/>
    <s v="Alfreds Futterkiste"/>
    <s v="Obere Str. 57"/>
    <x v="67"/>
    <s v="unknown"/>
    <s v="12209"/>
    <x v="1"/>
    <n v="9"/>
  </r>
  <r>
    <n v="10644"/>
    <x v="7"/>
    <n v="3"/>
    <x v="297"/>
    <d v="1995-10-23T00:00:00"/>
    <d v="1995-10-02T00:00:00"/>
    <n v="2"/>
    <n v="0.14000000000000001"/>
    <s v="Wellington Importadora"/>
    <s v="Rua do Mercado, 12"/>
    <x v="7"/>
    <s v="SP"/>
    <s v="08737-363"/>
    <x v="2"/>
    <n v="9"/>
  </r>
  <r>
    <n v="10645"/>
    <x v="2"/>
    <n v="4"/>
    <x v="298"/>
    <d v="1995-10-24T00:00:00"/>
    <d v="1995-10-03T00:00:00"/>
    <n v="1"/>
    <n v="12.41"/>
    <s v="Hanari Carnes"/>
    <s v="Rua do PaÃ§o, 67"/>
    <x v="2"/>
    <s v="RJ"/>
    <s v="05454-876"/>
    <x v="2"/>
    <n v="9"/>
  </r>
  <r>
    <n v="10646"/>
    <x v="34"/>
    <n v="9"/>
    <x v="299"/>
    <d v="1995-11-08T00:00:00"/>
    <d v="1995-10-04T00:00:00"/>
    <n v="3"/>
    <n v="142.33000000000001"/>
    <s v="Hungry Owl All-Night Grocers"/>
    <s v="8 Johnstown Road"/>
    <x v="30"/>
    <s v="Co. Cork"/>
    <s v="unknown"/>
    <x v="14"/>
    <n v="9"/>
  </r>
  <r>
    <n v="10647"/>
    <x v="12"/>
    <n v="4"/>
    <x v="299"/>
    <d v="1995-10-11T00:00:00"/>
    <d v="1995-10-04T00:00:00"/>
    <n v="2"/>
    <n v="45.54"/>
    <s v="Que DelÃ­cia"/>
    <s v="Rua da Panificadora, 12"/>
    <x v="2"/>
    <s v="RJ"/>
    <s v="02389-673"/>
    <x v="2"/>
    <n v="9"/>
  </r>
  <r>
    <n v="10648"/>
    <x v="29"/>
    <n v="5"/>
    <x v="300"/>
    <d v="1995-11-09T00:00:00"/>
    <d v="1995-10-10T00:00:00"/>
    <n v="2"/>
    <n v="14.25"/>
    <s v="Ricardo Adocicados"/>
    <s v="Av. Copacabana, 267"/>
    <x v="2"/>
    <s v="RJ"/>
    <s v="02389-890"/>
    <x v="2"/>
    <n v="9"/>
  </r>
  <r>
    <n v="10649"/>
    <x v="80"/>
    <n v="5"/>
    <x v="300"/>
    <d v="1995-10-26T00:00:00"/>
    <d v="1995-09-29T00:00:00"/>
    <n v="3"/>
    <n v="6.2"/>
    <s v="Maison Dewey"/>
    <s v="Rue Joseph-Bens 532"/>
    <x v="62"/>
    <s v="unknown"/>
    <s v="B-1180"/>
    <x v="3"/>
    <n v="9"/>
  </r>
  <r>
    <n v="10650"/>
    <x v="52"/>
    <n v="5"/>
    <x v="301"/>
    <d v="1995-10-27T00:00:00"/>
    <d v="1995-10-04T00:00:00"/>
    <n v="3"/>
    <n v="176.81"/>
    <s v="Familia Arquibaldo"/>
    <s v="Rua OrÃ³s, 92"/>
    <x v="29"/>
    <s v="SP"/>
    <s v="05442-030"/>
    <x v="2"/>
    <n v="9"/>
  </r>
  <r>
    <n v="10651"/>
    <x v="35"/>
    <n v="8"/>
    <x v="302"/>
    <d v="1995-10-30T00:00:00"/>
    <d v="1995-10-12T00:00:00"/>
    <n v="2"/>
    <n v="20.6"/>
    <s v="Die Wandernde Kuh"/>
    <s v="Adenauerallee 900"/>
    <x v="31"/>
    <s v="unknown"/>
    <s v="70563"/>
    <x v="1"/>
    <n v="10"/>
  </r>
  <r>
    <n v="10652"/>
    <x v="71"/>
    <n v="4"/>
    <x v="302"/>
    <d v="1995-10-30T00:00:00"/>
    <d v="1995-10-09T00:00:00"/>
    <n v="2"/>
    <n v="7.14"/>
    <s v="Gourmet Lanchonetes"/>
    <s v="Av. Brasil, 442"/>
    <x v="57"/>
    <s v="SP"/>
    <s v="04876-786"/>
    <x v="2"/>
    <n v="10"/>
  </r>
  <r>
    <n v="10653"/>
    <x v="17"/>
    <n v="1"/>
    <x v="303"/>
    <d v="1995-10-31T00:00:00"/>
    <d v="1995-10-20T00:00:00"/>
    <n v="1"/>
    <n v="93.25"/>
    <s v="Frankenversand"/>
    <s v="Berliner Platz 43"/>
    <x v="16"/>
    <s v="unknown"/>
    <s v="80805"/>
    <x v="1"/>
    <n v="10"/>
  </r>
  <r>
    <n v="10654"/>
    <x v="25"/>
    <n v="5"/>
    <x v="303"/>
    <d v="1995-10-31T00:00:00"/>
    <d v="1995-10-12T00:00:00"/>
    <n v="1"/>
    <n v="55.26"/>
    <s v="Berglunds snabbkÃ¶p"/>
    <s v="BerguvsvÃ¤gen  8"/>
    <x v="23"/>
    <s v="unknown"/>
    <s v="S-958 22"/>
    <x v="9"/>
    <n v="10"/>
  </r>
  <r>
    <n v="10655"/>
    <x v="30"/>
    <n v="1"/>
    <x v="304"/>
    <d v="1995-11-01T00:00:00"/>
    <d v="1995-10-12T00:00:00"/>
    <n v="2"/>
    <n v="4.41"/>
    <s v="Reggiani Caseifici"/>
    <s v="Strada Provinciale 124"/>
    <x v="27"/>
    <s v="unknown"/>
    <s v="42100"/>
    <x v="11"/>
    <n v="10"/>
  </r>
  <r>
    <n v="10656"/>
    <x v="79"/>
    <n v="6"/>
    <x v="305"/>
    <d v="1995-11-02T00:00:00"/>
    <d v="1995-10-11T00:00:00"/>
    <n v="1"/>
    <n v="57.15"/>
    <s v="Great Lakes Food Market"/>
    <s v="2732 Baker Blvd."/>
    <x v="61"/>
    <s v="OR"/>
    <s v="97403"/>
    <x v="8"/>
    <n v="10"/>
  </r>
  <r>
    <n v="10657"/>
    <x v="45"/>
    <n v="2"/>
    <x v="305"/>
    <d v="1995-11-02T00:00:00"/>
    <d v="1995-10-16T00:00:00"/>
    <n v="2"/>
    <n v="352.69"/>
    <s v="Save-a-lot Markets"/>
    <s v="187 Suffolk Ln."/>
    <x v="38"/>
    <s v="ID"/>
    <s v="83720"/>
    <x v="8"/>
    <n v="10"/>
  </r>
  <r>
    <n v="10658"/>
    <x v="21"/>
    <n v="4"/>
    <x v="306"/>
    <d v="1995-11-03T00:00:00"/>
    <d v="1995-10-09T00:00:00"/>
    <n v="1"/>
    <n v="364.15"/>
    <s v="QUICK-Stop"/>
    <s v="TaucherstraÃŸe 10"/>
    <x v="20"/>
    <s v="unknown"/>
    <s v="01307"/>
    <x v="1"/>
    <n v="10"/>
  </r>
  <r>
    <n v="10659"/>
    <x v="62"/>
    <n v="7"/>
    <x v="306"/>
    <d v="1995-11-03T00:00:00"/>
    <d v="1995-10-11T00:00:00"/>
    <n v="2"/>
    <n v="105.81"/>
    <s v="Queen Cozinha"/>
    <s v="Alameda dos CanÃ rios, 891"/>
    <x v="29"/>
    <s v="SP"/>
    <s v="05487-020"/>
    <x v="2"/>
    <n v="10"/>
  </r>
  <r>
    <n v="10660"/>
    <x v="64"/>
    <n v="8"/>
    <x v="307"/>
    <d v="1995-11-06T00:00:00"/>
    <d v="1995-11-15T00:00:00"/>
    <n v="1"/>
    <n v="111.29"/>
    <s v="Hungry Coyote Import Store"/>
    <s v="City Center Plaza516 Main St."/>
    <x v="50"/>
    <s v="OR"/>
    <s v="97827"/>
    <x v="8"/>
    <n v="10"/>
  </r>
  <r>
    <n v="10661"/>
    <x v="34"/>
    <n v="7"/>
    <x v="308"/>
    <d v="1995-11-07T00:00:00"/>
    <d v="1995-10-16T00:00:00"/>
    <n v="3"/>
    <n v="17.55"/>
    <s v="Hungry Owl All-Night Grocers"/>
    <s v="8 Johnstown Road"/>
    <x v="30"/>
    <s v="Co. Cork"/>
    <s v="unknown"/>
    <x v="14"/>
    <n v="10"/>
  </r>
  <r>
    <n v="10662"/>
    <x v="38"/>
    <n v="3"/>
    <x v="308"/>
    <d v="1995-11-07T00:00:00"/>
    <d v="1995-10-19T00:00:00"/>
    <n v="2"/>
    <n v="1.28"/>
    <s v="Lonesome Pine Restaurant"/>
    <s v="89 Chiaroscuro Rd."/>
    <x v="34"/>
    <s v="OR"/>
    <s v="97219"/>
    <x v="8"/>
    <n v="10"/>
  </r>
  <r>
    <n v="10663"/>
    <x v="48"/>
    <n v="2"/>
    <x v="309"/>
    <d v="1995-10-25T00:00:00"/>
    <d v="1995-11-03T00:00:00"/>
    <n v="2"/>
    <n v="113.15"/>
    <s v="Bon app'"/>
    <s v="12, rue des Bouchers"/>
    <x v="40"/>
    <s v="unknown"/>
    <s v="13008"/>
    <x v="0"/>
    <n v="10"/>
  </r>
  <r>
    <n v="10664"/>
    <x v="47"/>
    <n v="1"/>
    <x v="309"/>
    <d v="1995-11-08T00:00:00"/>
    <d v="1995-10-20T00:00:00"/>
    <n v="3"/>
    <n v="1.27"/>
    <s v="Furia Bacalhau e Frutos do Mar"/>
    <s v="Jardim das rosas n. 32"/>
    <x v="39"/>
    <s v="unknown"/>
    <s v="1675"/>
    <x v="15"/>
    <n v="10"/>
  </r>
  <r>
    <n v="10665"/>
    <x v="38"/>
    <n v="1"/>
    <x v="310"/>
    <d v="1995-11-09T00:00:00"/>
    <d v="1995-10-18T00:00:00"/>
    <n v="2"/>
    <n v="26.31"/>
    <s v="Lonesome Pine Restaurant"/>
    <s v="89 Chiaroscuro Rd."/>
    <x v="34"/>
    <s v="OR"/>
    <s v="97219"/>
    <x v="8"/>
    <n v="10"/>
  </r>
  <r>
    <n v="10666"/>
    <x v="6"/>
    <n v="7"/>
    <x v="311"/>
    <d v="1995-11-10T00:00:00"/>
    <d v="1995-10-23T00:00:00"/>
    <n v="2"/>
    <n v="232.42"/>
    <s v="Richter Supermarkt"/>
    <s v="Starenweg 5"/>
    <x v="6"/>
    <s v="unknown"/>
    <s v="1204"/>
    <x v="4"/>
    <n v="10"/>
  </r>
  <r>
    <n v="10667"/>
    <x v="9"/>
    <n v="7"/>
    <x v="311"/>
    <d v="1995-11-10T00:00:00"/>
    <d v="1995-10-20T00:00:00"/>
    <n v="1"/>
    <n v="78.09"/>
    <s v="Ernst Handel"/>
    <s v="Kirchgasse 6"/>
    <x v="9"/>
    <s v="unknown"/>
    <s v="8010"/>
    <x v="6"/>
    <n v="10"/>
  </r>
  <r>
    <n v="10668"/>
    <x v="35"/>
    <n v="1"/>
    <x v="312"/>
    <d v="1995-11-13T00:00:00"/>
    <d v="1995-10-24T00:00:00"/>
    <n v="2"/>
    <n v="47.22"/>
    <s v="Die Wandernde Kuh"/>
    <s v="Adenauerallee 900"/>
    <x v="31"/>
    <s v="unknown"/>
    <s v="70563"/>
    <x v="1"/>
    <n v="10"/>
  </r>
  <r>
    <n v="10669"/>
    <x v="51"/>
    <n v="2"/>
    <x v="312"/>
    <d v="1995-11-13T00:00:00"/>
    <d v="1995-10-23T00:00:00"/>
    <n v="1"/>
    <n v="24.39"/>
    <s v="Simons bistro"/>
    <s v="VinbÃ¦ltet 34"/>
    <x v="42"/>
    <s v="unknown"/>
    <s v="1734"/>
    <x v="17"/>
    <n v="10"/>
  </r>
  <r>
    <n v="10670"/>
    <x v="17"/>
    <n v="4"/>
    <x v="313"/>
    <d v="1995-11-14T00:00:00"/>
    <d v="1995-10-19T00:00:00"/>
    <n v="1"/>
    <n v="203.48"/>
    <s v="Frankenversand"/>
    <s v="Berliner Platz 43"/>
    <x v="16"/>
    <s v="unknown"/>
    <s v="80805"/>
    <x v="1"/>
    <n v="10"/>
  </r>
  <r>
    <n v="10671"/>
    <x v="86"/>
    <n v="1"/>
    <x v="314"/>
    <d v="1995-11-15T00:00:00"/>
    <d v="1995-10-25T00:00:00"/>
    <n v="1"/>
    <n v="30.34"/>
    <s v="France restauration"/>
    <s v="54, rue Royale"/>
    <x v="35"/>
    <s v="unknown"/>
    <s v="44000"/>
    <x v="0"/>
    <n v="10"/>
  </r>
  <r>
    <n v="10672"/>
    <x v="25"/>
    <n v="9"/>
    <x v="314"/>
    <d v="1995-11-01T00:00:00"/>
    <d v="1995-10-27T00:00:00"/>
    <n v="2"/>
    <n v="95.75"/>
    <s v="Berglunds snabbkÃ¶p"/>
    <s v="BerguvsvÃ¤gen  8"/>
    <x v="23"/>
    <s v="unknown"/>
    <s v="S-958 22"/>
    <x v="9"/>
    <n v="10"/>
  </r>
  <r>
    <n v="10673"/>
    <x v="83"/>
    <n v="2"/>
    <x v="315"/>
    <d v="1995-11-16T00:00:00"/>
    <d v="1995-10-20T00:00:00"/>
    <n v="1"/>
    <n v="22.76"/>
    <s v="Wilman Kala"/>
    <s v="Keskuskatu 45"/>
    <x v="65"/>
    <s v="unknown"/>
    <s v="21240"/>
    <x v="10"/>
    <n v="10"/>
  </r>
  <r>
    <n v="10674"/>
    <x v="42"/>
    <n v="4"/>
    <x v="315"/>
    <d v="1995-11-16T00:00:00"/>
    <d v="1995-10-31T00:00:00"/>
    <n v="2"/>
    <n v="0.9"/>
    <s v="Island Trading"/>
    <s v="Garden HouseCrowther Way"/>
    <x v="36"/>
    <s v="Isle of Wight"/>
    <s v="PO31 7PJ"/>
    <x v="13"/>
    <n v="10"/>
  </r>
  <r>
    <n v="10675"/>
    <x v="17"/>
    <n v="5"/>
    <x v="316"/>
    <d v="1995-11-17T00:00:00"/>
    <d v="1995-10-24T00:00:00"/>
    <n v="2"/>
    <n v="31.85"/>
    <s v="Frankenversand"/>
    <s v="Berliner Platz 43"/>
    <x v="16"/>
    <s v="unknown"/>
    <s v="80805"/>
    <x v="1"/>
    <n v="10"/>
  </r>
  <r>
    <n v="10676"/>
    <x v="23"/>
    <n v="2"/>
    <x v="317"/>
    <d v="1995-11-20T00:00:00"/>
    <d v="1995-10-30T00:00:00"/>
    <n v="2"/>
    <n v="2.0099999999999998"/>
    <s v="Tortuga Restaurante"/>
    <s v="Avda. Azteca 123"/>
    <x v="10"/>
    <s v="unknown"/>
    <s v="05033"/>
    <x v="7"/>
    <n v="10"/>
  </r>
  <r>
    <n v="10677"/>
    <x v="59"/>
    <n v="1"/>
    <x v="317"/>
    <d v="1995-11-20T00:00:00"/>
    <d v="1995-10-27T00:00:00"/>
    <n v="3"/>
    <n v="4.03"/>
    <s v="Antonio Moreno TaquerÃ­a"/>
    <s v="Mataderos  2312"/>
    <x v="10"/>
    <s v="unknown"/>
    <s v="05023"/>
    <x v="7"/>
    <n v="10"/>
  </r>
  <r>
    <n v="10678"/>
    <x v="45"/>
    <n v="7"/>
    <x v="318"/>
    <d v="1995-11-21T00:00:00"/>
    <d v="1995-11-16T00:00:00"/>
    <n v="3"/>
    <n v="388.98"/>
    <s v="Save-a-lot Markets"/>
    <s v="187 Suffolk Ln."/>
    <x v="38"/>
    <s v="ID"/>
    <s v="83720"/>
    <x v="8"/>
    <n v="10"/>
  </r>
  <r>
    <n v="10679"/>
    <x v="15"/>
    <n v="8"/>
    <x v="318"/>
    <d v="1995-11-21T00:00:00"/>
    <d v="1995-10-31T00:00:00"/>
    <n v="3"/>
    <n v="27.94"/>
    <s v="Blondel pÃ¨re et fils"/>
    <s v="24, place KlÃ©ber"/>
    <x v="14"/>
    <s v="unknown"/>
    <s v="67000"/>
    <x v="0"/>
    <n v="10"/>
  </r>
  <r>
    <n v="10680"/>
    <x v="37"/>
    <n v="1"/>
    <x v="319"/>
    <d v="1995-11-22T00:00:00"/>
    <d v="1995-10-27T00:00:00"/>
    <n v="1"/>
    <n v="26.61"/>
    <s v="Old World Delicatessen"/>
    <s v="2743 Bering St."/>
    <x v="33"/>
    <s v="AK"/>
    <s v="99508"/>
    <x v="8"/>
    <n v="10"/>
  </r>
  <r>
    <n v="10681"/>
    <x v="79"/>
    <n v="3"/>
    <x v="320"/>
    <d v="1995-11-23T00:00:00"/>
    <d v="1995-10-31T00:00:00"/>
    <n v="3"/>
    <n v="76.13"/>
    <s v="Great Lakes Food Market"/>
    <s v="2732 Baker Blvd."/>
    <x v="61"/>
    <s v="OR"/>
    <s v="97403"/>
    <x v="8"/>
    <n v="10"/>
  </r>
  <r>
    <n v="10682"/>
    <x v="59"/>
    <n v="3"/>
    <x v="320"/>
    <d v="1995-11-23T00:00:00"/>
    <d v="1995-11-01T00:00:00"/>
    <n v="2"/>
    <n v="36.130000000000003"/>
    <s v="Antonio Moreno TaquerÃ­a"/>
    <s v="Mataderos  2312"/>
    <x v="10"/>
    <s v="unknown"/>
    <s v="05023"/>
    <x v="7"/>
    <n v="10"/>
  </r>
  <r>
    <n v="10683"/>
    <x v="41"/>
    <n v="2"/>
    <x v="321"/>
    <d v="1995-11-24T00:00:00"/>
    <d v="1995-11-01T00:00:00"/>
    <n v="1"/>
    <n v="4.4000000000000004"/>
    <s v="Du monde entier"/>
    <s v="67, rue des Cinquante Otages"/>
    <x v="35"/>
    <s v="unknown"/>
    <s v="44000"/>
    <x v="0"/>
    <n v="10"/>
  </r>
  <r>
    <n v="10684"/>
    <x v="11"/>
    <n v="3"/>
    <x v="321"/>
    <d v="1995-11-24T00:00:00"/>
    <d v="1995-10-31T00:00:00"/>
    <n v="1"/>
    <n v="145.63"/>
    <s v="Ottilies KÃ¤seladen"/>
    <s v="Mehrheimerstr. 369"/>
    <x v="11"/>
    <s v="unknown"/>
    <s v="50739"/>
    <x v="1"/>
    <n v="10"/>
  </r>
  <r>
    <n v="10685"/>
    <x v="71"/>
    <n v="4"/>
    <x v="322"/>
    <d v="1995-11-13T00:00:00"/>
    <d v="1995-11-03T00:00:00"/>
    <n v="2"/>
    <n v="33.75"/>
    <s v="Gourmet Lanchonetes"/>
    <s v="Av. Brasil, 442"/>
    <x v="57"/>
    <s v="SP"/>
    <s v="04876-786"/>
    <x v="2"/>
    <n v="10"/>
  </r>
  <r>
    <n v="10686"/>
    <x v="54"/>
    <n v="2"/>
    <x v="323"/>
    <d v="1995-11-28T00:00:00"/>
    <d v="1995-11-08T00:00:00"/>
    <n v="1"/>
    <n v="96.5"/>
    <s v="Piccolo und mehr"/>
    <s v="Geislweg 14"/>
    <x v="44"/>
    <s v="unknown"/>
    <s v="5020"/>
    <x v="6"/>
    <n v="10"/>
  </r>
  <r>
    <n v="10687"/>
    <x v="34"/>
    <n v="9"/>
    <x v="323"/>
    <d v="1995-11-28T00:00:00"/>
    <d v="1995-11-30T00:00:00"/>
    <n v="2"/>
    <n v="296.43"/>
    <s v="Hungry Owl All-Night Grocers"/>
    <s v="8 Johnstown Road"/>
    <x v="30"/>
    <s v="Co. Cork"/>
    <s v="unknown"/>
    <x v="14"/>
    <n v="10"/>
  </r>
  <r>
    <n v="10688"/>
    <x v="61"/>
    <n v="4"/>
    <x v="324"/>
    <d v="1995-11-15T00:00:00"/>
    <d v="1995-11-07T00:00:00"/>
    <n v="2"/>
    <n v="299.08999999999997"/>
    <s v="Vaffeljernet"/>
    <s v="SmagslÃ¸get 45"/>
    <x v="48"/>
    <s v="unknown"/>
    <s v="8200"/>
    <x v="17"/>
    <n v="11"/>
  </r>
  <r>
    <n v="10689"/>
    <x v="25"/>
    <n v="1"/>
    <x v="324"/>
    <d v="1995-11-29T00:00:00"/>
    <d v="1995-11-07T00:00:00"/>
    <n v="2"/>
    <n v="13.42"/>
    <s v="Berglunds snabbkÃ¶p"/>
    <s v="BerguvsvÃ¤gen  8"/>
    <x v="23"/>
    <s v="unknown"/>
    <s v="S-958 22"/>
    <x v="9"/>
    <n v="11"/>
  </r>
  <r>
    <n v="10690"/>
    <x v="2"/>
    <n v="1"/>
    <x v="325"/>
    <d v="1995-11-30T00:00:00"/>
    <d v="1995-11-03T00:00:00"/>
    <n v="1"/>
    <n v="15.8"/>
    <s v="Hanari Carnes"/>
    <s v="Rua do PaÃ§o, 67"/>
    <x v="2"/>
    <s v="RJ"/>
    <s v="05454-876"/>
    <x v="2"/>
    <n v="11"/>
  </r>
  <r>
    <n v="10691"/>
    <x v="21"/>
    <n v="2"/>
    <x v="326"/>
    <d v="1995-12-15T00:00:00"/>
    <d v="1995-11-22T00:00:00"/>
    <n v="2"/>
    <n v="810.05"/>
    <s v="QUICK-Stop"/>
    <s v="TaucherstraÃŸe 10"/>
    <x v="20"/>
    <s v="unknown"/>
    <s v="01307"/>
    <x v="1"/>
    <n v="11"/>
  </r>
  <r>
    <n v="10692"/>
    <x v="85"/>
    <n v="4"/>
    <x v="326"/>
    <d v="1995-12-01T00:00:00"/>
    <d v="1995-11-13T00:00:00"/>
    <n v="2"/>
    <n v="61.02"/>
    <s v="Alfred's Futterkiste"/>
    <s v="Obere Str. 57"/>
    <x v="67"/>
    <s v="unknown"/>
    <s v="12209"/>
    <x v="1"/>
    <n v="11"/>
  </r>
  <r>
    <n v="10693"/>
    <x v="19"/>
    <n v="3"/>
    <x v="327"/>
    <d v="1995-11-20T00:00:00"/>
    <d v="1995-11-10T00:00:00"/>
    <n v="3"/>
    <n v="139.34"/>
    <s v="White Clover Markets"/>
    <s v="1029 - 12th Ave. S."/>
    <x v="18"/>
    <s v="WA"/>
    <s v="98124"/>
    <x v="8"/>
    <n v="11"/>
  </r>
  <r>
    <n v="10694"/>
    <x v="21"/>
    <n v="8"/>
    <x v="327"/>
    <d v="1995-12-04T00:00:00"/>
    <d v="1995-11-09T00:00:00"/>
    <n v="3"/>
    <n v="398.36"/>
    <s v="QUICK-Stop"/>
    <s v="TaucherstraÃŸe 10"/>
    <x v="20"/>
    <s v="unknown"/>
    <s v="01307"/>
    <x v="1"/>
    <n v="11"/>
  </r>
  <r>
    <n v="10695"/>
    <x v="83"/>
    <n v="7"/>
    <x v="328"/>
    <d v="1995-12-19T00:00:00"/>
    <d v="1995-11-14T00:00:00"/>
    <n v="1"/>
    <n v="16.72"/>
    <s v="Wilman Kala"/>
    <s v="Keskuskatu 45"/>
    <x v="65"/>
    <s v="unknown"/>
    <s v="21240"/>
    <x v="10"/>
    <n v="11"/>
  </r>
  <r>
    <n v="10696"/>
    <x v="19"/>
    <n v="8"/>
    <x v="329"/>
    <d v="1995-12-20T00:00:00"/>
    <d v="1995-11-14T00:00:00"/>
    <n v="3"/>
    <n v="102.55"/>
    <s v="White Clover Markets"/>
    <s v="1029 - 12th Ave. S."/>
    <x v="18"/>
    <s v="WA"/>
    <s v="98124"/>
    <x v="8"/>
    <n v="11"/>
  </r>
  <r>
    <n v="10697"/>
    <x v="67"/>
    <n v="3"/>
    <x v="329"/>
    <d v="1995-12-06T00:00:00"/>
    <d v="1995-11-14T00:00:00"/>
    <n v="1"/>
    <n v="45.52"/>
    <s v="LINO-Delicateses"/>
    <s v="Ave. 5 de Mayo Porlamar"/>
    <x v="53"/>
    <s v="Nueva Esparta"/>
    <s v="4980"/>
    <x v="5"/>
    <n v="11"/>
  </r>
  <r>
    <n v="10698"/>
    <x v="9"/>
    <n v="4"/>
    <x v="330"/>
    <d v="1995-12-07T00:00:00"/>
    <d v="1995-11-17T00:00:00"/>
    <n v="1"/>
    <n v="272.47000000000003"/>
    <s v="Ernst Handel"/>
    <s v="Kirchgasse 6"/>
    <x v="9"/>
    <s v="unknown"/>
    <s v="8010"/>
    <x v="6"/>
    <n v="11"/>
  </r>
  <r>
    <n v="10699"/>
    <x v="24"/>
    <n v="3"/>
    <x v="330"/>
    <d v="1995-12-07T00:00:00"/>
    <d v="1995-11-13T00:00:00"/>
    <n v="3"/>
    <n v="0.57999999999999996"/>
    <s v="Morgenstern Gesundkost"/>
    <s v="Heerstr. 22"/>
    <x v="22"/>
    <s v="unknown"/>
    <s v="04179"/>
    <x v="1"/>
    <n v="11"/>
  </r>
  <r>
    <n v="10700"/>
    <x v="45"/>
    <n v="3"/>
    <x v="331"/>
    <d v="1995-12-08T00:00:00"/>
    <d v="1995-11-16T00:00:00"/>
    <n v="1"/>
    <n v="65.099999999999994"/>
    <s v="Save-a-lot Markets"/>
    <s v="187 Suffolk Ln."/>
    <x v="38"/>
    <s v="ID"/>
    <s v="83720"/>
    <x v="8"/>
    <n v="11"/>
  </r>
  <r>
    <n v="10701"/>
    <x v="34"/>
    <n v="6"/>
    <x v="332"/>
    <d v="1995-11-27T00:00:00"/>
    <d v="1995-11-15T00:00:00"/>
    <n v="3"/>
    <n v="220.31"/>
    <s v="Hungry Owl All-Night Grocers"/>
    <s v="8 Johnstown Road"/>
    <x v="30"/>
    <s v="Co. Cork"/>
    <s v="unknown"/>
    <x v="14"/>
    <n v="11"/>
  </r>
  <r>
    <n v="10702"/>
    <x v="85"/>
    <n v="4"/>
    <x v="332"/>
    <d v="1995-12-25T00:00:00"/>
    <d v="1995-11-21T00:00:00"/>
    <n v="1"/>
    <n v="23.94"/>
    <s v="Alfred's Futterkiste"/>
    <s v="Obere Str. 57"/>
    <x v="67"/>
    <s v="unknown"/>
    <s v="12209"/>
    <x v="1"/>
    <n v="11"/>
  </r>
  <r>
    <n v="10703"/>
    <x v="14"/>
    <n v="6"/>
    <x v="333"/>
    <d v="1995-12-12T00:00:00"/>
    <d v="1995-11-20T00:00:00"/>
    <n v="2"/>
    <n v="152.30000000000001"/>
    <s v="Folk och fÃ¤ HB"/>
    <s v="Ã…kergatan 24"/>
    <x v="13"/>
    <s v="unknown"/>
    <s v="S-844 67"/>
    <x v="9"/>
    <n v="11"/>
  </r>
  <r>
    <n v="10704"/>
    <x v="62"/>
    <n v="6"/>
    <x v="333"/>
    <d v="1995-12-12T00:00:00"/>
    <d v="1995-12-08T00:00:00"/>
    <n v="1"/>
    <n v="4.78"/>
    <s v="Queen Cozinha"/>
    <s v="Alameda dos CanÃ rios, 891"/>
    <x v="29"/>
    <s v="SP"/>
    <s v="05487-020"/>
    <x v="2"/>
    <n v="11"/>
  </r>
  <r>
    <n v="10705"/>
    <x v="8"/>
    <n v="9"/>
    <x v="334"/>
    <d v="1995-12-13T00:00:00"/>
    <d v="1995-12-19T00:00:00"/>
    <n v="2"/>
    <n v="3.52"/>
    <s v="HILARIÃ“N-Abastos"/>
    <s v="Carrera 22 con Ave. Carlos Soublette #8-35"/>
    <x v="8"/>
    <s v="TÃ¡chira"/>
    <s v="5022"/>
    <x v="5"/>
    <n v="11"/>
  </r>
  <r>
    <n v="10706"/>
    <x v="37"/>
    <n v="8"/>
    <x v="335"/>
    <d v="1995-12-14T00:00:00"/>
    <d v="1995-11-21T00:00:00"/>
    <n v="3"/>
    <n v="135.63"/>
    <s v="Old World Delicatessen"/>
    <s v="2743 Bering St."/>
    <x v="33"/>
    <s v="AK"/>
    <s v="99508"/>
    <x v="8"/>
    <n v="11"/>
  </r>
  <r>
    <n v="10707"/>
    <x v="55"/>
    <n v="4"/>
    <x v="335"/>
    <d v="1995-11-30T00:00:00"/>
    <d v="1995-11-23T00:00:00"/>
    <n v="3"/>
    <n v="21.74"/>
    <s v="Around the Horn"/>
    <s v="Brook FarmStratford St. Mary"/>
    <x v="45"/>
    <s v="Essex"/>
    <s v="CO7 6JX"/>
    <x v="13"/>
    <n v="11"/>
  </r>
  <r>
    <n v="10708"/>
    <x v="40"/>
    <n v="6"/>
    <x v="336"/>
    <d v="1995-12-29T00:00:00"/>
    <d v="1995-12-06T00:00:00"/>
    <n v="2"/>
    <n v="2.96"/>
    <s v="The Big Cheese"/>
    <s v="89 Jefferson WaySuite 2"/>
    <x v="34"/>
    <s v="OR"/>
    <s v="97201"/>
    <x v="8"/>
    <n v="11"/>
  </r>
  <r>
    <n v="10709"/>
    <x v="71"/>
    <n v="1"/>
    <x v="336"/>
    <d v="1995-12-15T00:00:00"/>
    <d v="1995-12-21T00:00:00"/>
    <n v="3"/>
    <n v="210.8"/>
    <s v="Gourmet Lanchonetes"/>
    <s v="Av. Brasil, 442"/>
    <x v="57"/>
    <s v="SP"/>
    <s v="04876-786"/>
    <x v="2"/>
    <n v="11"/>
  </r>
  <r>
    <n v="10710"/>
    <x v="70"/>
    <n v="1"/>
    <x v="337"/>
    <d v="1995-12-18T00:00:00"/>
    <d v="1995-11-23T00:00:00"/>
    <n v="1"/>
    <n v="4.9800000000000004"/>
    <s v="Franchi S.p.A."/>
    <s v="Via Monte Bianco 34"/>
    <x v="56"/>
    <s v="unknown"/>
    <s v="10100"/>
    <x v="11"/>
    <n v="11"/>
  </r>
  <r>
    <n v="10711"/>
    <x v="45"/>
    <n v="5"/>
    <x v="338"/>
    <d v="1996-01-02T00:00:00"/>
    <d v="1995-11-29T00:00:00"/>
    <n v="2"/>
    <n v="52.41"/>
    <s v="Save-a-lot Markets"/>
    <s v="187 Suffolk Ln."/>
    <x v="38"/>
    <s v="ID"/>
    <s v="83720"/>
    <x v="8"/>
    <n v="11"/>
  </r>
  <r>
    <n v="10712"/>
    <x v="34"/>
    <n v="3"/>
    <x v="338"/>
    <d v="1995-12-19T00:00:00"/>
    <d v="1995-12-01T00:00:00"/>
    <n v="1"/>
    <n v="89.93"/>
    <s v="Hungry Owl All-Night Grocers"/>
    <s v="8 Johnstown Road"/>
    <x v="30"/>
    <s v="Co. Cork"/>
    <s v="unknown"/>
    <x v="14"/>
    <n v="11"/>
  </r>
  <r>
    <n v="10713"/>
    <x v="45"/>
    <n v="1"/>
    <x v="339"/>
    <d v="1995-12-20T00:00:00"/>
    <d v="1995-11-24T00:00:00"/>
    <n v="1"/>
    <n v="167.05"/>
    <s v="Save-a-lot Markets"/>
    <s v="187 Suffolk Ln."/>
    <x v="38"/>
    <s v="ID"/>
    <s v="83720"/>
    <x v="8"/>
    <n v="11"/>
  </r>
  <r>
    <n v="10714"/>
    <x v="45"/>
    <n v="5"/>
    <x v="339"/>
    <d v="1995-12-20T00:00:00"/>
    <d v="1995-11-27T00:00:00"/>
    <n v="3"/>
    <n v="24.49"/>
    <s v="Save-a-lot Markets"/>
    <s v="187 Suffolk Ln."/>
    <x v="38"/>
    <s v="ID"/>
    <s v="83720"/>
    <x v="8"/>
    <n v="11"/>
  </r>
  <r>
    <n v="10715"/>
    <x v="48"/>
    <n v="3"/>
    <x v="340"/>
    <d v="1995-12-07T00:00:00"/>
    <d v="1995-11-29T00:00:00"/>
    <n v="1"/>
    <n v="63.2"/>
    <s v="Bon app'"/>
    <s v="12, rue des Bouchers"/>
    <x v="40"/>
    <s v="unknown"/>
    <s v="13008"/>
    <x v="0"/>
    <n v="11"/>
  </r>
  <r>
    <n v="10716"/>
    <x v="73"/>
    <n v="4"/>
    <x v="341"/>
    <d v="1995-12-22T00:00:00"/>
    <d v="1995-11-27T00:00:00"/>
    <n v="2"/>
    <n v="22.57"/>
    <s v="Rancho grande"/>
    <s v="Av. del Libertador 900"/>
    <x v="55"/>
    <s v="unknown"/>
    <s v="1010"/>
    <x v="20"/>
    <n v="11"/>
  </r>
  <r>
    <n v="10717"/>
    <x v="17"/>
    <n v="1"/>
    <x v="341"/>
    <d v="1995-12-22T00:00:00"/>
    <d v="1995-11-29T00:00:00"/>
    <n v="2"/>
    <n v="59.25"/>
    <s v="Frankenversand"/>
    <s v="Berliner Platz 43"/>
    <x v="16"/>
    <s v="unknown"/>
    <s v="80805"/>
    <x v="1"/>
    <n v="11"/>
  </r>
  <r>
    <n v="10718"/>
    <x v="44"/>
    <n v="1"/>
    <x v="342"/>
    <d v="1995-12-25T00:00:00"/>
    <d v="1995-11-29T00:00:00"/>
    <n v="3"/>
    <n v="170.88"/>
    <s v="KÃ¶niglich Essen"/>
    <s v="Maubelstr. 90"/>
    <x v="37"/>
    <s v="unknown"/>
    <s v="14776"/>
    <x v="1"/>
    <n v="11"/>
  </r>
  <r>
    <n v="10719"/>
    <x v="82"/>
    <n v="8"/>
    <x v="342"/>
    <d v="1995-12-25T00:00:00"/>
    <d v="1995-12-06T00:00:00"/>
    <n v="2"/>
    <n v="51.44"/>
    <s v="Let's Stop N Shop"/>
    <s v="87 Polk St.Suite 5"/>
    <x v="64"/>
    <s v="CA"/>
    <s v="94117"/>
    <x v="8"/>
    <n v="11"/>
  </r>
  <r>
    <n v="10720"/>
    <x v="12"/>
    <n v="8"/>
    <x v="343"/>
    <d v="1995-12-12T00:00:00"/>
    <d v="1995-12-06T00:00:00"/>
    <n v="2"/>
    <n v="9.5299999999999994"/>
    <s v="Que DelÃ­cia"/>
    <s v="Rua da Panificadora, 12"/>
    <x v="2"/>
    <s v="RJ"/>
    <s v="02389-673"/>
    <x v="2"/>
    <n v="11"/>
  </r>
  <r>
    <n v="10721"/>
    <x v="21"/>
    <n v="5"/>
    <x v="344"/>
    <d v="1995-12-27T00:00:00"/>
    <d v="1995-12-01T00:00:00"/>
    <n v="3"/>
    <n v="48.92"/>
    <s v="QUICK-Stop"/>
    <s v="TaucherstraÃŸe 10"/>
    <x v="20"/>
    <s v="unknown"/>
    <s v="01307"/>
    <x v="1"/>
    <n v="11"/>
  </r>
  <r>
    <n v="10722"/>
    <x v="45"/>
    <n v="8"/>
    <x v="344"/>
    <d v="1996-01-10T00:00:00"/>
    <d v="1995-12-05T00:00:00"/>
    <n v="1"/>
    <n v="74.58"/>
    <s v="Save-a-lot Markets"/>
    <s v="187 Suffolk Ln."/>
    <x v="38"/>
    <s v="ID"/>
    <s v="83720"/>
    <x v="8"/>
    <n v="11"/>
  </r>
  <r>
    <n v="10723"/>
    <x v="19"/>
    <n v="3"/>
    <x v="345"/>
    <d v="1995-12-28T00:00:00"/>
    <d v="1995-12-26T00:00:00"/>
    <n v="1"/>
    <n v="21.72"/>
    <s v="White Clover Markets"/>
    <s v="1029 - 12th Ave. S."/>
    <x v="18"/>
    <s v="WA"/>
    <s v="98124"/>
    <x v="8"/>
    <n v="11"/>
  </r>
  <r>
    <n v="10724"/>
    <x v="49"/>
    <n v="8"/>
    <x v="345"/>
    <d v="1996-01-11T00:00:00"/>
    <d v="1995-12-06T00:00:00"/>
    <n v="2"/>
    <n v="57.75"/>
    <s v="MÃ¨re Paillarde"/>
    <s v="43 rue St. Laurent"/>
    <x v="41"/>
    <s v="QuÃ©bec"/>
    <s v="H1J 1C3"/>
    <x v="16"/>
    <n v="11"/>
  </r>
  <r>
    <n v="10725"/>
    <x v="52"/>
    <n v="4"/>
    <x v="346"/>
    <d v="1995-12-29T00:00:00"/>
    <d v="1995-12-06T00:00:00"/>
    <n v="3"/>
    <n v="10.83"/>
    <s v="Familia Arquibaldo"/>
    <s v="Rua OrÃ³s, 92"/>
    <x v="29"/>
    <s v="SP"/>
    <s v="05442-030"/>
    <x v="2"/>
    <n v="12"/>
  </r>
  <r>
    <n v="10726"/>
    <x v="58"/>
    <n v="4"/>
    <x v="347"/>
    <d v="1995-12-18T00:00:00"/>
    <d v="1996-01-05T00:00:00"/>
    <n v="1"/>
    <n v="16.559999999999999"/>
    <s v="Eastern Connection"/>
    <s v="35 King George"/>
    <x v="28"/>
    <s v="unknown"/>
    <s v="WX3 6FW"/>
    <x v="13"/>
    <n v="12"/>
  </r>
  <r>
    <n v="10727"/>
    <x v="30"/>
    <n v="2"/>
    <x v="347"/>
    <d v="1996-01-01T00:00:00"/>
    <d v="1996-01-05T00:00:00"/>
    <n v="1"/>
    <n v="89.9"/>
    <s v="Reggiani Caseifici"/>
    <s v="Strada Provinciale 124"/>
    <x v="27"/>
    <s v="unknown"/>
    <s v="42100"/>
    <x v="11"/>
    <n v="12"/>
  </r>
  <r>
    <n v="10728"/>
    <x v="62"/>
    <n v="4"/>
    <x v="348"/>
    <d v="1996-01-02T00:00:00"/>
    <d v="1995-12-12T00:00:00"/>
    <n v="2"/>
    <n v="58.33"/>
    <s v="Queen Cozinha"/>
    <s v="Alameda dos CanÃ rios, 891"/>
    <x v="29"/>
    <s v="SP"/>
    <s v="05487-020"/>
    <x v="2"/>
    <n v="12"/>
  </r>
  <r>
    <n v="10729"/>
    <x v="67"/>
    <n v="8"/>
    <x v="348"/>
    <d v="1996-01-16T00:00:00"/>
    <d v="1995-12-15T00:00:00"/>
    <n v="3"/>
    <n v="141.06"/>
    <s v="LINO-Delicateses"/>
    <s v="Ave. 5 de Mayo Porlamar"/>
    <x v="53"/>
    <s v="Nueva Esparta"/>
    <s v="4980"/>
    <x v="5"/>
    <n v="12"/>
  </r>
  <r>
    <n v="10730"/>
    <x v="48"/>
    <n v="5"/>
    <x v="349"/>
    <d v="1996-01-03T00:00:00"/>
    <d v="1995-12-15T00:00:00"/>
    <n v="1"/>
    <n v="20.12"/>
    <s v="Bon app'"/>
    <s v="12, rue des Bouchers"/>
    <x v="40"/>
    <s v="unknown"/>
    <s v="13008"/>
    <x v="0"/>
    <n v="12"/>
  </r>
  <r>
    <n v="10731"/>
    <x v="5"/>
    <n v="7"/>
    <x v="350"/>
    <d v="1996-01-04T00:00:00"/>
    <d v="1995-12-15T00:00:00"/>
    <n v="1"/>
    <n v="96.65"/>
    <s v="Chop-suey Chinese"/>
    <s v="Hauptstr. 31"/>
    <x v="5"/>
    <s v="unknown"/>
    <s v="3012"/>
    <x v="4"/>
    <n v="12"/>
  </r>
  <r>
    <n v="10732"/>
    <x v="48"/>
    <n v="3"/>
    <x v="350"/>
    <d v="1996-01-04T00:00:00"/>
    <d v="1995-12-08T00:00:00"/>
    <n v="1"/>
    <n v="16.97"/>
    <s v="Bon app'"/>
    <s v="12, rue des Bouchers"/>
    <x v="40"/>
    <s v="unknown"/>
    <s v="13008"/>
    <x v="0"/>
    <n v="12"/>
  </r>
  <r>
    <n v="10733"/>
    <x v="25"/>
    <n v="1"/>
    <x v="351"/>
    <d v="1996-01-05T00:00:00"/>
    <d v="1995-12-11T00:00:00"/>
    <n v="3"/>
    <n v="110.11"/>
    <s v="Berglunds snabbkÃ¶p"/>
    <s v="BerguvsvÃ¤gen  8"/>
    <x v="23"/>
    <s v="unknown"/>
    <s v="S-958 22"/>
    <x v="9"/>
    <n v="12"/>
  </r>
  <r>
    <n v="10734"/>
    <x v="71"/>
    <n v="2"/>
    <x v="351"/>
    <d v="1996-01-05T00:00:00"/>
    <d v="1995-12-13T00:00:00"/>
    <n v="3"/>
    <n v="1.63"/>
    <s v="Gourmet Lanchonetes"/>
    <s v="Av. Brasil, 442"/>
    <x v="57"/>
    <s v="SP"/>
    <s v="04876-786"/>
    <x v="2"/>
    <n v="12"/>
  </r>
  <r>
    <n v="10735"/>
    <x v="82"/>
    <n v="6"/>
    <x v="352"/>
    <d v="1996-01-08T00:00:00"/>
    <d v="1995-12-22T00:00:00"/>
    <n v="2"/>
    <n v="45.97"/>
    <s v="Let's Stop N Shop"/>
    <s v="87 Polk St.Suite 5"/>
    <x v="64"/>
    <s v="CA"/>
    <s v="94117"/>
    <x v="8"/>
    <n v="12"/>
  </r>
  <r>
    <n v="10736"/>
    <x v="34"/>
    <n v="9"/>
    <x v="353"/>
    <d v="1996-01-09T00:00:00"/>
    <d v="1995-12-22T00:00:00"/>
    <n v="2"/>
    <n v="44.1"/>
    <s v="Hungry Owl All-Night Grocers"/>
    <s v="8 Johnstown Road"/>
    <x v="30"/>
    <s v="Co. Cork"/>
    <s v="unknown"/>
    <x v="14"/>
    <n v="12"/>
  </r>
  <r>
    <n v="10737"/>
    <x v="0"/>
    <n v="2"/>
    <x v="353"/>
    <d v="1996-01-09T00:00:00"/>
    <d v="1995-12-19T00:00:00"/>
    <n v="2"/>
    <n v="7.79"/>
    <s v="Vins et alcools Chevalier"/>
    <s v="59 rue de l'Abbaye"/>
    <x v="0"/>
    <s v="unknown"/>
    <s v="51100"/>
    <x v="0"/>
    <n v="12"/>
  </r>
  <r>
    <n v="10738"/>
    <x v="87"/>
    <n v="2"/>
    <x v="354"/>
    <d v="1996-01-10T00:00:00"/>
    <d v="1995-12-19T00:00:00"/>
    <n v="1"/>
    <n v="2.91"/>
    <s v="SpÃ©cialitÃ©s du monde"/>
    <s v="25, rue Lauriston"/>
    <x v="68"/>
    <s v="unknown"/>
    <s v="75016"/>
    <x v="0"/>
    <n v="12"/>
  </r>
  <r>
    <n v="10739"/>
    <x v="0"/>
    <n v="3"/>
    <x v="354"/>
    <d v="1996-01-10T00:00:00"/>
    <d v="1995-12-18T00:00:00"/>
    <n v="3"/>
    <n v="11.08"/>
    <s v="Vins et alcools Chevalier"/>
    <s v="59 rue de l'Abbaye"/>
    <x v="0"/>
    <s v="unknown"/>
    <s v="51100"/>
    <x v="0"/>
    <n v="12"/>
  </r>
  <r>
    <n v="10740"/>
    <x v="19"/>
    <n v="4"/>
    <x v="355"/>
    <d v="1996-01-11T00:00:00"/>
    <d v="1995-12-26T00:00:00"/>
    <n v="2"/>
    <n v="81.88"/>
    <s v="White Clover Markets"/>
    <s v="1029 - 12th Ave. S."/>
    <x v="18"/>
    <s v="WA"/>
    <s v="98124"/>
    <x v="8"/>
    <n v="12"/>
  </r>
  <r>
    <n v="10741"/>
    <x v="55"/>
    <n v="4"/>
    <x v="356"/>
    <d v="1995-12-29T00:00:00"/>
    <d v="1995-12-19T00:00:00"/>
    <n v="3"/>
    <n v="10.96"/>
    <s v="Around the Horn"/>
    <s v="Brook FarmStratford St. Mary"/>
    <x v="45"/>
    <s v="Essex"/>
    <s v="CO7 6JX"/>
    <x v="13"/>
    <n v="12"/>
  </r>
  <r>
    <n v="10742"/>
    <x v="66"/>
    <n v="3"/>
    <x v="356"/>
    <d v="1996-01-12T00:00:00"/>
    <d v="1995-12-19T00:00:00"/>
    <n v="3"/>
    <n v="243.73"/>
    <s v="Bottom-Dollar Markets"/>
    <s v="23 Tsawassen Blvd."/>
    <x v="52"/>
    <s v="BC"/>
    <s v="T2F 8M4"/>
    <x v="16"/>
    <n v="12"/>
  </r>
  <r>
    <n v="10743"/>
    <x v="55"/>
    <n v="1"/>
    <x v="357"/>
    <d v="1996-01-15T00:00:00"/>
    <d v="1995-12-22T00:00:00"/>
    <n v="2"/>
    <n v="23.72"/>
    <s v="Around the Horn"/>
    <s v="Brook FarmStratford St. Mary"/>
    <x v="45"/>
    <s v="Essex"/>
    <s v="CO7 6JX"/>
    <x v="13"/>
    <n v="12"/>
  </r>
  <r>
    <n v="10744"/>
    <x v="61"/>
    <n v="6"/>
    <x v="357"/>
    <d v="1996-01-15T00:00:00"/>
    <d v="1995-12-25T00:00:00"/>
    <n v="1"/>
    <n v="69.19"/>
    <s v="Vaffeljernet"/>
    <s v="SmagslÃ¸get 45"/>
    <x v="48"/>
    <s v="unknown"/>
    <s v="8200"/>
    <x v="17"/>
    <n v="12"/>
  </r>
  <r>
    <n v="10745"/>
    <x v="21"/>
    <n v="9"/>
    <x v="358"/>
    <d v="1996-01-16T00:00:00"/>
    <d v="1995-12-28T00:00:00"/>
    <n v="1"/>
    <n v="3.52"/>
    <s v="QUICK-Stop"/>
    <s v="TaucherstraÃŸe 10"/>
    <x v="20"/>
    <s v="unknown"/>
    <s v="01307"/>
    <x v="1"/>
    <n v="12"/>
  </r>
  <r>
    <n v="10746"/>
    <x v="5"/>
    <n v="1"/>
    <x v="359"/>
    <d v="1996-01-17T00:00:00"/>
    <d v="1995-12-22T00:00:00"/>
    <n v="3"/>
    <n v="31.43"/>
    <s v="Chop-suey Chinese"/>
    <s v="Hauptstr. 31"/>
    <x v="5"/>
    <s v="unknown"/>
    <s v="3012"/>
    <x v="4"/>
    <n v="12"/>
  </r>
  <r>
    <n v="10747"/>
    <x v="54"/>
    <n v="6"/>
    <x v="359"/>
    <d v="1996-01-17T00:00:00"/>
    <d v="1995-12-27T00:00:00"/>
    <n v="1"/>
    <n v="117.33"/>
    <s v="Piccolo und mehr"/>
    <s v="Geislweg 14"/>
    <x v="44"/>
    <s v="unknown"/>
    <s v="5020"/>
    <x v="6"/>
    <n v="12"/>
  </r>
  <r>
    <n v="10748"/>
    <x v="45"/>
    <n v="3"/>
    <x v="360"/>
    <d v="1996-01-18T00:00:00"/>
    <d v="1995-12-29T00:00:00"/>
    <n v="1"/>
    <n v="232.55"/>
    <s v="Save-a-lot Markets"/>
    <s v="187 Suffolk Ln."/>
    <x v="38"/>
    <s v="ID"/>
    <s v="83720"/>
    <x v="8"/>
    <n v="12"/>
  </r>
  <r>
    <n v="10749"/>
    <x v="42"/>
    <n v="4"/>
    <x v="360"/>
    <d v="1996-01-18T00:00:00"/>
    <d v="1996-01-19T00:00:00"/>
    <n v="2"/>
    <n v="61.53"/>
    <s v="Island Trading"/>
    <s v="Garden HouseCrowther Way"/>
    <x v="36"/>
    <s v="Isle of Wight"/>
    <s v="PO31 7PJ"/>
    <x v="13"/>
    <n v="12"/>
  </r>
  <r>
    <n v="10750"/>
    <x v="16"/>
    <n v="9"/>
    <x v="361"/>
    <d v="1996-01-19T00:00:00"/>
    <d v="1995-12-25T00:00:00"/>
    <n v="1"/>
    <n v="79.3"/>
    <s v="Wartian Herkku"/>
    <s v="Torikatu 38"/>
    <x v="15"/>
    <s v="unknown"/>
    <s v="90110"/>
    <x v="10"/>
    <n v="12"/>
  </r>
  <r>
    <n v="10751"/>
    <x v="6"/>
    <n v="3"/>
    <x v="362"/>
    <d v="1996-01-22T00:00:00"/>
    <d v="1996-01-03T00:00:00"/>
    <n v="3"/>
    <n v="130.79"/>
    <s v="Richter Supermarkt"/>
    <s v="Starenweg 5"/>
    <x v="6"/>
    <s v="unknown"/>
    <s v="1204"/>
    <x v="4"/>
    <n v="12"/>
  </r>
  <r>
    <n v="10752"/>
    <x v="77"/>
    <n v="2"/>
    <x v="362"/>
    <d v="1996-01-22T00:00:00"/>
    <d v="1995-12-29T00:00:00"/>
    <n v="3"/>
    <n v="1.39"/>
    <s v="North/South"/>
    <s v="South House300 Queensbridge"/>
    <x v="28"/>
    <s v="unknown"/>
    <s v="SW7 1RZ"/>
    <x v="13"/>
    <n v="12"/>
  </r>
  <r>
    <n v="10753"/>
    <x v="70"/>
    <n v="3"/>
    <x v="363"/>
    <d v="1996-01-23T00:00:00"/>
    <d v="1995-12-28T00:00:00"/>
    <n v="1"/>
    <n v="7.7"/>
    <s v="Franchi S.p.A."/>
    <s v="Via Monte Bianco 34"/>
    <x v="56"/>
    <s v="unknown"/>
    <s v="10100"/>
    <x v="11"/>
    <n v="12"/>
  </r>
  <r>
    <n v="10754"/>
    <x v="22"/>
    <n v="6"/>
    <x v="363"/>
    <d v="1996-01-23T00:00:00"/>
    <d v="1995-12-28T00:00:00"/>
    <n v="3"/>
    <n v="2.38"/>
    <s v="Magazzini Alimentari Riuniti"/>
    <s v="Via Ludovico il Moro 22"/>
    <x v="21"/>
    <s v="unknown"/>
    <s v="24100"/>
    <x v="11"/>
    <n v="12"/>
  </r>
  <r>
    <n v="10755"/>
    <x v="48"/>
    <n v="4"/>
    <x v="364"/>
    <d v="1996-01-24T00:00:00"/>
    <d v="1995-12-29T00:00:00"/>
    <n v="2"/>
    <n v="16.71"/>
    <s v="Bon app'"/>
    <s v="12, rue des Bouchers"/>
    <x v="40"/>
    <s v="unknown"/>
    <s v="13008"/>
    <x v="0"/>
    <n v="12"/>
  </r>
  <r>
    <n v="10756"/>
    <x v="20"/>
    <n v="8"/>
    <x v="365"/>
    <d v="1996-01-25T00:00:00"/>
    <d v="1996-01-02T00:00:00"/>
    <n v="2"/>
    <n v="73.209999999999994"/>
    <s v="Split Rail Beer &amp; Ale"/>
    <s v="P.O. Box 555"/>
    <x v="19"/>
    <s v="WY"/>
    <s v="82520"/>
    <x v="8"/>
    <n v="12"/>
  </r>
  <r>
    <n v="10757"/>
    <x v="45"/>
    <n v="6"/>
    <x v="365"/>
    <d v="1996-01-25T00:00:00"/>
    <d v="1996-01-15T00:00:00"/>
    <n v="1"/>
    <n v="8.19"/>
    <s v="Save-a-lot Markets"/>
    <s v="187 Suffolk Ln."/>
    <x v="38"/>
    <s v="ID"/>
    <s v="83720"/>
    <x v="8"/>
    <n v="12"/>
  </r>
  <r>
    <n v="10758"/>
    <x v="6"/>
    <n v="3"/>
    <x v="366"/>
    <d v="1996-01-26T00:00:00"/>
    <d v="1996-01-04T00:00:00"/>
    <n v="3"/>
    <n v="138.16999999999999"/>
    <s v="Richter Supermarkt"/>
    <s v="Starenweg 5"/>
    <x v="6"/>
    <s v="unknown"/>
    <s v="1204"/>
    <x v="4"/>
    <n v="12"/>
  </r>
  <r>
    <n v="10759"/>
    <x v="39"/>
    <n v="3"/>
    <x v="366"/>
    <d v="1996-01-26T00:00:00"/>
    <d v="1996-01-12T00:00:00"/>
    <n v="3"/>
    <n v="11.99"/>
    <s v="Ana Trujillo Emparedados y helados"/>
    <s v="Avda. de la ConstituciÃ³n 2222"/>
    <x v="10"/>
    <s v="unknown"/>
    <s v="05021"/>
    <x v="7"/>
    <n v="12"/>
  </r>
  <r>
    <n v="10760"/>
    <x v="80"/>
    <n v="4"/>
    <x v="367"/>
    <d v="1996-01-29T00:00:00"/>
    <d v="1996-01-10T00:00:00"/>
    <n v="1"/>
    <n v="155.63999999999999"/>
    <s v="Maison Dewey"/>
    <s v="Rue Joseph-Bens 532"/>
    <x v="62"/>
    <s v="unknown"/>
    <s v="B-1180"/>
    <x v="3"/>
    <n v="1"/>
  </r>
  <r>
    <n v="10761"/>
    <x v="13"/>
    <n v="5"/>
    <x v="368"/>
    <d v="1996-01-30T00:00:00"/>
    <d v="1996-01-08T00:00:00"/>
    <n v="2"/>
    <n v="18.66"/>
    <s v="Rattlesnake Canyon Grocery"/>
    <s v="2817 Milton Dr."/>
    <x v="12"/>
    <s v="NM"/>
    <s v="87110"/>
    <x v="8"/>
    <n v="1"/>
  </r>
  <r>
    <n v="10762"/>
    <x v="14"/>
    <n v="3"/>
    <x v="368"/>
    <d v="1996-01-30T00:00:00"/>
    <d v="1996-01-09T00:00:00"/>
    <n v="1"/>
    <n v="328.74"/>
    <s v="Folk och fÃ¤ HB"/>
    <s v="Ã…kergatan 24"/>
    <x v="13"/>
    <s v="unknown"/>
    <s v="S-844 67"/>
    <x v="9"/>
    <n v="1"/>
  </r>
  <r>
    <n v="10763"/>
    <x v="68"/>
    <n v="3"/>
    <x v="369"/>
    <d v="1996-01-31T00:00:00"/>
    <d v="1996-01-08T00:00:00"/>
    <n v="3"/>
    <n v="37.35"/>
    <s v="Folies gourmandes"/>
    <s v="184, chaussÃ©e de Tournai"/>
    <x v="54"/>
    <s v="unknown"/>
    <s v="59000"/>
    <x v="0"/>
    <n v="1"/>
  </r>
  <r>
    <n v="10764"/>
    <x v="9"/>
    <n v="6"/>
    <x v="369"/>
    <d v="1996-01-31T00:00:00"/>
    <d v="1996-01-08T00:00:00"/>
    <n v="3"/>
    <n v="145.44999999999999"/>
    <s v="Ernst Handel"/>
    <s v="Kirchgasse 6"/>
    <x v="9"/>
    <s v="unknown"/>
    <s v="8010"/>
    <x v="6"/>
    <n v="1"/>
  </r>
  <r>
    <n v="10765"/>
    <x v="21"/>
    <n v="3"/>
    <x v="370"/>
    <d v="1996-02-01T00:00:00"/>
    <d v="1996-01-09T00:00:00"/>
    <n v="3"/>
    <n v="42.74"/>
    <s v="QUICK-Stop"/>
    <s v="TaucherstraÃŸe 10"/>
    <x v="20"/>
    <s v="unknown"/>
    <s v="01307"/>
    <x v="1"/>
    <n v="1"/>
  </r>
  <r>
    <n v="10766"/>
    <x v="11"/>
    <n v="4"/>
    <x v="371"/>
    <d v="1996-02-02T00:00:00"/>
    <d v="1996-01-09T00:00:00"/>
    <n v="1"/>
    <n v="157.55000000000001"/>
    <s v="Ottilies KÃ¤seladen"/>
    <s v="Mehrheimerstr. 369"/>
    <x v="11"/>
    <s v="unknown"/>
    <s v="50739"/>
    <x v="1"/>
    <n v="1"/>
  </r>
  <r>
    <n v="10767"/>
    <x v="4"/>
    <n v="4"/>
    <x v="371"/>
    <d v="1996-02-02T00:00:00"/>
    <d v="1996-01-15T00:00:00"/>
    <n v="3"/>
    <n v="1.59"/>
    <s v="SuprÃªmes dÃ©lices"/>
    <s v="Boulevard Tirou, 255"/>
    <x v="4"/>
    <s v="unknown"/>
    <s v="B-6000"/>
    <x v="3"/>
    <n v="1"/>
  </r>
  <r>
    <n v="10768"/>
    <x v="55"/>
    <n v="3"/>
    <x v="372"/>
    <d v="1996-02-05T00:00:00"/>
    <d v="1996-01-15T00:00:00"/>
    <n v="2"/>
    <n v="146.32"/>
    <s v="Around the Horn"/>
    <s v="Brook FarmStratford St. Mary"/>
    <x v="45"/>
    <s v="Essex"/>
    <s v="CO7 6JX"/>
    <x v="13"/>
    <n v="1"/>
  </r>
  <r>
    <n v="10769"/>
    <x v="61"/>
    <n v="3"/>
    <x v="372"/>
    <d v="1996-02-05T00:00:00"/>
    <d v="1996-01-12T00:00:00"/>
    <n v="1"/>
    <n v="65.06"/>
    <s v="Vaffeljernet"/>
    <s v="SmagslÃ¸get 45"/>
    <x v="48"/>
    <s v="unknown"/>
    <s v="8200"/>
    <x v="17"/>
    <n v="1"/>
  </r>
  <r>
    <n v="10770"/>
    <x v="2"/>
    <n v="8"/>
    <x v="373"/>
    <d v="1996-02-06T00:00:00"/>
    <d v="1996-01-17T00:00:00"/>
    <n v="3"/>
    <n v="5.32"/>
    <s v="Hanari Carnes"/>
    <s v="Rua do PaÃ§o, 67"/>
    <x v="2"/>
    <s v="RJ"/>
    <s v="05454-876"/>
    <x v="2"/>
    <n v="1"/>
  </r>
  <r>
    <n v="10771"/>
    <x v="9"/>
    <n v="9"/>
    <x v="374"/>
    <d v="1996-02-07T00:00:00"/>
    <d v="1996-02-02T00:00:00"/>
    <n v="2"/>
    <n v="11.19"/>
    <s v="Ernst Handel"/>
    <s v="Kirchgasse 6"/>
    <x v="9"/>
    <s v="unknown"/>
    <s v="8010"/>
    <x v="6"/>
    <n v="1"/>
  </r>
  <r>
    <n v="10772"/>
    <x v="26"/>
    <n v="3"/>
    <x v="374"/>
    <d v="1996-02-07T00:00:00"/>
    <d v="1996-01-19T00:00:00"/>
    <n v="2"/>
    <n v="91.28"/>
    <s v="Lehmanns Marktstand"/>
    <s v="Magazinweg 7"/>
    <x v="24"/>
    <s v="unknown"/>
    <s v="60528"/>
    <x v="1"/>
    <n v="1"/>
  </r>
  <r>
    <n v="10773"/>
    <x v="9"/>
    <n v="1"/>
    <x v="375"/>
    <d v="1996-02-08T00:00:00"/>
    <d v="1996-01-16T00:00:00"/>
    <n v="3"/>
    <n v="96.43"/>
    <s v="Ernst Handel"/>
    <s v="Kirchgasse 6"/>
    <x v="9"/>
    <s v="unknown"/>
    <s v="8010"/>
    <x v="6"/>
    <n v="1"/>
  </r>
  <r>
    <n v="10774"/>
    <x v="14"/>
    <n v="4"/>
    <x v="375"/>
    <d v="1996-01-25T00:00:00"/>
    <d v="1996-01-12T00:00:00"/>
    <n v="1"/>
    <n v="48.2"/>
    <s v="Folk och fÃ¤ HB"/>
    <s v="Ã…kergatan 24"/>
    <x v="13"/>
    <s v="unknown"/>
    <s v="S-844 67"/>
    <x v="9"/>
    <n v="1"/>
  </r>
  <r>
    <n v="10775"/>
    <x v="84"/>
    <n v="7"/>
    <x v="376"/>
    <d v="1996-02-09T00:00:00"/>
    <d v="1996-01-26T00:00:00"/>
    <n v="1"/>
    <n v="20.25"/>
    <s v="The Cracker Box"/>
    <s v="55 Grizzly Peak Rd."/>
    <x v="66"/>
    <s v="MT"/>
    <s v="59801"/>
    <x v="8"/>
    <n v="1"/>
  </r>
  <r>
    <n v="10776"/>
    <x v="9"/>
    <n v="1"/>
    <x v="377"/>
    <d v="1996-02-12T00:00:00"/>
    <d v="1996-01-18T00:00:00"/>
    <n v="3"/>
    <n v="351.53"/>
    <s v="Ernst Handel"/>
    <s v="Kirchgasse 6"/>
    <x v="9"/>
    <s v="unknown"/>
    <s v="8010"/>
    <x v="6"/>
    <n v="1"/>
  </r>
  <r>
    <n v="10777"/>
    <x v="71"/>
    <n v="7"/>
    <x v="377"/>
    <d v="1996-01-29T00:00:00"/>
    <d v="1996-02-21T00:00:00"/>
    <n v="2"/>
    <n v="3.01"/>
    <s v="Gourmet Lanchonetes"/>
    <s v="Av. Brasil, 442"/>
    <x v="57"/>
    <s v="SP"/>
    <s v="04876-786"/>
    <x v="2"/>
    <n v="1"/>
  </r>
  <r>
    <n v="10778"/>
    <x v="25"/>
    <n v="3"/>
    <x v="378"/>
    <d v="1996-02-13T00:00:00"/>
    <d v="1996-01-24T00:00:00"/>
    <n v="1"/>
    <n v="6.79"/>
    <s v="Berglunds snabbkÃ¶p"/>
    <s v="BerguvsvÃ¤gen  8"/>
    <x v="23"/>
    <s v="unknown"/>
    <s v="S-958 22"/>
    <x v="9"/>
    <n v="1"/>
  </r>
  <r>
    <n v="10779"/>
    <x v="24"/>
    <n v="3"/>
    <x v="378"/>
    <d v="1996-02-13T00:00:00"/>
    <d v="1996-02-14T00:00:00"/>
    <n v="2"/>
    <n v="58.13"/>
    <s v="Morgenstern Gesundkost"/>
    <s v="Heerstr. 22"/>
    <x v="22"/>
    <s v="unknown"/>
    <s v="04179"/>
    <x v="1"/>
    <n v="1"/>
  </r>
  <r>
    <n v="10780"/>
    <x v="28"/>
    <n v="2"/>
    <x v="378"/>
    <d v="1996-01-30T00:00:00"/>
    <d v="1996-01-25T00:00:00"/>
    <n v="1"/>
    <n v="42.13"/>
    <s v="LILA-Supermercado"/>
    <s v="Carrera 52 con Ave. BolÃ­var #65-98 Llano Largo"/>
    <x v="26"/>
    <s v="Lara"/>
    <s v="3508"/>
    <x v="5"/>
    <n v="1"/>
  </r>
  <r>
    <n v="10781"/>
    <x v="16"/>
    <n v="2"/>
    <x v="379"/>
    <d v="1996-02-14T00:00:00"/>
    <d v="1996-01-19T00:00:00"/>
    <n v="3"/>
    <n v="73.16"/>
    <s v="Wartian Herkku"/>
    <s v="Torikatu 38"/>
    <x v="15"/>
    <s v="unknown"/>
    <s v="90110"/>
    <x v="10"/>
    <n v="1"/>
  </r>
  <r>
    <n v="10782"/>
    <x v="78"/>
    <n v="9"/>
    <x v="379"/>
    <d v="1996-02-14T00:00:00"/>
    <d v="1996-01-22T00:00:00"/>
    <n v="3"/>
    <n v="1.1000000000000001"/>
    <s v="Cactus Comidas para llevar"/>
    <s v="Cerrito 333"/>
    <x v="55"/>
    <s v="unknown"/>
    <s v="1010"/>
    <x v="20"/>
    <n v="1"/>
  </r>
  <r>
    <n v="10783"/>
    <x v="2"/>
    <n v="4"/>
    <x v="380"/>
    <d v="1996-02-15T00:00:00"/>
    <d v="1996-01-19T00:00:00"/>
    <n v="2"/>
    <n v="124.98"/>
    <s v="Hanari Carnes"/>
    <s v="Rua do PaÃ§o, 67"/>
    <x v="2"/>
    <s v="RJ"/>
    <s v="05454-876"/>
    <x v="2"/>
    <n v="1"/>
  </r>
  <r>
    <n v="10784"/>
    <x v="22"/>
    <n v="4"/>
    <x v="380"/>
    <d v="1996-02-15T00:00:00"/>
    <d v="1996-01-22T00:00:00"/>
    <n v="3"/>
    <n v="70.09"/>
    <s v="Magazzini Alimentari Riuniti"/>
    <s v="Via Ludovico il Moro 22"/>
    <x v="21"/>
    <s v="unknown"/>
    <s v="24100"/>
    <x v="11"/>
    <n v="1"/>
  </r>
  <r>
    <n v="10785"/>
    <x v="18"/>
    <n v="1"/>
    <x v="380"/>
    <d v="1996-02-15T00:00:00"/>
    <d v="1996-01-24T00:00:00"/>
    <n v="3"/>
    <n v="1.51"/>
    <s v="GROSELLA-Restaurante"/>
    <s v="5Âª Ave. Los Palos Grandes"/>
    <x v="17"/>
    <s v="DF"/>
    <s v="1081"/>
    <x v="5"/>
    <n v="1"/>
  </r>
  <r>
    <n v="10786"/>
    <x v="62"/>
    <n v="8"/>
    <x v="381"/>
    <d v="1996-02-16T00:00:00"/>
    <d v="1996-01-23T00:00:00"/>
    <n v="1"/>
    <n v="110.87"/>
    <s v="Queen Cozinha"/>
    <s v="Alameda dos CanÃ rios, 891"/>
    <x v="29"/>
    <s v="SP"/>
    <s v="05487-020"/>
    <x v="2"/>
    <n v="1"/>
  </r>
  <r>
    <n v="10787"/>
    <x v="53"/>
    <n v="2"/>
    <x v="381"/>
    <d v="1996-02-02T00:00:00"/>
    <d v="1996-01-26T00:00:00"/>
    <n v="1"/>
    <n v="249.93"/>
    <s v="La maison d'Asie"/>
    <s v="1 rue Alsace-Lorraine"/>
    <x v="43"/>
    <s v="unknown"/>
    <s v="31000"/>
    <x v="0"/>
    <n v="1"/>
  </r>
  <r>
    <n v="10788"/>
    <x v="21"/>
    <n v="1"/>
    <x v="382"/>
    <d v="1996-02-19T00:00:00"/>
    <d v="1996-02-19T00:00:00"/>
    <n v="2"/>
    <n v="42.7"/>
    <s v="QUICK-Stop"/>
    <s v="TaucherstraÃŸe 10"/>
    <x v="20"/>
    <s v="unknown"/>
    <s v="01307"/>
    <x v="1"/>
    <n v="1"/>
  </r>
  <r>
    <n v="10789"/>
    <x v="68"/>
    <n v="1"/>
    <x v="382"/>
    <d v="1996-02-19T00:00:00"/>
    <d v="1996-01-31T00:00:00"/>
    <n v="2"/>
    <n v="100.6"/>
    <s v="Folies gourmandes"/>
    <s v="184, chaussÃ©e de Tournai"/>
    <x v="54"/>
    <s v="unknown"/>
    <s v="59000"/>
    <x v="0"/>
    <n v="1"/>
  </r>
  <r>
    <n v="10790"/>
    <x v="71"/>
    <n v="6"/>
    <x v="382"/>
    <d v="1996-02-19T00:00:00"/>
    <d v="1996-01-26T00:00:00"/>
    <n v="1"/>
    <n v="28.23"/>
    <s v="Gourmet Lanchonetes"/>
    <s v="Av. Brasil, 442"/>
    <x v="57"/>
    <s v="SP"/>
    <s v="04876-786"/>
    <x v="2"/>
    <n v="1"/>
  </r>
  <r>
    <n v="10791"/>
    <x v="17"/>
    <n v="6"/>
    <x v="383"/>
    <d v="1996-02-20T00:00:00"/>
    <d v="1996-02-01T00:00:00"/>
    <n v="2"/>
    <n v="16.850000000000001"/>
    <s v="Frankenversand"/>
    <s v="Berliner Platz 43"/>
    <x v="16"/>
    <s v="unknown"/>
    <s v="80805"/>
    <x v="1"/>
    <n v="1"/>
  </r>
  <r>
    <n v="10792"/>
    <x v="63"/>
    <n v="1"/>
    <x v="383"/>
    <d v="1996-02-20T00:00:00"/>
    <d v="1996-01-31T00:00:00"/>
    <n v="3"/>
    <n v="23.79"/>
    <s v="Wolski Zajazd"/>
    <s v="ul. Filtrowa 68"/>
    <x v="49"/>
    <s v="unknown"/>
    <s v="01-012"/>
    <x v="18"/>
    <n v="1"/>
  </r>
  <r>
    <n v="10793"/>
    <x v="55"/>
    <n v="3"/>
    <x v="384"/>
    <d v="1996-02-21T00:00:00"/>
    <d v="1996-02-08T00:00:00"/>
    <n v="3"/>
    <n v="4.5199999999999996"/>
    <s v="Around the Horn"/>
    <s v="Brook FarmStratford St. Mary"/>
    <x v="45"/>
    <s v="Essex"/>
    <s v="CO7 6JX"/>
    <x v="13"/>
    <n v="1"/>
  </r>
  <r>
    <n v="10794"/>
    <x v="12"/>
    <n v="6"/>
    <x v="384"/>
    <d v="1996-02-21T00:00:00"/>
    <d v="1996-02-02T00:00:00"/>
    <n v="1"/>
    <n v="21.49"/>
    <s v="Que DelÃ­cia"/>
    <s v="Rua da Panificadora, 12"/>
    <x v="2"/>
    <s v="RJ"/>
    <s v="02389-673"/>
    <x v="2"/>
    <n v="1"/>
  </r>
  <r>
    <n v="10795"/>
    <x v="9"/>
    <n v="8"/>
    <x v="384"/>
    <d v="1996-02-21T00:00:00"/>
    <d v="1996-02-20T00:00:00"/>
    <n v="2"/>
    <n v="126.66"/>
    <s v="Ernst Handel"/>
    <s v="Kirchgasse 6"/>
    <x v="9"/>
    <s v="unknown"/>
    <s v="8010"/>
    <x v="6"/>
    <n v="1"/>
  </r>
  <r>
    <n v="10796"/>
    <x v="8"/>
    <n v="3"/>
    <x v="385"/>
    <d v="1996-02-22T00:00:00"/>
    <d v="1996-02-14T00:00:00"/>
    <n v="1"/>
    <n v="26.52"/>
    <s v="HILARIÃ“N-Abastos"/>
    <s v="Carrera 22 con Ave. Carlos Soublette #8-35"/>
    <x v="8"/>
    <s v="TÃ¡chira"/>
    <s v="5022"/>
    <x v="5"/>
    <n v="1"/>
  </r>
  <r>
    <n v="10797"/>
    <x v="57"/>
    <n v="7"/>
    <x v="385"/>
    <d v="1996-02-22T00:00:00"/>
    <d v="1996-02-05T00:00:00"/>
    <n v="2"/>
    <n v="33.35"/>
    <s v="Drachenblut Delikatessen"/>
    <s v="Walserweg 21"/>
    <x v="46"/>
    <s v="unknown"/>
    <s v="52066"/>
    <x v="1"/>
    <n v="1"/>
  </r>
  <r>
    <n v="10798"/>
    <x v="42"/>
    <n v="2"/>
    <x v="386"/>
    <d v="1996-02-23T00:00:00"/>
    <d v="1996-02-05T00:00:00"/>
    <n v="1"/>
    <n v="2.33"/>
    <s v="Island Trading"/>
    <s v="Garden HouseCrowther Way"/>
    <x v="36"/>
    <s v="Isle of Wight"/>
    <s v="PO31 7PJ"/>
    <x v="13"/>
    <n v="1"/>
  </r>
  <r>
    <n v="10799"/>
    <x v="44"/>
    <n v="9"/>
    <x v="386"/>
    <d v="1996-03-08T00:00:00"/>
    <d v="1996-02-05T00:00:00"/>
    <n v="3"/>
    <n v="30.76"/>
    <s v="KÃ¶niglich Essen"/>
    <s v="Maubelstr. 90"/>
    <x v="37"/>
    <s v="unknown"/>
    <s v="14776"/>
    <x v="1"/>
    <n v="1"/>
  </r>
  <r>
    <n v="10800"/>
    <x v="56"/>
    <n v="1"/>
    <x v="386"/>
    <d v="1996-02-23T00:00:00"/>
    <d v="1996-02-05T00:00:00"/>
    <n v="3"/>
    <n v="137.44"/>
    <s v="Seven Seas Imports"/>
    <s v="90 Wadhurst Rd."/>
    <x v="28"/>
    <s v="unknown"/>
    <s v="OX15 4NB"/>
    <x v="13"/>
    <n v="1"/>
  </r>
  <r>
    <n v="10801"/>
    <x v="46"/>
    <n v="4"/>
    <x v="387"/>
    <d v="1996-02-26T00:00:00"/>
    <d v="1996-01-31T00:00:00"/>
    <n v="2"/>
    <n v="97.09"/>
    <s v="BÃ³lido Comidas preparadas"/>
    <s v="C/ Araquil, 67"/>
    <x v="25"/>
    <s v="unknown"/>
    <s v="28023"/>
    <x v="12"/>
    <n v="1"/>
  </r>
  <r>
    <n v="10802"/>
    <x v="51"/>
    <n v="4"/>
    <x v="387"/>
    <d v="1996-02-26T00:00:00"/>
    <d v="1996-02-02T00:00:00"/>
    <n v="2"/>
    <n v="257.26"/>
    <s v="Simons bistro"/>
    <s v="VinbÃ¦ltet 34"/>
    <x v="42"/>
    <s v="unknown"/>
    <s v="1734"/>
    <x v="17"/>
    <n v="1"/>
  </r>
  <r>
    <n v="10803"/>
    <x v="7"/>
    <n v="4"/>
    <x v="388"/>
    <d v="1996-02-27T00:00:00"/>
    <d v="1996-02-06T00:00:00"/>
    <n v="1"/>
    <n v="55.23"/>
    <s v="Wellington Importadora"/>
    <s v="Rua do Mercado, 12"/>
    <x v="7"/>
    <s v="SP"/>
    <s v="08737-363"/>
    <x v="2"/>
    <n v="1"/>
  </r>
  <r>
    <n v="10804"/>
    <x v="56"/>
    <n v="6"/>
    <x v="388"/>
    <d v="1996-02-27T00:00:00"/>
    <d v="1996-02-07T00:00:00"/>
    <n v="2"/>
    <n v="27.33"/>
    <s v="Seven Seas Imports"/>
    <s v="90 Wadhurst Rd."/>
    <x v="28"/>
    <s v="unknown"/>
    <s v="OX15 4NB"/>
    <x v="13"/>
    <n v="1"/>
  </r>
  <r>
    <n v="10805"/>
    <x v="40"/>
    <n v="2"/>
    <x v="388"/>
    <d v="1996-02-27T00:00:00"/>
    <d v="1996-02-09T00:00:00"/>
    <n v="3"/>
    <n v="237.34"/>
    <s v="The Big Cheese"/>
    <s v="89 Jefferson WaySuite 2"/>
    <x v="34"/>
    <s v="OR"/>
    <s v="97201"/>
    <x v="8"/>
    <n v="1"/>
  </r>
  <r>
    <n v="10806"/>
    <x v="3"/>
    <n v="3"/>
    <x v="389"/>
    <d v="1996-02-28T00:00:00"/>
    <d v="1996-02-05T00:00:00"/>
    <n v="2"/>
    <n v="22.11"/>
    <s v="Victuailles en stock"/>
    <s v="2, rue du Commerce"/>
    <x v="3"/>
    <s v="unknown"/>
    <s v="69004"/>
    <x v="0"/>
    <n v="1"/>
  </r>
  <r>
    <n v="10807"/>
    <x v="70"/>
    <n v="4"/>
    <x v="389"/>
    <d v="1996-02-28T00:00:00"/>
    <d v="1996-03-01T00:00:00"/>
    <n v="1"/>
    <n v="1.36"/>
    <s v="Franchi S.p.A."/>
    <s v="Via Monte Bianco 34"/>
    <x v="56"/>
    <s v="unknown"/>
    <s v="10100"/>
    <x v="11"/>
    <n v="1"/>
  </r>
  <r>
    <n v="10808"/>
    <x v="37"/>
    <n v="2"/>
    <x v="390"/>
    <d v="1996-02-29T00:00:00"/>
    <d v="1996-02-09T00:00:00"/>
    <n v="3"/>
    <n v="45.53"/>
    <s v="Old World Delicatessen"/>
    <s v="2743 Bering St."/>
    <x v="33"/>
    <s v="AK"/>
    <s v="99508"/>
    <x v="8"/>
    <n v="2"/>
  </r>
  <r>
    <n v="10809"/>
    <x v="7"/>
    <n v="7"/>
    <x v="390"/>
    <d v="1996-02-29T00:00:00"/>
    <d v="1996-02-07T00:00:00"/>
    <n v="1"/>
    <n v="4.87"/>
    <s v="Wellington Importadora"/>
    <s v="Rua do Mercado, 12"/>
    <x v="7"/>
    <s v="SP"/>
    <s v="08737-363"/>
    <x v="2"/>
    <n v="2"/>
  </r>
  <r>
    <n v="10810"/>
    <x v="75"/>
    <n v="2"/>
    <x v="390"/>
    <d v="1996-02-29T00:00:00"/>
    <d v="1996-02-07T00:00:00"/>
    <n v="3"/>
    <n v="4.33"/>
    <s v="Laughing Bacchus Wine Cellars"/>
    <s v="2319 Elm St."/>
    <x v="59"/>
    <s v="BC"/>
    <s v="V3F 2K1"/>
    <x v="16"/>
    <n v="2"/>
  </r>
  <r>
    <n v="10811"/>
    <x v="67"/>
    <n v="8"/>
    <x v="391"/>
    <d v="1996-03-01T00:00:00"/>
    <d v="1996-02-08T00:00:00"/>
    <n v="1"/>
    <n v="31.22"/>
    <s v="LINO-Delicateses"/>
    <s v="Ave. 5 de Mayo Porlamar"/>
    <x v="53"/>
    <s v="Nueva Esparta"/>
    <s v="4980"/>
    <x v="5"/>
    <n v="2"/>
  </r>
  <r>
    <n v="10812"/>
    <x v="30"/>
    <n v="5"/>
    <x v="391"/>
    <d v="1996-03-01T00:00:00"/>
    <d v="1996-02-12T00:00:00"/>
    <n v="1"/>
    <n v="59.78"/>
    <s v="Reggiani Caseifici"/>
    <s v="Strada Provinciale 124"/>
    <x v="27"/>
    <s v="unknown"/>
    <s v="42100"/>
    <x v="11"/>
    <n v="2"/>
  </r>
  <r>
    <n v="10813"/>
    <x v="29"/>
    <n v="1"/>
    <x v="392"/>
    <d v="1996-03-04T00:00:00"/>
    <d v="1996-02-09T00:00:00"/>
    <n v="1"/>
    <n v="47.38"/>
    <s v="Ricardo Adocicados"/>
    <s v="Av. Copacabana, 267"/>
    <x v="2"/>
    <s v="RJ"/>
    <s v="02389-890"/>
    <x v="2"/>
    <n v="2"/>
  </r>
  <r>
    <n v="10814"/>
    <x v="3"/>
    <n v="3"/>
    <x v="392"/>
    <d v="1996-03-04T00:00:00"/>
    <d v="1996-02-14T00:00:00"/>
    <n v="3"/>
    <n v="130.94"/>
    <s v="Victuailles en stock"/>
    <s v="2, rue du Commerce"/>
    <x v="3"/>
    <s v="unknown"/>
    <s v="69004"/>
    <x v="0"/>
    <n v="2"/>
  </r>
  <r>
    <n v="10815"/>
    <x v="45"/>
    <n v="2"/>
    <x v="392"/>
    <d v="1996-03-04T00:00:00"/>
    <d v="1996-02-14T00:00:00"/>
    <n v="3"/>
    <n v="14.62"/>
    <s v="Save-a-lot Markets"/>
    <s v="187 Suffolk Ln."/>
    <x v="38"/>
    <s v="ID"/>
    <s v="83720"/>
    <x v="8"/>
    <n v="2"/>
  </r>
  <r>
    <n v="10816"/>
    <x v="79"/>
    <n v="4"/>
    <x v="393"/>
    <d v="1996-03-05T00:00:00"/>
    <d v="1996-03-06T00:00:00"/>
    <n v="2"/>
    <n v="719.78"/>
    <s v="Great Lakes Food Market"/>
    <s v="2732 Baker Blvd."/>
    <x v="61"/>
    <s v="OR"/>
    <s v="97403"/>
    <x v="8"/>
    <n v="2"/>
  </r>
  <r>
    <n v="10817"/>
    <x v="44"/>
    <n v="3"/>
    <x v="393"/>
    <d v="1996-02-20T00:00:00"/>
    <d v="1996-02-13T00:00:00"/>
    <n v="2"/>
    <n v="306.07"/>
    <s v="KÃ¶niglich Essen"/>
    <s v="Maubelstr. 90"/>
    <x v="37"/>
    <s v="unknown"/>
    <s v="14776"/>
    <x v="1"/>
    <n v="2"/>
  </r>
  <r>
    <n v="10818"/>
    <x v="22"/>
    <n v="7"/>
    <x v="394"/>
    <d v="1996-03-06T00:00:00"/>
    <d v="1996-02-12T00:00:00"/>
    <n v="3"/>
    <n v="65.48"/>
    <s v="Magazzini Alimentari Riuniti"/>
    <s v="Via Ludovico il Moro 22"/>
    <x v="21"/>
    <s v="unknown"/>
    <s v="24100"/>
    <x v="11"/>
    <n v="2"/>
  </r>
  <r>
    <n v="10819"/>
    <x v="78"/>
    <n v="2"/>
    <x v="394"/>
    <d v="1996-03-06T00:00:00"/>
    <d v="1996-02-16T00:00:00"/>
    <n v="3"/>
    <n v="19.760000000000002"/>
    <s v="Cactus Comidas para llevar"/>
    <s v="Cerrito 333"/>
    <x v="55"/>
    <s v="unknown"/>
    <s v="1010"/>
    <x v="20"/>
    <n v="2"/>
  </r>
  <r>
    <n v="10820"/>
    <x v="13"/>
    <n v="3"/>
    <x v="394"/>
    <d v="1996-03-06T00:00:00"/>
    <d v="1996-02-13T00:00:00"/>
    <n v="2"/>
    <n v="37.520000000000003"/>
    <s v="Rattlesnake Canyon Grocery"/>
    <s v="2817 Milton Dr."/>
    <x v="12"/>
    <s v="NM"/>
    <s v="87110"/>
    <x v="8"/>
    <n v="2"/>
  </r>
  <r>
    <n v="10821"/>
    <x v="20"/>
    <n v="1"/>
    <x v="395"/>
    <d v="1996-03-07T00:00:00"/>
    <d v="1996-02-15T00:00:00"/>
    <n v="1"/>
    <n v="36.68"/>
    <s v="Split Rail Beer &amp; Ale"/>
    <s v="P.O. Box 555"/>
    <x v="19"/>
    <s v="WY"/>
    <s v="82520"/>
    <x v="8"/>
    <n v="2"/>
  </r>
  <r>
    <n v="10822"/>
    <x v="81"/>
    <n v="6"/>
    <x v="395"/>
    <d v="1996-03-07T00:00:00"/>
    <d v="1996-02-16T00:00:00"/>
    <n v="3"/>
    <n v="7"/>
    <s v="Trail's Head Gourmet Provisioners"/>
    <s v="722 DaVinci Blvd."/>
    <x v="63"/>
    <s v="WA"/>
    <s v="98034"/>
    <x v="8"/>
    <n v="2"/>
  </r>
  <r>
    <n v="10823"/>
    <x v="28"/>
    <n v="5"/>
    <x v="396"/>
    <d v="1996-03-08T00:00:00"/>
    <d v="1996-02-13T00:00:00"/>
    <n v="2"/>
    <n v="163.97"/>
    <s v="LILA-Supermercado"/>
    <s v="Carrera 52 con Ave. BolÃ­var #65-98 Llano Largo"/>
    <x v="26"/>
    <s v="Lara"/>
    <s v="3508"/>
    <x v="5"/>
    <n v="2"/>
  </r>
  <r>
    <n v="10824"/>
    <x v="14"/>
    <n v="8"/>
    <x v="396"/>
    <d v="1996-03-08T00:00:00"/>
    <d v="1996-03-01T00:00:00"/>
    <n v="1"/>
    <n v="1.23"/>
    <s v="Folk och fÃ¤ HB"/>
    <s v="Ã…kergatan 24"/>
    <x v="13"/>
    <s v="unknown"/>
    <s v="S-844 67"/>
    <x v="9"/>
    <n v="2"/>
  </r>
  <r>
    <n v="10825"/>
    <x v="57"/>
    <n v="1"/>
    <x v="396"/>
    <d v="1996-03-08T00:00:00"/>
    <d v="1996-02-14T00:00:00"/>
    <n v="1"/>
    <n v="79.25"/>
    <s v="Drachenblut Delikatessen"/>
    <s v="Walserweg 21"/>
    <x v="46"/>
    <s v="unknown"/>
    <s v="52066"/>
    <x v="1"/>
    <n v="2"/>
  </r>
  <r>
    <n v="10826"/>
    <x v="15"/>
    <n v="6"/>
    <x v="397"/>
    <d v="1996-03-11T00:00:00"/>
    <d v="1996-03-08T00:00:00"/>
    <n v="1"/>
    <n v="7.09"/>
    <s v="Blondel pÃ¨re et fils"/>
    <s v="24, place KlÃ©ber"/>
    <x v="14"/>
    <s v="unknown"/>
    <s v="67000"/>
    <x v="0"/>
    <n v="2"/>
  </r>
  <r>
    <n v="10827"/>
    <x v="48"/>
    <n v="1"/>
    <x v="397"/>
    <d v="1996-02-26T00:00:00"/>
    <d v="1996-03-08T00:00:00"/>
    <n v="2"/>
    <n v="63.54"/>
    <s v="Bon app'"/>
    <s v="12, rue des Bouchers"/>
    <x v="40"/>
    <s v="unknown"/>
    <s v="13008"/>
    <x v="0"/>
    <n v="2"/>
  </r>
  <r>
    <n v="10828"/>
    <x v="73"/>
    <n v="9"/>
    <x v="398"/>
    <d v="1996-02-27T00:00:00"/>
    <d v="1996-03-06T00:00:00"/>
    <n v="1"/>
    <n v="90.85"/>
    <s v="Rancho grande"/>
    <s v="Av. del Libertador 900"/>
    <x v="55"/>
    <s v="unknown"/>
    <s v="1010"/>
    <x v="20"/>
    <n v="2"/>
  </r>
  <r>
    <n v="10829"/>
    <x v="42"/>
    <n v="9"/>
    <x v="398"/>
    <d v="1996-03-12T00:00:00"/>
    <d v="1996-02-23T00:00:00"/>
    <n v="1"/>
    <n v="154.72"/>
    <s v="Island Trading"/>
    <s v="Garden HouseCrowther Way"/>
    <x v="36"/>
    <s v="Isle of Wight"/>
    <s v="PO31 7PJ"/>
    <x v="13"/>
    <n v="2"/>
  </r>
  <r>
    <n v="10830"/>
    <x v="33"/>
    <n v="4"/>
    <x v="398"/>
    <d v="1996-03-26T00:00:00"/>
    <d v="1996-02-21T00:00:00"/>
    <n v="2"/>
    <n v="81.83"/>
    <s v="TradiÃ§Ã£o Hipermercados"/>
    <s v="Av. InÃªs de Castro, 414"/>
    <x v="29"/>
    <s v="SP"/>
    <s v="05634-030"/>
    <x v="2"/>
    <n v="2"/>
  </r>
  <r>
    <n v="10831"/>
    <x v="65"/>
    <n v="3"/>
    <x v="399"/>
    <d v="1996-03-13T00:00:00"/>
    <d v="1996-02-23T00:00:00"/>
    <n v="2"/>
    <n v="72.19"/>
    <s v="SantÃ© Gourmet"/>
    <s v="Erling Skakkes gate 78"/>
    <x v="51"/>
    <s v="unknown"/>
    <s v="4110"/>
    <x v="19"/>
    <n v="2"/>
  </r>
  <r>
    <n v="10832"/>
    <x v="53"/>
    <n v="2"/>
    <x v="399"/>
    <d v="1996-03-13T00:00:00"/>
    <d v="1996-02-19T00:00:00"/>
    <n v="2"/>
    <n v="43.26"/>
    <s v="La maison d'Asie"/>
    <s v="1 rue Alsace-Lorraine"/>
    <x v="43"/>
    <s v="unknown"/>
    <s v="31000"/>
    <x v="0"/>
    <n v="2"/>
  </r>
  <r>
    <n v="10833"/>
    <x v="11"/>
    <n v="6"/>
    <x v="400"/>
    <d v="1996-03-14T00:00:00"/>
    <d v="1996-02-23T00:00:00"/>
    <n v="2"/>
    <n v="71.489999999999995"/>
    <s v="Ottilies KÃ¤seladen"/>
    <s v="Mehrheimerstr. 369"/>
    <x v="11"/>
    <s v="unknown"/>
    <s v="50739"/>
    <x v="1"/>
    <n v="2"/>
  </r>
  <r>
    <n v="10834"/>
    <x v="33"/>
    <n v="1"/>
    <x v="400"/>
    <d v="1996-03-14T00:00:00"/>
    <d v="1996-02-19T00:00:00"/>
    <n v="3"/>
    <n v="29.78"/>
    <s v="TradiÃ§Ã£o Hipermercados"/>
    <s v="Av. InÃªs de Castro, 414"/>
    <x v="29"/>
    <s v="SP"/>
    <s v="05634-030"/>
    <x v="2"/>
    <n v="2"/>
  </r>
  <r>
    <n v="10835"/>
    <x v="85"/>
    <n v="1"/>
    <x v="400"/>
    <d v="1996-03-14T00:00:00"/>
    <d v="1996-02-21T00:00:00"/>
    <n v="3"/>
    <n v="69.53"/>
    <s v="Alfred's Futterkiste"/>
    <s v="Obere Str. 57"/>
    <x v="67"/>
    <s v="unknown"/>
    <s v="12209"/>
    <x v="1"/>
    <n v="2"/>
  </r>
  <r>
    <n v="10836"/>
    <x v="9"/>
    <n v="7"/>
    <x v="401"/>
    <d v="1996-03-15T00:00:00"/>
    <d v="1996-02-21T00:00:00"/>
    <n v="1"/>
    <n v="411.88"/>
    <s v="Ernst Handel"/>
    <s v="Kirchgasse 6"/>
    <x v="9"/>
    <s v="unknown"/>
    <s v="8010"/>
    <x v="6"/>
    <n v="2"/>
  </r>
  <r>
    <n v="10837"/>
    <x v="25"/>
    <n v="9"/>
    <x v="401"/>
    <d v="1996-03-15T00:00:00"/>
    <d v="1996-02-23T00:00:00"/>
    <n v="3"/>
    <n v="13.32"/>
    <s v="Berglunds snabbkÃ¶p"/>
    <s v="BerguvsvÃ¤gen  8"/>
    <x v="23"/>
    <s v="unknown"/>
    <s v="S-958 22"/>
    <x v="9"/>
    <n v="2"/>
  </r>
  <r>
    <n v="10838"/>
    <x v="67"/>
    <n v="3"/>
    <x v="402"/>
    <d v="1996-03-18T00:00:00"/>
    <d v="1996-02-23T00:00:00"/>
    <n v="3"/>
    <n v="59.28"/>
    <s v="LINO-Delicateses"/>
    <s v="Ave. 5 de Mayo Porlamar"/>
    <x v="53"/>
    <s v="Nueva Esparta"/>
    <s v="4980"/>
    <x v="5"/>
    <n v="2"/>
  </r>
  <r>
    <n v="10839"/>
    <x v="33"/>
    <n v="3"/>
    <x v="402"/>
    <d v="1996-03-18T00:00:00"/>
    <d v="1996-02-22T00:00:00"/>
    <n v="3"/>
    <n v="35.43"/>
    <s v="TradiÃ§Ã£o Hipermercados"/>
    <s v="Av. InÃªs de Castro, 414"/>
    <x v="29"/>
    <s v="SP"/>
    <s v="05634-030"/>
    <x v="2"/>
    <n v="2"/>
  </r>
  <r>
    <n v="10840"/>
    <x v="67"/>
    <n v="4"/>
    <x v="402"/>
    <d v="1996-04-01T00:00:00"/>
    <d v="1996-03-18T00:00:00"/>
    <n v="2"/>
    <n v="2.71"/>
    <s v="LINO-Delicateses"/>
    <s v="Ave. 5 de Mayo Porlamar"/>
    <x v="53"/>
    <s v="Nueva Esparta"/>
    <s v="4980"/>
    <x v="5"/>
    <n v="2"/>
  </r>
  <r>
    <n v="10841"/>
    <x v="4"/>
    <n v="5"/>
    <x v="403"/>
    <d v="1996-03-19T00:00:00"/>
    <d v="1996-02-29T00:00:00"/>
    <n v="2"/>
    <n v="424.3"/>
    <s v="SuprÃªmes dÃ©lices"/>
    <s v="Boulevard Tirou, 255"/>
    <x v="4"/>
    <s v="unknown"/>
    <s v="B-6000"/>
    <x v="3"/>
    <n v="2"/>
  </r>
  <r>
    <n v="10842"/>
    <x v="23"/>
    <n v="1"/>
    <x v="403"/>
    <d v="1996-03-19T00:00:00"/>
    <d v="1996-02-29T00:00:00"/>
    <n v="3"/>
    <n v="54.42"/>
    <s v="Tortuga Restaurante"/>
    <s v="Avda. Azteca 123"/>
    <x v="10"/>
    <s v="unknown"/>
    <s v="05033"/>
    <x v="7"/>
    <n v="2"/>
  </r>
  <r>
    <n v="10843"/>
    <x v="3"/>
    <n v="4"/>
    <x v="404"/>
    <d v="1996-03-20T00:00:00"/>
    <d v="1996-02-26T00:00:00"/>
    <n v="2"/>
    <n v="9.26"/>
    <s v="Victuailles en stock"/>
    <s v="2, rue du Commerce"/>
    <x v="3"/>
    <s v="unknown"/>
    <s v="69004"/>
    <x v="0"/>
    <n v="2"/>
  </r>
  <r>
    <n v="10844"/>
    <x v="54"/>
    <n v="8"/>
    <x v="404"/>
    <d v="1996-03-20T00:00:00"/>
    <d v="1996-02-26T00:00:00"/>
    <n v="2"/>
    <n v="25.22"/>
    <s v="Piccolo und mehr"/>
    <s v="Geislweg 14"/>
    <x v="44"/>
    <s v="unknown"/>
    <s v="5020"/>
    <x v="6"/>
    <n v="2"/>
  </r>
  <r>
    <n v="10845"/>
    <x v="21"/>
    <n v="8"/>
    <x v="404"/>
    <d v="1996-03-06T00:00:00"/>
    <d v="1996-03-01T00:00:00"/>
    <n v="1"/>
    <n v="212.98"/>
    <s v="QUICK-Stop"/>
    <s v="TaucherstraÃŸe 10"/>
    <x v="20"/>
    <s v="unknown"/>
    <s v="01307"/>
    <x v="1"/>
    <n v="2"/>
  </r>
  <r>
    <n v="10846"/>
    <x v="4"/>
    <n v="2"/>
    <x v="405"/>
    <d v="1996-04-04T00:00:00"/>
    <d v="1996-02-23T00:00:00"/>
    <n v="3"/>
    <n v="56.46"/>
    <s v="SuprÃªmes dÃ©lices"/>
    <s v="Boulevard Tirou, 255"/>
    <x v="4"/>
    <s v="unknown"/>
    <s v="B-6000"/>
    <x v="3"/>
    <n v="2"/>
  </r>
  <r>
    <n v="10847"/>
    <x v="45"/>
    <n v="4"/>
    <x v="405"/>
    <d v="1996-03-07T00:00:00"/>
    <d v="1996-03-12T00:00:00"/>
    <n v="3"/>
    <n v="487.57"/>
    <s v="Save-a-lot Markets"/>
    <s v="187 Suffolk Ln."/>
    <x v="38"/>
    <s v="ID"/>
    <s v="83720"/>
    <x v="8"/>
    <n v="2"/>
  </r>
  <r>
    <n v="10848"/>
    <x v="72"/>
    <n v="7"/>
    <x v="406"/>
    <d v="1996-03-22T00:00:00"/>
    <d v="1996-02-29T00:00:00"/>
    <n v="2"/>
    <n v="38.24"/>
    <s v="Consolidated Holdings"/>
    <s v="Berkeley Gardens12  Brewery"/>
    <x v="28"/>
    <s v="unknown"/>
    <s v="WX1 6LT"/>
    <x v="13"/>
    <n v="2"/>
  </r>
  <r>
    <n v="10849"/>
    <x v="44"/>
    <n v="9"/>
    <x v="406"/>
    <d v="1996-03-22T00:00:00"/>
    <d v="1996-03-01T00:00:00"/>
    <n v="2"/>
    <n v="0.56000000000000005"/>
    <s v="KÃ¶niglich Essen"/>
    <s v="Maubelstr. 90"/>
    <x v="37"/>
    <s v="unknown"/>
    <s v="14776"/>
    <x v="1"/>
    <n v="2"/>
  </r>
  <r>
    <n v="10850"/>
    <x v="3"/>
    <n v="1"/>
    <x v="406"/>
    <d v="1996-04-05T00:00:00"/>
    <d v="1996-03-01T00:00:00"/>
    <n v="1"/>
    <n v="49.19"/>
    <s v="Victuailles en stock"/>
    <s v="2, rue du Commerce"/>
    <x v="3"/>
    <s v="unknown"/>
    <s v="69004"/>
    <x v="0"/>
    <n v="2"/>
  </r>
  <r>
    <n v="10851"/>
    <x v="29"/>
    <n v="5"/>
    <x v="407"/>
    <d v="1996-03-25T00:00:00"/>
    <d v="1996-03-04T00:00:00"/>
    <n v="1"/>
    <n v="160.55000000000001"/>
    <s v="Ricardo Adocicados"/>
    <s v="Av. Copacabana, 267"/>
    <x v="2"/>
    <s v="RJ"/>
    <s v="02389-890"/>
    <x v="2"/>
    <n v="2"/>
  </r>
  <r>
    <n v="10852"/>
    <x v="13"/>
    <n v="8"/>
    <x v="407"/>
    <d v="1996-03-11T00:00:00"/>
    <d v="1996-03-01T00:00:00"/>
    <n v="1"/>
    <n v="174.05"/>
    <s v="Rattlesnake Canyon Grocery"/>
    <s v="2817 Milton Dr."/>
    <x v="12"/>
    <s v="NM"/>
    <s v="87110"/>
    <x v="8"/>
    <n v="2"/>
  </r>
  <r>
    <n v="10853"/>
    <x v="76"/>
    <n v="9"/>
    <x v="408"/>
    <d v="1996-03-26T00:00:00"/>
    <d v="1996-03-05T00:00:00"/>
    <n v="2"/>
    <n v="53.83"/>
    <s v="Blauer See Delikatessen"/>
    <s v="Forsterstr. 57"/>
    <x v="60"/>
    <s v="unknown"/>
    <s v="68306"/>
    <x v="1"/>
    <n v="2"/>
  </r>
  <r>
    <n v="10854"/>
    <x v="9"/>
    <n v="3"/>
    <x v="408"/>
    <d v="1996-03-26T00:00:00"/>
    <d v="1996-03-07T00:00:00"/>
    <n v="2"/>
    <n v="100.22"/>
    <s v="Ernst Handel"/>
    <s v="Kirchgasse 6"/>
    <x v="9"/>
    <s v="unknown"/>
    <s v="8010"/>
    <x v="6"/>
    <n v="2"/>
  </r>
  <r>
    <n v="10855"/>
    <x v="37"/>
    <n v="3"/>
    <x v="408"/>
    <d v="1996-03-26T00:00:00"/>
    <d v="1996-03-06T00:00:00"/>
    <n v="1"/>
    <n v="170.97"/>
    <s v="Old World Delicatessen"/>
    <s v="2743 Bering St."/>
    <x v="33"/>
    <s v="AK"/>
    <s v="99508"/>
    <x v="8"/>
    <n v="2"/>
  </r>
  <r>
    <n v="10856"/>
    <x v="59"/>
    <n v="3"/>
    <x v="409"/>
    <d v="1996-03-27T00:00:00"/>
    <d v="1996-03-12T00:00:00"/>
    <n v="2"/>
    <n v="58.43"/>
    <s v="Antonio Moreno TaquerÃ­a"/>
    <s v="Mataderos  2312"/>
    <x v="10"/>
    <s v="unknown"/>
    <s v="05023"/>
    <x v="7"/>
    <n v="2"/>
  </r>
  <r>
    <n v="10857"/>
    <x v="25"/>
    <n v="8"/>
    <x v="409"/>
    <d v="1996-03-27T00:00:00"/>
    <d v="1996-03-08T00:00:00"/>
    <n v="2"/>
    <n v="188.85"/>
    <s v="Berglunds snabbkÃ¶p"/>
    <s v="BerguvsvÃ¤gen  8"/>
    <x v="23"/>
    <s v="unknown"/>
    <s v="S-958 22"/>
    <x v="9"/>
    <n v="2"/>
  </r>
  <r>
    <n v="10858"/>
    <x v="88"/>
    <n v="2"/>
    <x v="410"/>
    <d v="1996-03-28T00:00:00"/>
    <d v="1996-03-05T00:00:00"/>
    <n v="1"/>
    <n v="52.51"/>
    <s v="La corne d'abondance"/>
    <s v="67, avenue de l'Europe"/>
    <x v="69"/>
    <s v="unknown"/>
    <s v="78000"/>
    <x v="0"/>
    <n v="2"/>
  </r>
  <r>
    <n v="10859"/>
    <x v="17"/>
    <n v="1"/>
    <x v="410"/>
    <d v="1996-03-28T00:00:00"/>
    <d v="1996-03-04T00:00:00"/>
    <n v="2"/>
    <n v="76.099999999999994"/>
    <s v="Frankenversand"/>
    <s v="Berliner Platz 43"/>
    <x v="16"/>
    <s v="unknown"/>
    <s v="80805"/>
    <x v="1"/>
    <n v="2"/>
  </r>
  <r>
    <n v="10860"/>
    <x v="86"/>
    <n v="3"/>
    <x v="410"/>
    <d v="1996-03-28T00:00:00"/>
    <d v="1996-03-06T00:00:00"/>
    <n v="3"/>
    <n v="19.260000000000002"/>
    <s v="France restauration"/>
    <s v="54, rue Royale"/>
    <x v="35"/>
    <s v="unknown"/>
    <s v="44000"/>
    <x v="0"/>
    <n v="2"/>
  </r>
  <r>
    <n v="10861"/>
    <x v="19"/>
    <n v="4"/>
    <x v="411"/>
    <d v="1996-03-29T00:00:00"/>
    <d v="1996-03-19T00:00:00"/>
    <n v="2"/>
    <n v="14.93"/>
    <s v="White Clover Markets"/>
    <s v="1029 - 12th Ave. S."/>
    <x v="18"/>
    <s v="WA"/>
    <s v="98124"/>
    <x v="8"/>
    <n v="3"/>
  </r>
  <r>
    <n v="10862"/>
    <x v="26"/>
    <n v="8"/>
    <x v="411"/>
    <d v="1996-04-12T00:00:00"/>
    <d v="1996-03-04T00:00:00"/>
    <n v="2"/>
    <n v="53.23"/>
    <s v="Lehmanns Marktstand"/>
    <s v="Magazinweg 7"/>
    <x v="24"/>
    <s v="unknown"/>
    <s v="60528"/>
    <x v="1"/>
    <n v="3"/>
  </r>
  <r>
    <n v="10863"/>
    <x v="8"/>
    <n v="4"/>
    <x v="412"/>
    <d v="1996-04-01T00:00:00"/>
    <d v="1996-03-19T00:00:00"/>
    <n v="2"/>
    <n v="30.26"/>
    <s v="HILARIÃ“N-Abastos"/>
    <s v="Carrera 22 con Ave. Carlos Soublette #8-35"/>
    <x v="8"/>
    <s v="TÃ¡chira"/>
    <s v="5022"/>
    <x v="5"/>
    <n v="3"/>
  </r>
  <r>
    <n v="10864"/>
    <x v="55"/>
    <n v="4"/>
    <x v="412"/>
    <d v="1996-04-01T00:00:00"/>
    <d v="1996-03-11T00:00:00"/>
    <n v="2"/>
    <n v="3.04"/>
    <s v="Around the Horn"/>
    <s v="Brook FarmStratford St. Mary"/>
    <x v="45"/>
    <s v="Essex"/>
    <s v="CO7 6JX"/>
    <x v="13"/>
    <n v="3"/>
  </r>
  <r>
    <n v="10865"/>
    <x v="21"/>
    <n v="2"/>
    <x v="412"/>
    <d v="1996-03-18T00:00:00"/>
    <d v="1996-03-14T00:00:00"/>
    <n v="1"/>
    <n v="348.14"/>
    <s v="QUICK-Stop"/>
    <s v="TaucherstraÃŸe 10"/>
    <x v="20"/>
    <s v="unknown"/>
    <s v="01307"/>
    <x v="1"/>
    <n v="3"/>
  </r>
  <r>
    <n v="10866"/>
    <x v="25"/>
    <n v="5"/>
    <x v="413"/>
    <d v="1996-04-02T00:00:00"/>
    <d v="1996-03-14T00:00:00"/>
    <n v="1"/>
    <n v="109.11"/>
    <s v="Berglunds snabbkÃ¶p"/>
    <s v="BerguvsvÃ¤gen  8"/>
    <x v="23"/>
    <s v="unknown"/>
    <s v="S-958 22"/>
    <x v="9"/>
    <n v="3"/>
  </r>
  <r>
    <n v="10867"/>
    <x v="38"/>
    <n v="6"/>
    <x v="413"/>
    <d v="1996-04-16T00:00:00"/>
    <d v="1996-03-13T00:00:00"/>
    <n v="1"/>
    <n v="1.93"/>
    <s v="Lonesome Pine Restaurant"/>
    <s v="89 Chiaroscuro Rd."/>
    <x v="34"/>
    <s v="OR"/>
    <s v="97219"/>
    <x v="8"/>
    <n v="3"/>
  </r>
  <r>
    <n v="10868"/>
    <x v="62"/>
    <n v="7"/>
    <x v="414"/>
    <d v="1996-04-03T00:00:00"/>
    <d v="1996-03-25T00:00:00"/>
    <n v="2"/>
    <n v="191.27"/>
    <s v="Queen Cozinha"/>
    <s v="Alameda dos CanÃ rios, 891"/>
    <x v="29"/>
    <s v="SP"/>
    <s v="05487-020"/>
    <x v="2"/>
    <n v="3"/>
  </r>
  <r>
    <n v="10869"/>
    <x v="56"/>
    <n v="5"/>
    <x v="414"/>
    <d v="1996-04-03T00:00:00"/>
    <d v="1996-03-11T00:00:00"/>
    <n v="1"/>
    <n v="143.28"/>
    <s v="Seven Seas Imports"/>
    <s v="90 Wadhurst Rd."/>
    <x v="28"/>
    <s v="unknown"/>
    <s v="OX15 4NB"/>
    <x v="13"/>
    <n v="3"/>
  </r>
  <r>
    <n v="10870"/>
    <x v="63"/>
    <n v="5"/>
    <x v="414"/>
    <d v="1996-04-03T00:00:00"/>
    <d v="1996-03-15T00:00:00"/>
    <n v="3"/>
    <n v="12.04"/>
    <s v="Wolski Zajazd"/>
    <s v="ul. Filtrowa 68"/>
    <x v="49"/>
    <s v="unknown"/>
    <s v="01-012"/>
    <x v="18"/>
    <n v="3"/>
  </r>
  <r>
    <n v="10871"/>
    <x v="48"/>
    <n v="9"/>
    <x v="415"/>
    <d v="1996-04-04T00:00:00"/>
    <d v="1996-03-12T00:00:00"/>
    <n v="2"/>
    <n v="112.27"/>
    <s v="Bon app'"/>
    <s v="12, rue des Bouchers"/>
    <x v="40"/>
    <s v="unknown"/>
    <s v="13008"/>
    <x v="0"/>
    <n v="3"/>
  </r>
  <r>
    <n v="10872"/>
    <x v="36"/>
    <n v="5"/>
    <x v="415"/>
    <d v="1996-04-04T00:00:00"/>
    <d v="1996-03-11T00:00:00"/>
    <n v="2"/>
    <n v="175.32"/>
    <s v="Godos Cocina TÃ­pica"/>
    <s v="C/ Romero, 33"/>
    <x v="32"/>
    <s v="unknown"/>
    <s v="41101"/>
    <x v="12"/>
    <n v="3"/>
  </r>
  <r>
    <n v="10873"/>
    <x v="83"/>
    <n v="4"/>
    <x v="416"/>
    <d v="1996-04-05T00:00:00"/>
    <d v="1996-03-11T00:00:00"/>
    <n v="1"/>
    <n v="0.82"/>
    <s v="Wilman Kala"/>
    <s v="Keskuskatu 45"/>
    <x v="65"/>
    <s v="unknown"/>
    <s v="21240"/>
    <x v="10"/>
    <n v="3"/>
  </r>
  <r>
    <n v="10874"/>
    <x v="36"/>
    <n v="5"/>
    <x v="416"/>
    <d v="1996-04-05T00:00:00"/>
    <d v="1996-03-13T00:00:00"/>
    <n v="2"/>
    <n v="19.579999999999998"/>
    <s v="Godos Cocina TÃ­pica"/>
    <s v="C/ Romero, 33"/>
    <x v="32"/>
    <s v="unknown"/>
    <s v="41101"/>
    <x v="12"/>
    <n v="3"/>
  </r>
  <r>
    <n v="10875"/>
    <x v="25"/>
    <n v="4"/>
    <x v="416"/>
    <d v="1996-04-05T00:00:00"/>
    <d v="1996-04-02T00:00:00"/>
    <n v="2"/>
    <n v="32.369999999999997"/>
    <s v="Berglunds snabbkÃ¶p"/>
    <s v="BerguvsvÃ¤gen  8"/>
    <x v="23"/>
    <s v="unknown"/>
    <s v="S-958 22"/>
    <x v="9"/>
    <n v="3"/>
  </r>
  <r>
    <n v="10876"/>
    <x v="48"/>
    <n v="7"/>
    <x v="417"/>
    <d v="1996-04-08T00:00:00"/>
    <d v="1996-03-14T00:00:00"/>
    <n v="3"/>
    <n v="60.42"/>
    <s v="Bon app'"/>
    <s v="12, rue des Bouchers"/>
    <x v="40"/>
    <s v="unknown"/>
    <s v="13008"/>
    <x v="0"/>
    <n v="3"/>
  </r>
  <r>
    <n v="10877"/>
    <x v="29"/>
    <n v="1"/>
    <x v="417"/>
    <d v="1996-04-08T00:00:00"/>
    <d v="1996-03-21T00:00:00"/>
    <n v="1"/>
    <n v="38.06"/>
    <s v="Ricardo Adocicados"/>
    <s v="Av. Copacabana, 267"/>
    <x v="2"/>
    <s v="RJ"/>
    <s v="02389-890"/>
    <x v="2"/>
    <n v="3"/>
  </r>
  <r>
    <n v="10878"/>
    <x v="21"/>
    <n v="4"/>
    <x v="418"/>
    <d v="1996-04-09T00:00:00"/>
    <d v="1996-03-14T00:00:00"/>
    <n v="1"/>
    <n v="46.69"/>
    <s v="QUICK-Stop"/>
    <s v="TaucherstraÃŸe 10"/>
    <x v="20"/>
    <s v="unknown"/>
    <s v="01307"/>
    <x v="1"/>
    <n v="3"/>
  </r>
  <r>
    <n v="10879"/>
    <x v="83"/>
    <n v="3"/>
    <x v="418"/>
    <d v="1996-04-09T00:00:00"/>
    <d v="1996-03-14T00:00:00"/>
    <n v="3"/>
    <n v="8.5"/>
    <s v="Wilman Kala"/>
    <s v="Keskuskatu 45"/>
    <x v="65"/>
    <s v="unknown"/>
    <s v="21240"/>
    <x v="10"/>
    <n v="3"/>
  </r>
  <r>
    <n v="10880"/>
    <x v="14"/>
    <n v="7"/>
    <x v="418"/>
    <d v="1996-04-23T00:00:00"/>
    <d v="1996-03-20T00:00:00"/>
    <n v="1"/>
    <n v="88.01"/>
    <s v="Folk och fÃ¤ HB"/>
    <s v="Ã…kergatan 24"/>
    <x v="13"/>
    <s v="unknown"/>
    <s v="S-844 67"/>
    <x v="9"/>
    <n v="3"/>
  </r>
  <r>
    <n v="10881"/>
    <x v="78"/>
    <n v="4"/>
    <x v="419"/>
    <d v="1996-04-10T00:00:00"/>
    <d v="1996-03-20T00:00:00"/>
    <n v="1"/>
    <n v="2.84"/>
    <s v="Cactus Comidas para llevar"/>
    <s v="Cerrito 333"/>
    <x v="55"/>
    <s v="unknown"/>
    <s v="1010"/>
    <x v="20"/>
    <n v="3"/>
  </r>
  <r>
    <n v="10882"/>
    <x v="45"/>
    <n v="4"/>
    <x v="419"/>
    <d v="1996-04-10T00:00:00"/>
    <d v="1996-03-22T00:00:00"/>
    <n v="3"/>
    <n v="23.1"/>
    <s v="Save-a-lot Markets"/>
    <s v="187 Suffolk Ln."/>
    <x v="38"/>
    <s v="ID"/>
    <s v="83720"/>
    <x v="8"/>
    <n v="3"/>
  </r>
  <r>
    <n v="10883"/>
    <x v="38"/>
    <n v="8"/>
    <x v="420"/>
    <d v="1996-04-11T00:00:00"/>
    <d v="1996-03-22T00:00:00"/>
    <n v="3"/>
    <n v="0.53"/>
    <s v="Lonesome Pine Restaurant"/>
    <s v="89 Chiaroscuro Rd."/>
    <x v="34"/>
    <s v="OR"/>
    <s v="97219"/>
    <x v="8"/>
    <n v="3"/>
  </r>
  <r>
    <n v="10884"/>
    <x v="82"/>
    <n v="4"/>
    <x v="420"/>
    <d v="1996-04-11T00:00:00"/>
    <d v="1996-03-15T00:00:00"/>
    <n v="2"/>
    <n v="90.97"/>
    <s v="Let's Stop N Shop"/>
    <s v="87 Polk St.Suite 5"/>
    <x v="64"/>
    <s v="CA"/>
    <s v="94117"/>
    <x v="8"/>
    <n v="3"/>
  </r>
  <r>
    <n v="10885"/>
    <x v="4"/>
    <n v="6"/>
    <x v="420"/>
    <d v="1996-04-11T00:00:00"/>
    <d v="1996-03-20T00:00:00"/>
    <n v="3"/>
    <n v="5.64"/>
    <s v="SuprÃªmes dÃ©lices"/>
    <s v="Boulevard Tirou, 255"/>
    <x v="4"/>
    <s v="unknown"/>
    <s v="B-6000"/>
    <x v="3"/>
    <n v="3"/>
  </r>
  <r>
    <n v="10886"/>
    <x v="2"/>
    <n v="1"/>
    <x v="421"/>
    <d v="1996-04-12T00:00:00"/>
    <d v="1996-04-01T00:00:00"/>
    <n v="1"/>
    <n v="4.99"/>
    <s v="Hanari Carnes"/>
    <s v="Rua do PaÃ§o, 67"/>
    <x v="2"/>
    <s v="RJ"/>
    <s v="05454-876"/>
    <x v="2"/>
    <n v="3"/>
  </r>
  <r>
    <n v="10887"/>
    <x v="60"/>
    <n v="8"/>
    <x v="421"/>
    <d v="1996-04-12T00:00:00"/>
    <d v="1996-03-18T00:00:00"/>
    <n v="3"/>
    <n v="1.25"/>
    <s v="GalerÃ­a del gastronÃ³mo"/>
    <s v="Rambla de CataluÃ±a, 23"/>
    <x v="47"/>
    <s v="unknown"/>
    <s v="8022"/>
    <x v="12"/>
    <n v="3"/>
  </r>
  <r>
    <n v="10888"/>
    <x v="36"/>
    <n v="1"/>
    <x v="422"/>
    <d v="1996-04-15T00:00:00"/>
    <d v="1996-03-25T00:00:00"/>
    <n v="2"/>
    <n v="51.87"/>
    <s v="Godos Cocina TÃ­pica"/>
    <s v="C/ Romero, 33"/>
    <x v="32"/>
    <s v="unknown"/>
    <s v="41101"/>
    <x v="12"/>
    <n v="3"/>
  </r>
  <r>
    <n v="10889"/>
    <x v="13"/>
    <n v="9"/>
    <x v="422"/>
    <d v="1996-04-15T00:00:00"/>
    <d v="1996-03-25T00:00:00"/>
    <n v="3"/>
    <n v="280.61"/>
    <s v="Rattlesnake Canyon Grocery"/>
    <s v="2817 Milton Dr."/>
    <x v="12"/>
    <s v="NM"/>
    <s v="87110"/>
    <x v="8"/>
    <n v="3"/>
  </r>
  <r>
    <n v="10890"/>
    <x v="41"/>
    <n v="7"/>
    <x v="422"/>
    <d v="1996-04-15T00:00:00"/>
    <d v="1996-03-20T00:00:00"/>
    <n v="1"/>
    <n v="32.76"/>
    <s v="Du monde entier"/>
    <s v="67, rue des Cinquante Otages"/>
    <x v="35"/>
    <s v="unknown"/>
    <s v="44000"/>
    <x v="0"/>
    <n v="3"/>
  </r>
  <r>
    <n v="10891"/>
    <x v="26"/>
    <n v="7"/>
    <x v="423"/>
    <d v="1996-04-16T00:00:00"/>
    <d v="1996-03-21T00:00:00"/>
    <n v="2"/>
    <n v="20.37"/>
    <s v="Lehmanns Marktstand"/>
    <s v="Magazinweg 7"/>
    <x v="24"/>
    <s v="unknown"/>
    <s v="60528"/>
    <x v="1"/>
    <n v="3"/>
  </r>
  <r>
    <n v="10892"/>
    <x v="80"/>
    <n v="4"/>
    <x v="423"/>
    <d v="1996-04-16T00:00:00"/>
    <d v="1996-03-21T00:00:00"/>
    <n v="2"/>
    <n v="120.27"/>
    <s v="Maison Dewey"/>
    <s v="Rue Joseph-Bens 532"/>
    <x v="62"/>
    <s v="unknown"/>
    <s v="B-1180"/>
    <x v="3"/>
    <n v="3"/>
  </r>
  <r>
    <n v="10893"/>
    <x v="44"/>
    <n v="9"/>
    <x v="424"/>
    <d v="1996-04-17T00:00:00"/>
    <d v="1996-03-22T00:00:00"/>
    <n v="2"/>
    <n v="77.78"/>
    <s v="KÃ¶niglich Essen"/>
    <s v="Maubelstr. 90"/>
    <x v="37"/>
    <s v="unknown"/>
    <s v="14776"/>
    <x v="1"/>
    <n v="3"/>
  </r>
  <r>
    <n v="10894"/>
    <x v="45"/>
    <n v="1"/>
    <x v="424"/>
    <d v="1996-04-17T00:00:00"/>
    <d v="1996-03-22T00:00:00"/>
    <n v="1"/>
    <n v="116.13"/>
    <s v="Save-a-lot Markets"/>
    <s v="187 Suffolk Ln."/>
    <x v="38"/>
    <s v="ID"/>
    <s v="83720"/>
    <x v="8"/>
    <n v="3"/>
  </r>
  <r>
    <n v="10895"/>
    <x v="9"/>
    <n v="3"/>
    <x v="424"/>
    <d v="1996-04-17T00:00:00"/>
    <d v="1996-03-25T00:00:00"/>
    <n v="1"/>
    <n v="162.75"/>
    <s v="Ernst Handel"/>
    <s v="Kirchgasse 6"/>
    <x v="9"/>
    <s v="unknown"/>
    <s v="8010"/>
    <x v="6"/>
    <n v="3"/>
  </r>
  <r>
    <n v="10896"/>
    <x v="80"/>
    <n v="7"/>
    <x v="425"/>
    <d v="1996-04-18T00:00:00"/>
    <d v="1996-03-29T00:00:00"/>
    <n v="3"/>
    <n v="32.450000000000003"/>
    <s v="Maison Dewey"/>
    <s v="Rue Joseph-Bens 532"/>
    <x v="62"/>
    <s v="unknown"/>
    <s v="B-1180"/>
    <x v="3"/>
    <n v="3"/>
  </r>
  <r>
    <n v="10897"/>
    <x v="34"/>
    <n v="3"/>
    <x v="425"/>
    <d v="1996-04-18T00:00:00"/>
    <d v="1996-03-27T00:00:00"/>
    <n v="2"/>
    <n v="603.54"/>
    <s v="Hungry Owl All-Night Grocers"/>
    <s v="8 Johnstown Road"/>
    <x v="30"/>
    <s v="Co. Cork"/>
    <s v="unknown"/>
    <x v="14"/>
    <n v="3"/>
  </r>
  <r>
    <n v="10898"/>
    <x v="69"/>
    <n v="4"/>
    <x v="426"/>
    <d v="1996-04-19T00:00:00"/>
    <d v="1996-04-05T00:00:00"/>
    <n v="2"/>
    <n v="1.27"/>
    <s v="OcÃ©ano AtlÃ¡ntico Ltda."/>
    <s v="Ing. Gustavo Moncada 8585Piso 20-A"/>
    <x v="55"/>
    <s v="unknown"/>
    <s v="1010"/>
    <x v="20"/>
    <n v="3"/>
  </r>
  <r>
    <n v="10899"/>
    <x v="28"/>
    <n v="5"/>
    <x v="426"/>
    <d v="1996-04-19T00:00:00"/>
    <d v="1996-03-28T00:00:00"/>
    <n v="3"/>
    <n v="1.21"/>
    <s v="LILA-Supermercado"/>
    <s v="Carrera 52 con Ave. BolÃ­var #65-98 Llano Largo"/>
    <x v="26"/>
    <s v="Lara"/>
    <s v="3508"/>
    <x v="5"/>
    <n v="3"/>
  </r>
  <r>
    <n v="10900"/>
    <x v="7"/>
    <n v="1"/>
    <x v="426"/>
    <d v="1996-04-19T00:00:00"/>
    <d v="1996-04-03T00:00:00"/>
    <n v="2"/>
    <n v="1.66"/>
    <s v="Wellington Importadora"/>
    <s v="Rua do Mercado, 12"/>
    <x v="7"/>
    <s v="SP"/>
    <s v="08737-363"/>
    <x v="2"/>
    <n v="3"/>
  </r>
  <r>
    <n v="10901"/>
    <x v="8"/>
    <n v="4"/>
    <x v="427"/>
    <d v="1996-04-22T00:00:00"/>
    <d v="1996-03-28T00:00:00"/>
    <n v="1"/>
    <n v="62.09"/>
    <s v="HILARIÃ“N-Abastos"/>
    <s v="Carrera 22 con Ave. Carlos Soublette #8-35"/>
    <x v="8"/>
    <s v="TÃ¡chira"/>
    <s v="5022"/>
    <x v="5"/>
    <n v="3"/>
  </r>
  <r>
    <n v="10902"/>
    <x v="14"/>
    <n v="1"/>
    <x v="427"/>
    <d v="1996-04-22T00:00:00"/>
    <d v="1996-04-02T00:00:00"/>
    <n v="1"/>
    <n v="44.15"/>
    <s v="Folk och fÃ¤ HB"/>
    <s v="Ã…kergatan 24"/>
    <x v="13"/>
    <s v="unknown"/>
    <s v="S-844 67"/>
    <x v="9"/>
    <n v="3"/>
  </r>
  <r>
    <n v="10903"/>
    <x v="2"/>
    <n v="3"/>
    <x v="428"/>
    <d v="1996-04-23T00:00:00"/>
    <d v="1996-04-03T00:00:00"/>
    <n v="3"/>
    <n v="36.71"/>
    <s v="Hanari Carnes"/>
    <s v="Rua do PaÃ§o, 67"/>
    <x v="2"/>
    <s v="RJ"/>
    <s v="05454-876"/>
    <x v="2"/>
    <n v="3"/>
  </r>
  <r>
    <n v="10904"/>
    <x v="19"/>
    <n v="3"/>
    <x v="428"/>
    <d v="1996-04-23T00:00:00"/>
    <d v="1996-03-29T00:00:00"/>
    <n v="3"/>
    <n v="162.94999999999999"/>
    <s v="White Clover Markets"/>
    <s v="1029 - 12th Ave. S."/>
    <x v="18"/>
    <s v="WA"/>
    <s v="98124"/>
    <x v="8"/>
    <n v="3"/>
  </r>
  <r>
    <n v="10905"/>
    <x v="7"/>
    <n v="9"/>
    <x v="428"/>
    <d v="1996-04-23T00:00:00"/>
    <d v="1996-04-05T00:00:00"/>
    <n v="2"/>
    <n v="13.72"/>
    <s v="Wellington Importadora"/>
    <s v="Rua do Mercado, 12"/>
    <x v="7"/>
    <s v="SP"/>
    <s v="08737-363"/>
    <x v="2"/>
    <n v="3"/>
  </r>
  <r>
    <n v="10906"/>
    <x v="63"/>
    <n v="4"/>
    <x v="429"/>
    <d v="1996-04-10T00:00:00"/>
    <d v="1996-04-02T00:00:00"/>
    <n v="3"/>
    <n v="26.29"/>
    <s v="Wolski Zajazd"/>
    <s v="ul. Filtrowa 68"/>
    <x v="49"/>
    <s v="unknown"/>
    <s v="01-012"/>
    <x v="18"/>
    <n v="3"/>
  </r>
  <r>
    <n v="10907"/>
    <x v="87"/>
    <n v="6"/>
    <x v="429"/>
    <d v="1996-04-24T00:00:00"/>
    <d v="1996-03-29T00:00:00"/>
    <n v="3"/>
    <n v="9.19"/>
    <s v="SpÃ©cialitÃ©s du monde"/>
    <s v="25, rue Lauriston"/>
    <x v="68"/>
    <s v="unknown"/>
    <s v="75016"/>
    <x v="0"/>
    <n v="3"/>
  </r>
  <r>
    <n v="10908"/>
    <x v="30"/>
    <n v="4"/>
    <x v="430"/>
    <d v="1996-04-25T00:00:00"/>
    <d v="1996-04-05T00:00:00"/>
    <n v="2"/>
    <n v="32.96"/>
    <s v="Reggiani Caseifici"/>
    <s v="Strada Provinciale 124"/>
    <x v="27"/>
    <s v="unknown"/>
    <s v="42100"/>
    <x v="11"/>
    <n v="3"/>
  </r>
  <r>
    <n v="10909"/>
    <x v="65"/>
    <n v="1"/>
    <x v="430"/>
    <d v="1996-04-25T00:00:00"/>
    <d v="1996-04-09T00:00:00"/>
    <n v="2"/>
    <n v="53.05"/>
    <s v="SantÃ© Gourmet"/>
    <s v="Erling Skakkes gate 78"/>
    <x v="51"/>
    <s v="unknown"/>
    <s v="4110"/>
    <x v="19"/>
    <n v="3"/>
  </r>
  <r>
    <n v="10910"/>
    <x v="83"/>
    <n v="1"/>
    <x v="430"/>
    <d v="1996-04-25T00:00:00"/>
    <d v="1996-04-03T00:00:00"/>
    <n v="3"/>
    <n v="38.11"/>
    <s v="Wilman Kala"/>
    <s v="Keskuskatu 45"/>
    <x v="65"/>
    <s v="unknown"/>
    <s v="21240"/>
    <x v="10"/>
    <n v="3"/>
  </r>
  <r>
    <n v="10911"/>
    <x v="36"/>
    <n v="3"/>
    <x v="430"/>
    <d v="1996-04-25T00:00:00"/>
    <d v="1996-04-04T00:00:00"/>
    <n v="1"/>
    <n v="38.19"/>
    <s v="Godos Cocina TÃ­pica"/>
    <s v="C/ Romero, 33"/>
    <x v="32"/>
    <s v="unknown"/>
    <s v="41101"/>
    <x v="12"/>
    <n v="3"/>
  </r>
  <r>
    <n v="10912"/>
    <x v="34"/>
    <n v="2"/>
    <x v="430"/>
    <d v="1996-04-25T00:00:00"/>
    <d v="1996-04-17T00:00:00"/>
    <n v="2"/>
    <n v="580.91"/>
    <s v="Hungry Owl All-Night Grocers"/>
    <s v="8 Johnstown Road"/>
    <x v="30"/>
    <s v="Co. Cork"/>
    <s v="unknown"/>
    <x v="14"/>
    <n v="3"/>
  </r>
  <r>
    <n v="10913"/>
    <x v="62"/>
    <n v="4"/>
    <x v="430"/>
    <d v="1996-04-25T00:00:00"/>
    <d v="1996-04-03T00:00:00"/>
    <n v="1"/>
    <n v="33.049999999999997"/>
    <s v="Queen Cozinha"/>
    <s v="Alameda dos CanÃ rios, 891"/>
    <x v="29"/>
    <s v="SP"/>
    <s v="05487-020"/>
    <x v="2"/>
    <n v="3"/>
  </r>
  <r>
    <n v="10914"/>
    <x v="62"/>
    <n v="6"/>
    <x v="431"/>
    <d v="1996-04-26T00:00:00"/>
    <d v="1996-04-01T00:00:00"/>
    <n v="1"/>
    <n v="21.19"/>
    <s v="Queen Cozinha"/>
    <s v="Alameda dos CanÃ rios, 891"/>
    <x v="29"/>
    <s v="SP"/>
    <s v="05487-020"/>
    <x v="2"/>
    <n v="3"/>
  </r>
  <r>
    <n v="10915"/>
    <x v="23"/>
    <n v="2"/>
    <x v="431"/>
    <d v="1996-04-26T00:00:00"/>
    <d v="1996-04-01T00:00:00"/>
    <n v="2"/>
    <n v="3.51"/>
    <s v="Tortuga Restaurante"/>
    <s v="Avda. Azteca 123"/>
    <x v="10"/>
    <s v="unknown"/>
    <s v="05033"/>
    <x v="7"/>
    <n v="3"/>
  </r>
  <r>
    <n v="10916"/>
    <x v="73"/>
    <n v="1"/>
    <x v="431"/>
    <d v="1996-04-26T00:00:00"/>
    <d v="1996-04-08T00:00:00"/>
    <n v="2"/>
    <n v="63.77"/>
    <s v="Rancho grande"/>
    <s v="Av. del Libertador 900"/>
    <x v="55"/>
    <s v="unknown"/>
    <s v="1010"/>
    <x v="20"/>
    <n v="3"/>
  </r>
  <r>
    <n v="10917"/>
    <x v="27"/>
    <n v="4"/>
    <x v="432"/>
    <d v="1996-04-29T00:00:00"/>
    <d v="1996-04-10T00:00:00"/>
    <n v="2"/>
    <n v="8.2899999999999991"/>
    <s v="Romero y tomillo"/>
    <s v="Gran VÃ­a, 1"/>
    <x v="25"/>
    <s v="unknown"/>
    <s v="28001"/>
    <x v="12"/>
    <n v="4"/>
  </r>
  <r>
    <n v="10918"/>
    <x v="66"/>
    <n v="3"/>
    <x v="432"/>
    <d v="1996-04-29T00:00:00"/>
    <d v="1996-04-10T00:00:00"/>
    <n v="3"/>
    <n v="48.83"/>
    <s v="Bottom-Dollar Markets"/>
    <s v="23 Tsawassen Blvd."/>
    <x v="52"/>
    <s v="BC"/>
    <s v="T2F 8M4"/>
    <x v="16"/>
    <n v="4"/>
  </r>
  <r>
    <n v="10919"/>
    <x v="67"/>
    <n v="2"/>
    <x v="432"/>
    <d v="1996-04-29T00:00:00"/>
    <d v="1996-04-03T00:00:00"/>
    <n v="2"/>
    <n v="19.8"/>
    <s v="LINO-Delicateses"/>
    <s v="Ave. 5 de Mayo Porlamar"/>
    <x v="53"/>
    <s v="Nueva Esparta"/>
    <s v="4980"/>
    <x v="5"/>
    <n v="4"/>
  </r>
  <r>
    <n v="10920"/>
    <x v="55"/>
    <n v="4"/>
    <x v="433"/>
    <d v="1996-04-30T00:00:00"/>
    <d v="1996-04-08T00:00:00"/>
    <n v="2"/>
    <n v="29.61"/>
    <s v="Around the Horn"/>
    <s v="Brook FarmStratford St. Mary"/>
    <x v="45"/>
    <s v="Essex"/>
    <s v="CO7 6JX"/>
    <x v="13"/>
    <n v="4"/>
  </r>
  <r>
    <n v="10921"/>
    <x v="61"/>
    <n v="1"/>
    <x v="433"/>
    <d v="1996-05-14T00:00:00"/>
    <d v="1996-04-08T00:00:00"/>
    <n v="1"/>
    <n v="176.48"/>
    <s v="Vaffeljernet"/>
    <s v="SmagslÃ¸get 45"/>
    <x v="48"/>
    <s v="unknown"/>
    <s v="8200"/>
    <x v="17"/>
    <n v="4"/>
  </r>
  <r>
    <n v="10922"/>
    <x v="2"/>
    <n v="5"/>
    <x v="433"/>
    <d v="1996-04-30T00:00:00"/>
    <d v="1996-04-04T00:00:00"/>
    <n v="3"/>
    <n v="62.74"/>
    <s v="Hanari Carnes"/>
    <s v="Rua do PaÃ§o, 67"/>
    <x v="2"/>
    <s v="RJ"/>
    <s v="05454-876"/>
    <x v="2"/>
    <n v="4"/>
  </r>
  <r>
    <n v="10923"/>
    <x v="53"/>
    <n v="7"/>
    <x v="433"/>
    <d v="1996-05-14T00:00:00"/>
    <d v="1996-04-12T00:00:00"/>
    <n v="3"/>
    <n v="68.260000000000005"/>
    <s v="La maison d'Asie"/>
    <s v="1 rue Alsace-Lorraine"/>
    <x v="43"/>
    <s v="unknown"/>
    <s v="31000"/>
    <x v="0"/>
    <n v="4"/>
  </r>
  <r>
    <n v="10924"/>
    <x v="25"/>
    <n v="3"/>
    <x v="434"/>
    <d v="1996-05-01T00:00:00"/>
    <d v="1996-05-08T00:00:00"/>
    <n v="2"/>
    <n v="151.52000000000001"/>
    <s v="Berglunds snabbkÃ¶p"/>
    <s v="BerguvsvÃ¤gen  8"/>
    <x v="23"/>
    <s v="unknown"/>
    <s v="S-958 22"/>
    <x v="9"/>
    <n v="4"/>
  </r>
  <r>
    <n v="10925"/>
    <x v="2"/>
    <n v="3"/>
    <x v="434"/>
    <d v="1996-05-01T00:00:00"/>
    <d v="1996-04-12T00:00:00"/>
    <n v="1"/>
    <n v="2.27"/>
    <s v="Hanari Carnes"/>
    <s v="Rua do PaÃ§o, 67"/>
    <x v="2"/>
    <s v="RJ"/>
    <s v="05454-876"/>
    <x v="2"/>
    <n v="4"/>
  </r>
  <r>
    <n v="10926"/>
    <x v="39"/>
    <n v="4"/>
    <x v="434"/>
    <d v="1996-05-01T00:00:00"/>
    <d v="1996-04-10T00:00:00"/>
    <n v="3"/>
    <n v="39.92"/>
    <s v="Ana Trujillo Emparedados y helados"/>
    <s v="Avda. de la ConstituciÃ³n 2222"/>
    <x v="10"/>
    <s v="unknown"/>
    <s v="05021"/>
    <x v="7"/>
    <n v="4"/>
  </r>
  <r>
    <n v="10927"/>
    <x v="88"/>
    <n v="4"/>
    <x v="435"/>
    <d v="1996-05-02T00:00:00"/>
    <d v="1996-05-08T00:00:00"/>
    <n v="1"/>
    <n v="19.79"/>
    <s v="La corne d'abondance"/>
    <s v="67, avenue de l'Europe"/>
    <x v="69"/>
    <s v="unknown"/>
    <s v="78000"/>
    <x v="0"/>
    <n v="4"/>
  </r>
  <r>
    <n v="10928"/>
    <x v="60"/>
    <n v="1"/>
    <x v="435"/>
    <d v="1996-05-02T00:00:00"/>
    <d v="1996-04-17T00:00:00"/>
    <n v="1"/>
    <n v="1.36"/>
    <s v="GalerÃ­a del gastronÃ³mo"/>
    <s v="Rambla de CataluÃ±a, 23"/>
    <x v="47"/>
    <s v="unknown"/>
    <s v="8022"/>
    <x v="12"/>
    <n v="4"/>
  </r>
  <r>
    <n v="10929"/>
    <x v="17"/>
    <n v="6"/>
    <x v="435"/>
    <d v="1996-05-02T00:00:00"/>
    <d v="1996-04-11T00:00:00"/>
    <n v="1"/>
    <n v="33.93"/>
    <s v="Frankenversand"/>
    <s v="Berliner Platz 43"/>
    <x v="16"/>
    <s v="unknown"/>
    <s v="80805"/>
    <x v="1"/>
    <n v="4"/>
  </r>
  <r>
    <n v="10930"/>
    <x v="4"/>
    <n v="4"/>
    <x v="436"/>
    <d v="1996-05-17T00:00:00"/>
    <d v="1996-04-17T00:00:00"/>
    <n v="3"/>
    <n v="15.55"/>
    <s v="SuprÃªmes dÃ©lices"/>
    <s v="Boulevard Tirou, 255"/>
    <x v="4"/>
    <s v="unknown"/>
    <s v="B-6000"/>
    <x v="3"/>
    <n v="4"/>
  </r>
  <r>
    <n v="10931"/>
    <x v="6"/>
    <n v="4"/>
    <x v="436"/>
    <d v="1996-04-19T00:00:00"/>
    <d v="1996-04-18T00:00:00"/>
    <n v="2"/>
    <n v="13.6"/>
    <s v="Richter Supermarkt"/>
    <s v="Starenweg 5"/>
    <x v="6"/>
    <s v="unknown"/>
    <s v="1204"/>
    <x v="4"/>
    <n v="4"/>
  </r>
  <r>
    <n v="10932"/>
    <x v="48"/>
    <n v="8"/>
    <x v="436"/>
    <d v="1996-05-03T00:00:00"/>
    <d v="1996-04-23T00:00:00"/>
    <n v="1"/>
    <n v="134.63999999999999"/>
    <s v="Bon app'"/>
    <s v="12, rue des Bouchers"/>
    <x v="40"/>
    <s v="unknown"/>
    <s v="13008"/>
    <x v="0"/>
    <n v="4"/>
  </r>
  <r>
    <n v="10933"/>
    <x v="42"/>
    <n v="6"/>
    <x v="436"/>
    <d v="1996-05-03T00:00:00"/>
    <d v="1996-04-15T00:00:00"/>
    <n v="3"/>
    <n v="54.15"/>
    <s v="Island Trading"/>
    <s v="Garden HouseCrowther Way"/>
    <x v="36"/>
    <s v="Isle of Wight"/>
    <s v="PO31 7PJ"/>
    <x v="13"/>
    <n v="4"/>
  </r>
  <r>
    <n v="10934"/>
    <x v="26"/>
    <n v="3"/>
    <x v="437"/>
    <d v="1996-05-06T00:00:00"/>
    <d v="1996-04-11T00:00:00"/>
    <n v="3"/>
    <n v="32.01"/>
    <s v="Lehmanns Marktstand"/>
    <s v="Magazinweg 7"/>
    <x v="24"/>
    <s v="unknown"/>
    <s v="60528"/>
    <x v="1"/>
    <n v="4"/>
  </r>
  <r>
    <n v="10935"/>
    <x v="7"/>
    <n v="4"/>
    <x v="437"/>
    <d v="1996-05-06T00:00:00"/>
    <d v="1996-04-17T00:00:00"/>
    <n v="3"/>
    <n v="47.59"/>
    <s v="Wellington Importadora"/>
    <s v="Rua do Mercado, 12"/>
    <x v="7"/>
    <s v="SP"/>
    <s v="08737-363"/>
    <x v="2"/>
    <n v="4"/>
  </r>
  <r>
    <n v="10936"/>
    <x v="79"/>
    <n v="3"/>
    <x v="437"/>
    <d v="1996-05-06T00:00:00"/>
    <d v="1996-04-17T00:00:00"/>
    <n v="2"/>
    <n v="33.68"/>
    <s v="Great Lakes Food Market"/>
    <s v="2732 Baker Blvd."/>
    <x v="61"/>
    <s v="OR"/>
    <s v="97403"/>
    <x v="8"/>
    <n v="4"/>
  </r>
  <r>
    <n v="10937"/>
    <x v="78"/>
    <n v="7"/>
    <x v="438"/>
    <d v="1996-04-23T00:00:00"/>
    <d v="1996-04-12T00:00:00"/>
    <n v="3"/>
    <n v="31.51"/>
    <s v="Cactus Comidas para llevar"/>
    <s v="Cerrito 333"/>
    <x v="55"/>
    <s v="unknown"/>
    <s v="1010"/>
    <x v="20"/>
    <n v="4"/>
  </r>
  <r>
    <n v="10938"/>
    <x v="21"/>
    <n v="3"/>
    <x v="438"/>
    <d v="1996-05-07T00:00:00"/>
    <d v="1996-04-15T00:00:00"/>
    <n v="2"/>
    <n v="31.89"/>
    <s v="QUICK-Stop"/>
    <s v="TaucherstraÃŸe 10"/>
    <x v="20"/>
    <s v="unknown"/>
    <s v="01307"/>
    <x v="1"/>
    <n v="4"/>
  </r>
  <r>
    <n v="10939"/>
    <x v="22"/>
    <n v="2"/>
    <x v="438"/>
    <d v="1996-05-07T00:00:00"/>
    <d v="1996-04-12T00:00:00"/>
    <n v="2"/>
    <n v="76.33"/>
    <s v="Magazzini Alimentari Riuniti"/>
    <s v="Via Ludovico il Moro 22"/>
    <x v="21"/>
    <s v="unknown"/>
    <s v="24100"/>
    <x v="11"/>
    <n v="4"/>
  </r>
  <r>
    <n v="10940"/>
    <x v="48"/>
    <n v="8"/>
    <x v="439"/>
    <d v="1996-05-08T00:00:00"/>
    <d v="1996-04-22T00:00:00"/>
    <n v="3"/>
    <n v="19.77"/>
    <s v="Bon app'"/>
    <s v="12, rue des Bouchers"/>
    <x v="40"/>
    <s v="unknown"/>
    <s v="13008"/>
    <x v="0"/>
    <n v="4"/>
  </r>
  <r>
    <n v="10941"/>
    <x v="45"/>
    <n v="7"/>
    <x v="439"/>
    <d v="1996-05-08T00:00:00"/>
    <d v="1996-04-19T00:00:00"/>
    <n v="2"/>
    <n v="400.81"/>
    <s v="Save-a-lot Markets"/>
    <s v="187 Suffolk Ln."/>
    <x v="38"/>
    <s v="ID"/>
    <s v="83720"/>
    <x v="8"/>
    <n v="4"/>
  </r>
  <r>
    <n v="10942"/>
    <x v="30"/>
    <n v="9"/>
    <x v="439"/>
    <d v="1996-05-08T00:00:00"/>
    <d v="1996-04-17T00:00:00"/>
    <n v="3"/>
    <n v="17.95"/>
    <s v="Reggiani Caseifici"/>
    <s v="Strada Provinciale 124"/>
    <x v="27"/>
    <s v="unknown"/>
    <s v="42100"/>
    <x v="11"/>
    <n v="4"/>
  </r>
  <r>
    <n v="10943"/>
    <x v="31"/>
    <n v="4"/>
    <x v="439"/>
    <d v="1996-05-08T00:00:00"/>
    <d v="1996-04-18T00:00:00"/>
    <n v="2"/>
    <n v="2.17"/>
    <s v="B's Beverages"/>
    <s v="Fauntleroy Circus"/>
    <x v="28"/>
    <s v="unknown"/>
    <s v="EC2 5NT"/>
    <x v="13"/>
    <n v="4"/>
  </r>
  <r>
    <n v="10944"/>
    <x v="66"/>
    <n v="6"/>
    <x v="440"/>
    <d v="1996-04-25T00:00:00"/>
    <d v="1996-04-12T00:00:00"/>
    <n v="3"/>
    <n v="52.92"/>
    <s v="Bottom-Dollar Markets"/>
    <s v="23 Tsawassen Blvd."/>
    <x v="52"/>
    <s v="BC"/>
    <s v="T2F 8M4"/>
    <x v="16"/>
    <n v="4"/>
  </r>
  <r>
    <n v="10945"/>
    <x v="24"/>
    <n v="4"/>
    <x v="440"/>
    <d v="1996-05-09T00:00:00"/>
    <d v="1996-04-17T00:00:00"/>
    <n v="1"/>
    <n v="10.220000000000001"/>
    <s v="Morgenstern Gesundkost"/>
    <s v="Heerstr. 22"/>
    <x v="22"/>
    <s v="unknown"/>
    <s v="04179"/>
    <x v="1"/>
    <n v="4"/>
  </r>
  <r>
    <n v="10946"/>
    <x v="61"/>
    <n v="1"/>
    <x v="440"/>
    <d v="1996-05-09T00:00:00"/>
    <d v="1996-04-18T00:00:00"/>
    <n v="2"/>
    <n v="27.2"/>
    <s v="Vaffeljernet"/>
    <s v="SmagslÃ¸get 45"/>
    <x v="48"/>
    <s v="unknown"/>
    <s v="8200"/>
    <x v="17"/>
    <n v="4"/>
  </r>
  <r>
    <n v="10947"/>
    <x v="31"/>
    <n v="3"/>
    <x v="441"/>
    <d v="1996-05-10T00:00:00"/>
    <d v="1996-04-15T00:00:00"/>
    <n v="2"/>
    <n v="3.26"/>
    <s v="B's Beverages"/>
    <s v="Fauntleroy Circus"/>
    <x v="28"/>
    <s v="unknown"/>
    <s v="EC2 5NT"/>
    <x v="13"/>
    <n v="4"/>
  </r>
  <r>
    <n v="10948"/>
    <x v="36"/>
    <n v="3"/>
    <x v="441"/>
    <d v="1996-05-10T00:00:00"/>
    <d v="1996-04-18T00:00:00"/>
    <n v="3"/>
    <n v="23.39"/>
    <s v="Godos Cocina TÃ­pica"/>
    <s v="C/ Romero, 33"/>
    <x v="32"/>
    <s v="unknown"/>
    <s v="41101"/>
    <x v="12"/>
    <n v="4"/>
  </r>
  <r>
    <n v="10949"/>
    <x v="66"/>
    <n v="2"/>
    <x v="441"/>
    <d v="1996-05-10T00:00:00"/>
    <d v="1996-04-16T00:00:00"/>
    <n v="3"/>
    <n v="74.44"/>
    <s v="Bottom-Dollar Markets"/>
    <s v="23 Tsawassen Blvd."/>
    <x v="52"/>
    <s v="BC"/>
    <s v="T2F 8M4"/>
    <x v="16"/>
    <n v="4"/>
  </r>
  <r>
    <n v="10950"/>
    <x v="22"/>
    <n v="1"/>
    <x v="442"/>
    <d v="1996-05-13T00:00:00"/>
    <d v="1996-04-22T00:00:00"/>
    <n v="2"/>
    <n v="2.5"/>
    <s v="Magazzini Alimentari Riuniti"/>
    <s v="Via Ludovico il Moro 22"/>
    <x v="21"/>
    <s v="unknown"/>
    <s v="24100"/>
    <x v="11"/>
    <n v="4"/>
  </r>
  <r>
    <n v="10951"/>
    <x v="6"/>
    <n v="9"/>
    <x v="442"/>
    <d v="1996-05-27T00:00:00"/>
    <d v="1996-05-07T00:00:00"/>
    <n v="2"/>
    <n v="30.85"/>
    <s v="Richter Supermarkt"/>
    <s v="Starenweg 5"/>
    <x v="6"/>
    <s v="unknown"/>
    <s v="1204"/>
    <x v="4"/>
    <n v="4"/>
  </r>
  <r>
    <n v="10952"/>
    <x v="85"/>
    <n v="1"/>
    <x v="442"/>
    <d v="1996-05-27T00:00:00"/>
    <d v="1996-04-23T00:00:00"/>
    <n v="1"/>
    <n v="40.42"/>
    <s v="Alfred's Futterkiste"/>
    <s v="Obere Str. 57"/>
    <x v="67"/>
    <s v="unknown"/>
    <s v="12209"/>
    <x v="1"/>
    <n v="4"/>
  </r>
  <r>
    <n v="10953"/>
    <x v="55"/>
    <n v="9"/>
    <x v="442"/>
    <d v="1996-04-29T00:00:00"/>
    <d v="1996-04-24T00:00:00"/>
    <n v="2"/>
    <n v="23.72"/>
    <s v="Around the Horn"/>
    <s v="Brook FarmStratford St. Mary"/>
    <x v="45"/>
    <s v="Essex"/>
    <s v="CO7 6JX"/>
    <x v="13"/>
    <n v="4"/>
  </r>
  <r>
    <n v="10954"/>
    <x v="67"/>
    <n v="5"/>
    <x v="443"/>
    <d v="1996-05-28T00:00:00"/>
    <d v="1996-04-19T00:00:00"/>
    <n v="1"/>
    <n v="27.91"/>
    <s v="LINO-Delicateses"/>
    <s v="Ave. 5 de Mayo Porlamar"/>
    <x v="53"/>
    <s v="Nueva Esparta"/>
    <s v="4980"/>
    <x v="5"/>
    <n v="4"/>
  </r>
  <r>
    <n v="10955"/>
    <x v="14"/>
    <n v="8"/>
    <x v="443"/>
    <d v="1996-05-14T00:00:00"/>
    <d v="1996-04-19T00:00:00"/>
    <n v="2"/>
    <n v="3.26"/>
    <s v="Folk och fÃ¤ HB"/>
    <s v="Ã…kergatan 24"/>
    <x v="13"/>
    <s v="unknown"/>
    <s v="S-844 67"/>
    <x v="9"/>
    <n v="4"/>
  </r>
  <r>
    <n v="10956"/>
    <x v="76"/>
    <n v="6"/>
    <x v="443"/>
    <d v="1996-05-28T00:00:00"/>
    <d v="1996-04-19T00:00:00"/>
    <n v="2"/>
    <n v="44.65"/>
    <s v="Blauer See Delikatessen"/>
    <s v="Forsterstr. 57"/>
    <x v="60"/>
    <s v="unknown"/>
    <s v="68306"/>
    <x v="1"/>
    <n v="4"/>
  </r>
  <r>
    <n v="10957"/>
    <x v="8"/>
    <n v="8"/>
    <x v="444"/>
    <d v="1996-05-15T00:00:00"/>
    <d v="1996-04-26T00:00:00"/>
    <n v="3"/>
    <n v="105.36"/>
    <s v="HILARIÃ“N-Abastos"/>
    <s v="Carrera 22 con Ave. Carlos Soublette #8-35"/>
    <x v="8"/>
    <s v="TÃ¡chira"/>
    <s v="5022"/>
    <x v="5"/>
    <n v="4"/>
  </r>
  <r>
    <n v="10958"/>
    <x v="69"/>
    <n v="7"/>
    <x v="444"/>
    <d v="1996-05-15T00:00:00"/>
    <d v="1996-04-26T00:00:00"/>
    <n v="2"/>
    <n v="49.56"/>
    <s v="OcÃ©ano AtlÃ¡ntico Ltda."/>
    <s v="Ing. Gustavo Moncada 8585Piso 20-A"/>
    <x v="55"/>
    <s v="unknown"/>
    <s v="1010"/>
    <x v="20"/>
    <n v="4"/>
  </r>
  <r>
    <n v="10959"/>
    <x v="71"/>
    <n v="6"/>
    <x v="444"/>
    <d v="1996-05-29T00:00:00"/>
    <d v="1996-04-22T00:00:00"/>
    <n v="2"/>
    <n v="4.9800000000000004"/>
    <s v="Gourmet Lanchonetes"/>
    <s v="Av. Brasil, 442"/>
    <x v="57"/>
    <s v="SP"/>
    <s v="04876-786"/>
    <x v="2"/>
    <n v="4"/>
  </r>
  <r>
    <n v="10960"/>
    <x v="8"/>
    <n v="3"/>
    <x v="445"/>
    <d v="1996-05-02T00:00:00"/>
    <d v="1996-05-08T00:00:00"/>
    <n v="1"/>
    <n v="2.08"/>
    <s v="HILARIÃ“N-Abastos"/>
    <s v="Carrera 22 con Ave. Carlos Soublette #8-35"/>
    <x v="8"/>
    <s v="TÃ¡chira"/>
    <s v="5022"/>
    <x v="5"/>
    <n v="4"/>
  </r>
  <r>
    <n v="10961"/>
    <x v="62"/>
    <n v="8"/>
    <x v="445"/>
    <d v="1996-05-16T00:00:00"/>
    <d v="1996-04-29T00:00:00"/>
    <n v="1"/>
    <n v="104.47"/>
    <s v="Queen Cozinha"/>
    <s v="Alameda dos CanÃ rios, 891"/>
    <x v="29"/>
    <s v="SP"/>
    <s v="05487-020"/>
    <x v="2"/>
    <n v="4"/>
  </r>
  <r>
    <n v="10962"/>
    <x v="21"/>
    <n v="8"/>
    <x v="445"/>
    <d v="1996-05-16T00:00:00"/>
    <d v="1996-04-22T00:00:00"/>
    <n v="2"/>
    <n v="275.79000000000002"/>
    <s v="QUICK-Stop"/>
    <s v="TaucherstraÃŸe 10"/>
    <x v="20"/>
    <s v="unknown"/>
    <s v="01307"/>
    <x v="1"/>
    <n v="4"/>
  </r>
  <r>
    <n v="10963"/>
    <x v="47"/>
    <n v="9"/>
    <x v="445"/>
    <d v="1996-05-16T00:00:00"/>
    <d v="1996-04-25T00:00:00"/>
    <n v="3"/>
    <n v="2.7"/>
    <s v="Furia Bacalhau e Frutos do Mar"/>
    <s v="Jardim das rosas n. 32"/>
    <x v="39"/>
    <s v="unknown"/>
    <s v="1675"/>
    <x v="15"/>
    <n v="4"/>
  </r>
  <r>
    <n v="10964"/>
    <x v="87"/>
    <n v="3"/>
    <x v="446"/>
    <d v="1996-05-17T00:00:00"/>
    <d v="1996-04-23T00:00:00"/>
    <n v="2"/>
    <n v="87.38"/>
    <s v="SpÃ©cialitÃ©s du monde"/>
    <s v="25, rue Lauriston"/>
    <x v="68"/>
    <s v="unknown"/>
    <s v="75016"/>
    <x v="0"/>
    <n v="4"/>
  </r>
  <r>
    <n v="10965"/>
    <x v="37"/>
    <n v="6"/>
    <x v="446"/>
    <d v="1996-05-17T00:00:00"/>
    <d v="1996-04-29T00:00:00"/>
    <n v="3"/>
    <n v="144.38"/>
    <s v="Old World Delicatessen"/>
    <s v="2743 Bering St."/>
    <x v="33"/>
    <s v="AK"/>
    <s v="99508"/>
    <x v="8"/>
    <n v="4"/>
  </r>
  <r>
    <n v="10966"/>
    <x v="5"/>
    <n v="4"/>
    <x v="446"/>
    <d v="1996-05-17T00:00:00"/>
    <d v="1996-05-08T00:00:00"/>
    <n v="1"/>
    <n v="27.19"/>
    <s v="Chop-suey Chinese"/>
    <s v="Hauptstr. 31"/>
    <x v="5"/>
    <s v="unknown"/>
    <s v="3012"/>
    <x v="4"/>
    <n v="4"/>
  </r>
  <r>
    <n v="10967"/>
    <x v="1"/>
    <n v="2"/>
    <x v="447"/>
    <d v="1996-05-20T00:00:00"/>
    <d v="1996-05-02T00:00:00"/>
    <n v="2"/>
    <n v="62.22"/>
    <s v="Toms SpezialitÃ¤ten"/>
    <s v="Luisenstr. 48"/>
    <x v="1"/>
    <s v="unknown"/>
    <s v="44087"/>
    <x v="1"/>
    <n v="4"/>
  </r>
  <r>
    <n v="10968"/>
    <x v="9"/>
    <n v="1"/>
    <x v="447"/>
    <d v="1996-05-20T00:00:00"/>
    <d v="1996-05-01T00:00:00"/>
    <n v="3"/>
    <n v="74.599999999999994"/>
    <s v="Ernst Handel"/>
    <s v="Kirchgasse 6"/>
    <x v="9"/>
    <s v="unknown"/>
    <s v="8010"/>
    <x v="6"/>
    <n v="4"/>
  </r>
  <r>
    <n v="10969"/>
    <x v="32"/>
    <n v="1"/>
    <x v="447"/>
    <d v="1996-05-20T00:00:00"/>
    <d v="1996-04-29T00:00:00"/>
    <n v="2"/>
    <n v="0.21"/>
    <s v="ComÃ©rcio Mineiro"/>
    <s v="Av. dos LusÃ­adas, 23"/>
    <x v="29"/>
    <s v="SP"/>
    <s v="05432-043"/>
    <x v="2"/>
    <n v="4"/>
  </r>
  <r>
    <n v="10970"/>
    <x v="46"/>
    <n v="9"/>
    <x v="448"/>
    <d v="1996-05-07T00:00:00"/>
    <d v="1996-05-24T00:00:00"/>
    <n v="1"/>
    <n v="16.16"/>
    <s v="BÃ³lido Comidas preparadas"/>
    <s v="C/ Araquil, 67"/>
    <x v="25"/>
    <s v="unknown"/>
    <s v="28023"/>
    <x v="12"/>
    <n v="4"/>
  </r>
  <r>
    <n v="10971"/>
    <x v="86"/>
    <n v="2"/>
    <x v="448"/>
    <d v="1996-05-21T00:00:00"/>
    <d v="1996-05-02T00:00:00"/>
    <n v="2"/>
    <n v="121.82"/>
    <s v="France restauration"/>
    <s v="54, rue Royale"/>
    <x v="35"/>
    <s v="unknown"/>
    <s v="44000"/>
    <x v="0"/>
    <n v="4"/>
  </r>
  <r>
    <n v="10972"/>
    <x v="88"/>
    <n v="4"/>
    <x v="448"/>
    <d v="1996-05-21T00:00:00"/>
    <d v="1996-04-25T00:00:00"/>
    <n v="2"/>
    <n v="0.02"/>
    <s v="La corne d'abondance"/>
    <s v="67, avenue de l'Europe"/>
    <x v="69"/>
    <s v="unknown"/>
    <s v="78000"/>
    <x v="0"/>
    <n v="4"/>
  </r>
  <r>
    <n v="10973"/>
    <x v="88"/>
    <n v="6"/>
    <x v="448"/>
    <d v="1996-05-21T00:00:00"/>
    <d v="1996-04-26T00:00:00"/>
    <n v="2"/>
    <n v="15.17"/>
    <s v="La corne d'abondance"/>
    <s v="67, avenue de l'Europe"/>
    <x v="69"/>
    <s v="unknown"/>
    <s v="78000"/>
    <x v="0"/>
    <n v="4"/>
  </r>
  <r>
    <n v="10974"/>
    <x v="20"/>
    <n v="3"/>
    <x v="449"/>
    <d v="1996-05-08T00:00:00"/>
    <d v="1996-05-03T00:00:00"/>
    <n v="3"/>
    <n v="12.96"/>
    <s v="Split Rail Beer &amp; Ale"/>
    <s v="P.O. Box 555"/>
    <x v="19"/>
    <s v="WY"/>
    <s v="82520"/>
    <x v="8"/>
    <n v="4"/>
  </r>
  <r>
    <n v="10975"/>
    <x v="66"/>
    <n v="1"/>
    <x v="449"/>
    <d v="1996-05-22T00:00:00"/>
    <d v="1996-04-26T00:00:00"/>
    <n v="3"/>
    <n v="32.270000000000003"/>
    <s v="Bottom-Dollar Markets"/>
    <s v="23 Tsawassen Blvd."/>
    <x v="52"/>
    <s v="BC"/>
    <s v="T2F 8M4"/>
    <x v="16"/>
    <n v="4"/>
  </r>
  <r>
    <n v="10976"/>
    <x v="8"/>
    <n v="1"/>
    <x v="449"/>
    <d v="1996-06-05T00:00:00"/>
    <d v="1996-05-03T00:00:00"/>
    <n v="1"/>
    <n v="37.97"/>
    <s v="HILARIÃ“N-Abastos"/>
    <s v="Carrera 22 con Ave. Carlos Soublette #8-35"/>
    <x v="8"/>
    <s v="TÃ¡chira"/>
    <s v="5022"/>
    <x v="5"/>
    <n v="4"/>
  </r>
  <r>
    <n v="10977"/>
    <x v="14"/>
    <n v="8"/>
    <x v="450"/>
    <d v="1996-05-23T00:00:00"/>
    <d v="1996-05-10T00:00:00"/>
    <n v="3"/>
    <n v="208.5"/>
    <s v="Folk och fÃ¤ HB"/>
    <s v="Ã…kergatan 24"/>
    <x v="13"/>
    <s v="unknown"/>
    <s v="S-844 67"/>
    <x v="9"/>
    <n v="4"/>
  </r>
  <r>
    <n v="10978"/>
    <x v="80"/>
    <n v="9"/>
    <x v="450"/>
    <d v="1996-05-23T00:00:00"/>
    <d v="1996-05-23T00:00:00"/>
    <n v="2"/>
    <n v="32.82"/>
    <s v="Maison Dewey"/>
    <s v="Rue Joseph-Bens 532"/>
    <x v="62"/>
    <s v="unknown"/>
    <s v="B-1180"/>
    <x v="3"/>
    <n v="4"/>
  </r>
  <r>
    <n v="10979"/>
    <x v="9"/>
    <n v="8"/>
    <x v="450"/>
    <d v="1996-05-23T00:00:00"/>
    <d v="1996-04-30T00:00:00"/>
    <n v="2"/>
    <n v="353.07"/>
    <s v="Ernst Handel"/>
    <s v="Kirchgasse 6"/>
    <x v="9"/>
    <s v="unknown"/>
    <s v="8010"/>
    <x v="6"/>
    <n v="4"/>
  </r>
  <r>
    <n v="10980"/>
    <x v="14"/>
    <n v="4"/>
    <x v="451"/>
    <d v="1996-06-07T00:00:00"/>
    <d v="1996-05-17T00:00:00"/>
    <n v="1"/>
    <n v="1.26"/>
    <s v="Folk och fÃ¤ HB"/>
    <s v="Ã…kergatan 24"/>
    <x v="13"/>
    <s v="unknown"/>
    <s v="S-844 67"/>
    <x v="9"/>
    <n v="4"/>
  </r>
  <r>
    <n v="10981"/>
    <x v="2"/>
    <n v="1"/>
    <x v="451"/>
    <d v="1996-05-24T00:00:00"/>
    <d v="1996-05-02T00:00:00"/>
    <n v="2"/>
    <n v="193.37"/>
    <s v="Hanari Carnes"/>
    <s v="Rua do PaÃ§o, 67"/>
    <x v="2"/>
    <s v="RJ"/>
    <s v="05454-876"/>
    <x v="2"/>
    <n v="4"/>
  </r>
  <r>
    <n v="10982"/>
    <x v="66"/>
    <n v="2"/>
    <x v="451"/>
    <d v="1996-05-24T00:00:00"/>
    <d v="1996-05-08T00:00:00"/>
    <n v="1"/>
    <n v="14.01"/>
    <s v="Bottom-Dollar Markets"/>
    <s v="23 Tsawassen Blvd."/>
    <x v="52"/>
    <s v="BC"/>
    <s v="T2F 8M4"/>
    <x v="16"/>
    <n v="4"/>
  </r>
  <r>
    <n v="10983"/>
    <x v="45"/>
    <n v="2"/>
    <x v="451"/>
    <d v="1996-05-24T00:00:00"/>
    <d v="1996-05-06T00:00:00"/>
    <n v="2"/>
    <n v="657.54"/>
    <s v="Save-a-lot Markets"/>
    <s v="187 Suffolk Ln."/>
    <x v="38"/>
    <s v="ID"/>
    <s v="83720"/>
    <x v="8"/>
    <n v="4"/>
  </r>
  <r>
    <n v="10984"/>
    <x v="45"/>
    <n v="1"/>
    <x v="452"/>
    <d v="1996-05-27T00:00:00"/>
    <d v="1996-05-03T00:00:00"/>
    <n v="3"/>
    <n v="211.22"/>
    <s v="Save-a-lot Markets"/>
    <s v="187 Suffolk Ln."/>
    <x v="38"/>
    <s v="ID"/>
    <s v="83720"/>
    <x v="8"/>
    <n v="4"/>
  </r>
  <r>
    <n v="10985"/>
    <x v="34"/>
    <n v="2"/>
    <x v="452"/>
    <d v="1996-05-27T00:00:00"/>
    <d v="1996-05-02T00:00:00"/>
    <n v="1"/>
    <n v="91.51"/>
    <s v="Hungry Owl All-Night Grocers"/>
    <s v="8 Johnstown Road"/>
    <x v="30"/>
    <s v="Co. Cork"/>
    <s v="unknown"/>
    <x v="14"/>
    <n v="4"/>
  </r>
  <r>
    <n v="10986"/>
    <x v="69"/>
    <n v="8"/>
    <x v="452"/>
    <d v="1996-05-27T00:00:00"/>
    <d v="1996-05-21T00:00:00"/>
    <n v="2"/>
    <n v="217.86"/>
    <s v="OcÃ©ano AtlÃ¡ntico Ltda."/>
    <s v="Ing. Gustavo Moncada 8585Piso 20-A"/>
    <x v="55"/>
    <s v="unknown"/>
    <s v="1010"/>
    <x v="20"/>
    <n v="4"/>
  </r>
  <r>
    <n v="10987"/>
    <x v="58"/>
    <n v="8"/>
    <x v="453"/>
    <d v="1996-05-28T00:00:00"/>
    <d v="1996-05-06T00:00:00"/>
    <n v="1"/>
    <n v="185.48"/>
    <s v="Eastern Connection"/>
    <s v="35 King George"/>
    <x v="28"/>
    <s v="unknown"/>
    <s v="WX3 6FW"/>
    <x v="13"/>
    <n v="4"/>
  </r>
  <r>
    <n v="10988"/>
    <x v="13"/>
    <n v="3"/>
    <x v="453"/>
    <d v="1996-05-28T00:00:00"/>
    <d v="1996-05-10T00:00:00"/>
    <n v="2"/>
    <n v="61.14"/>
    <s v="Rattlesnake Canyon Grocery"/>
    <s v="2817 Milton Dr."/>
    <x v="12"/>
    <s v="NM"/>
    <s v="87110"/>
    <x v="8"/>
    <n v="4"/>
  </r>
  <r>
    <n v="10989"/>
    <x v="12"/>
    <n v="2"/>
    <x v="453"/>
    <d v="1996-05-28T00:00:00"/>
    <d v="1996-05-02T00:00:00"/>
    <n v="1"/>
    <n v="34.76"/>
    <s v="Que DelÃ­cia"/>
    <s v="Rua da Panificadora, 12"/>
    <x v="2"/>
    <s v="RJ"/>
    <s v="02389-673"/>
    <x v="2"/>
    <n v="4"/>
  </r>
  <r>
    <n v="10990"/>
    <x v="9"/>
    <n v="2"/>
    <x v="454"/>
    <d v="1996-06-12T00:00:00"/>
    <d v="1996-05-07T00:00:00"/>
    <n v="3"/>
    <n v="117.61"/>
    <s v="Ernst Handel"/>
    <s v="Kirchgasse 6"/>
    <x v="9"/>
    <s v="unknown"/>
    <s v="8010"/>
    <x v="6"/>
    <n v="5"/>
  </r>
  <r>
    <n v="10991"/>
    <x v="21"/>
    <n v="1"/>
    <x v="454"/>
    <d v="1996-05-29T00:00:00"/>
    <d v="1996-05-07T00:00:00"/>
    <n v="1"/>
    <n v="38.51"/>
    <s v="QUICK-Stop"/>
    <s v="TaucherstraÃŸe 10"/>
    <x v="20"/>
    <s v="unknown"/>
    <s v="01307"/>
    <x v="1"/>
    <n v="5"/>
  </r>
  <r>
    <n v="10992"/>
    <x v="40"/>
    <n v="1"/>
    <x v="454"/>
    <d v="1996-05-29T00:00:00"/>
    <d v="1996-05-03T00:00:00"/>
    <n v="3"/>
    <n v="4.2699999999999996"/>
    <s v="The Big Cheese"/>
    <s v="89 Jefferson WaySuite 2"/>
    <x v="34"/>
    <s v="OR"/>
    <s v="97201"/>
    <x v="8"/>
    <n v="5"/>
  </r>
  <r>
    <n v="10993"/>
    <x v="14"/>
    <n v="7"/>
    <x v="454"/>
    <d v="1996-05-29T00:00:00"/>
    <d v="1996-05-10T00:00:00"/>
    <n v="3"/>
    <n v="8.81"/>
    <s v="Folk och fÃ¤ HB"/>
    <s v="Ã…kergatan 24"/>
    <x v="13"/>
    <s v="unknown"/>
    <s v="S-844 67"/>
    <x v="9"/>
    <n v="5"/>
  </r>
  <r>
    <n v="10994"/>
    <x v="61"/>
    <n v="2"/>
    <x v="455"/>
    <d v="1996-05-16T00:00:00"/>
    <d v="1996-05-09T00:00:00"/>
    <n v="3"/>
    <n v="65.53"/>
    <s v="Vaffeljernet"/>
    <s v="SmagslÃ¸get 45"/>
    <x v="48"/>
    <s v="unknown"/>
    <s v="8200"/>
    <x v="17"/>
    <n v="5"/>
  </r>
  <r>
    <n v="10995"/>
    <x v="43"/>
    <n v="1"/>
    <x v="455"/>
    <d v="1996-05-30T00:00:00"/>
    <d v="1996-05-06T00:00:00"/>
    <n v="3"/>
    <n v="46"/>
    <s v="Pericles Comidas clÃ¡sicas"/>
    <s v="Calle Dr. Jorge Cash 321"/>
    <x v="10"/>
    <s v="unknown"/>
    <s v="05033"/>
    <x v="7"/>
    <n v="5"/>
  </r>
  <r>
    <n v="10996"/>
    <x v="21"/>
    <n v="4"/>
    <x v="455"/>
    <d v="1996-05-30T00:00:00"/>
    <d v="1996-05-10T00:00:00"/>
    <n v="2"/>
    <n v="1.1200000000000001"/>
    <s v="QUICK-Stop"/>
    <s v="TaucherstraÃŸe 10"/>
    <x v="20"/>
    <s v="unknown"/>
    <s v="01307"/>
    <x v="1"/>
    <n v="5"/>
  </r>
  <r>
    <n v="10997"/>
    <x v="28"/>
    <n v="8"/>
    <x v="456"/>
    <d v="1996-06-14T00:00:00"/>
    <d v="1996-05-13T00:00:00"/>
    <n v="2"/>
    <n v="73.91"/>
    <s v="LILA-Supermercado"/>
    <s v="Carrera 52 con Ave. BolÃ­var #65-98 Llano Largo"/>
    <x v="26"/>
    <s v="Lara"/>
    <s v="3508"/>
    <x v="5"/>
    <n v="5"/>
  </r>
  <r>
    <n v="10998"/>
    <x v="63"/>
    <n v="8"/>
    <x v="456"/>
    <d v="1996-05-17T00:00:00"/>
    <d v="1996-05-17T00:00:00"/>
    <n v="2"/>
    <n v="20.309999999999999"/>
    <s v="Wolski Zajazd"/>
    <s v="ul. Filtrowa 68"/>
    <x v="49"/>
    <s v="unknown"/>
    <s v="01-012"/>
    <x v="18"/>
    <n v="5"/>
  </r>
  <r>
    <n v="10999"/>
    <x v="11"/>
    <n v="6"/>
    <x v="456"/>
    <d v="1996-05-31T00:00:00"/>
    <d v="1996-05-10T00:00:00"/>
    <n v="2"/>
    <n v="96.35"/>
    <s v="Ottilies KÃ¤seladen"/>
    <s v="Mehrheimerstr. 369"/>
    <x v="11"/>
    <s v="unknown"/>
    <s v="50739"/>
    <x v="1"/>
    <n v="5"/>
  </r>
  <r>
    <n v="11000"/>
    <x v="13"/>
    <n v="2"/>
    <x v="457"/>
    <d v="1996-06-03T00:00:00"/>
    <d v="1996-05-14T00:00:00"/>
    <n v="3"/>
    <n v="55.12"/>
    <s v="Rattlesnake Canyon Grocery"/>
    <s v="2817 Milton Dr."/>
    <x v="12"/>
    <s v="NM"/>
    <s v="87110"/>
    <x v="8"/>
    <n v="5"/>
  </r>
  <r>
    <n v="11001"/>
    <x v="14"/>
    <n v="2"/>
    <x v="457"/>
    <d v="1996-06-03T00:00:00"/>
    <d v="1996-05-14T00:00:00"/>
    <n v="2"/>
    <n v="197.3"/>
    <s v="Folk och fÃ¤ HB"/>
    <s v="Ã…kergatan 24"/>
    <x v="13"/>
    <s v="unknown"/>
    <s v="S-844 67"/>
    <x v="9"/>
    <n v="5"/>
  </r>
  <r>
    <n v="11002"/>
    <x v="45"/>
    <n v="4"/>
    <x v="457"/>
    <d v="1996-06-03T00:00:00"/>
    <d v="1996-05-16T00:00:00"/>
    <n v="1"/>
    <n v="141.16"/>
    <s v="Save-a-lot Markets"/>
    <s v="187 Suffolk Ln."/>
    <x v="38"/>
    <s v="ID"/>
    <s v="83720"/>
    <x v="8"/>
    <n v="5"/>
  </r>
  <r>
    <n v="11003"/>
    <x v="84"/>
    <n v="3"/>
    <x v="457"/>
    <d v="1996-06-03T00:00:00"/>
    <d v="1996-05-08T00:00:00"/>
    <n v="3"/>
    <n v="14.91"/>
    <s v="The Cracker Box"/>
    <s v="55 Grizzly Peak Rd."/>
    <x v="66"/>
    <s v="MT"/>
    <s v="59801"/>
    <x v="8"/>
    <n v="5"/>
  </r>
  <r>
    <n v="11004"/>
    <x v="80"/>
    <n v="3"/>
    <x v="458"/>
    <d v="1996-06-04T00:00:00"/>
    <d v="1996-05-20T00:00:00"/>
    <n v="1"/>
    <n v="44.84"/>
    <s v="Maison Dewey"/>
    <s v="Rue Joseph-Bens 532"/>
    <x v="62"/>
    <s v="unknown"/>
    <s v="B-1180"/>
    <x v="3"/>
    <n v="5"/>
  </r>
  <r>
    <n v="11005"/>
    <x v="83"/>
    <n v="2"/>
    <x v="458"/>
    <d v="1996-06-04T00:00:00"/>
    <d v="1996-05-10T00:00:00"/>
    <n v="1"/>
    <n v="0.75"/>
    <s v="Wilman Kala"/>
    <s v="Keskuskatu 45"/>
    <x v="65"/>
    <s v="unknown"/>
    <s v="21240"/>
    <x v="10"/>
    <n v="5"/>
  </r>
  <r>
    <n v="11006"/>
    <x v="79"/>
    <n v="3"/>
    <x v="458"/>
    <d v="1996-06-04T00:00:00"/>
    <d v="1996-05-15T00:00:00"/>
    <n v="2"/>
    <n v="25.19"/>
    <s v="Great Lakes Food Market"/>
    <s v="2732 Baker Blvd."/>
    <x v="61"/>
    <s v="OR"/>
    <s v="97403"/>
    <x v="8"/>
    <n v="5"/>
  </r>
  <r>
    <n v="11007"/>
    <x v="50"/>
    <n v="8"/>
    <x v="459"/>
    <d v="1996-06-05T00:00:00"/>
    <d v="1996-05-13T00:00:00"/>
    <n v="2"/>
    <n v="202.24"/>
    <s v="Princesa Isabel Vinhos"/>
    <s v="Estrada da saÃºde n. 58"/>
    <x v="39"/>
    <s v="unknown"/>
    <s v="1756"/>
    <x v="15"/>
    <n v="5"/>
  </r>
  <r>
    <n v="11008"/>
    <x v="9"/>
    <n v="7"/>
    <x v="459"/>
    <d v="1996-06-05T00:00:00"/>
    <m/>
    <n v="3"/>
    <n v="79.459999999999994"/>
    <s v="Ernst Handel"/>
    <s v="Kirchgasse 6"/>
    <x v="9"/>
    <s v="unknown"/>
    <s v="8010"/>
    <x v="6"/>
    <n v="5"/>
  </r>
  <r>
    <n v="11009"/>
    <x v="36"/>
    <n v="2"/>
    <x v="459"/>
    <d v="1996-06-05T00:00:00"/>
    <d v="1996-05-10T00:00:00"/>
    <n v="1"/>
    <n v="59.11"/>
    <s v="Godos Cocina TÃ­pica"/>
    <s v="C/ Romero, 33"/>
    <x v="32"/>
    <s v="unknown"/>
    <s v="41101"/>
    <x v="12"/>
    <n v="5"/>
  </r>
  <r>
    <n v="11010"/>
    <x v="30"/>
    <n v="2"/>
    <x v="460"/>
    <d v="1996-06-06T00:00:00"/>
    <d v="1996-05-21T00:00:00"/>
    <n v="2"/>
    <n v="28.71"/>
    <s v="Reggiani Caseifici"/>
    <s v="Strada Provinciale 124"/>
    <x v="27"/>
    <s v="unknown"/>
    <s v="42100"/>
    <x v="11"/>
    <n v="5"/>
  </r>
  <r>
    <n v="11011"/>
    <x v="85"/>
    <n v="3"/>
    <x v="460"/>
    <d v="1996-06-06T00:00:00"/>
    <d v="1996-05-13T00:00:00"/>
    <n v="1"/>
    <n v="1.21"/>
    <s v="Alfred's Futterkiste"/>
    <s v="Obere Str. 57"/>
    <x v="67"/>
    <s v="unknown"/>
    <s v="12209"/>
    <x v="1"/>
    <n v="5"/>
  </r>
  <r>
    <n v="11012"/>
    <x v="17"/>
    <n v="1"/>
    <x v="460"/>
    <d v="1996-05-23T00:00:00"/>
    <d v="1996-05-17T00:00:00"/>
    <n v="3"/>
    <n v="242.95"/>
    <s v="Frankenversand"/>
    <s v="Berliner Platz 43"/>
    <x v="16"/>
    <s v="unknown"/>
    <s v="80805"/>
    <x v="1"/>
    <n v="5"/>
  </r>
  <r>
    <n v="11013"/>
    <x v="27"/>
    <n v="2"/>
    <x v="460"/>
    <d v="1996-06-06T00:00:00"/>
    <d v="1996-05-10T00:00:00"/>
    <n v="1"/>
    <n v="32.99"/>
    <s v="Romero y tomillo"/>
    <s v="Gran VÃ­a, 1"/>
    <x v="25"/>
    <s v="unknown"/>
    <s v="28001"/>
    <x v="12"/>
    <n v="5"/>
  </r>
  <r>
    <n v="11014"/>
    <x v="67"/>
    <n v="2"/>
    <x v="461"/>
    <d v="1996-06-07T00:00:00"/>
    <d v="1996-05-15T00:00:00"/>
    <n v="3"/>
    <n v="23.6"/>
    <s v="LINO-Delicateses"/>
    <s v="Ave. 5 de Mayo Porlamar"/>
    <x v="53"/>
    <s v="Nueva Esparta"/>
    <s v="4980"/>
    <x v="5"/>
    <n v="5"/>
  </r>
  <r>
    <n v="11015"/>
    <x v="65"/>
    <n v="2"/>
    <x v="461"/>
    <d v="1996-05-24T00:00:00"/>
    <d v="1996-05-20T00:00:00"/>
    <n v="2"/>
    <n v="4.62"/>
    <s v="SantÃ© Gourmet"/>
    <s v="Erling Skakkes gate 78"/>
    <x v="51"/>
    <s v="unknown"/>
    <s v="4110"/>
    <x v="19"/>
    <n v="5"/>
  </r>
  <r>
    <n v="11016"/>
    <x v="55"/>
    <n v="9"/>
    <x v="461"/>
    <d v="1996-06-07T00:00:00"/>
    <d v="1996-05-13T00:00:00"/>
    <n v="2"/>
    <n v="33.799999999999997"/>
    <s v="Around the Horn"/>
    <s v="Brook FarmStratford St. Mary"/>
    <x v="45"/>
    <s v="Essex"/>
    <s v="CO7 6JX"/>
    <x v="13"/>
    <n v="5"/>
  </r>
  <r>
    <n v="11017"/>
    <x v="9"/>
    <n v="9"/>
    <x v="462"/>
    <d v="1996-06-10T00:00:00"/>
    <d v="1996-05-20T00:00:00"/>
    <n v="2"/>
    <n v="754.26"/>
    <s v="Ernst Handel"/>
    <s v="Kirchgasse 6"/>
    <x v="9"/>
    <s v="unknown"/>
    <s v="8010"/>
    <x v="6"/>
    <n v="5"/>
  </r>
  <r>
    <n v="11018"/>
    <x v="38"/>
    <n v="4"/>
    <x v="462"/>
    <d v="1996-06-10T00:00:00"/>
    <d v="1996-05-16T00:00:00"/>
    <n v="2"/>
    <n v="11.65"/>
    <s v="Lonesome Pine Restaurant"/>
    <s v="89 Chiaroscuro Rd."/>
    <x v="34"/>
    <s v="OR"/>
    <s v="97219"/>
    <x v="8"/>
    <n v="5"/>
  </r>
  <r>
    <n v="11019"/>
    <x v="73"/>
    <n v="6"/>
    <x v="462"/>
    <d v="1996-06-10T00:00:00"/>
    <m/>
    <n v="3"/>
    <n v="3.17"/>
    <s v="Rancho grande"/>
    <s v="Av. del Libertador 900"/>
    <x v="55"/>
    <s v="unknown"/>
    <s v="1010"/>
    <x v="20"/>
    <n v="5"/>
  </r>
  <r>
    <n v="11020"/>
    <x v="11"/>
    <n v="2"/>
    <x v="463"/>
    <d v="1996-06-11T00:00:00"/>
    <d v="1996-05-16T00:00:00"/>
    <n v="2"/>
    <n v="43.3"/>
    <s v="Ottilies KÃ¤seladen"/>
    <s v="Mehrheimerstr. 369"/>
    <x v="11"/>
    <s v="unknown"/>
    <s v="50739"/>
    <x v="1"/>
    <n v="5"/>
  </r>
  <r>
    <n v="11021"/>
    <x v="21"/>
    <n v="3"/>
    <x v="463"/>
    <d v="1996-06-11T00:00:00"/>
    <d v="1996-05-21T00:00:00"/>
    <n v="1"/>
    <n v="297.18"/>
    <s v="QUICK-Stop"/>
    <s v="TaucherstraÃŸe 10"/>
    <x v="20"/>
    <s v="unknown"/>
    <s v="01307"/>
    <x v="1"/>
    <n v="5"/>
  </r>
  <r>
    <n v="11022"/>
    <x v="2"/>
    <n v="9"/>
    <x v="463"/>
    <d v="1996-06-11T00:00:00"/>
    <d v="1996-06-03T00:00:00"/>
    <n v="2"/>
    <n v="6.27"/>
    <s v="Hanari Carnes"/>
    <s v="Rua do PaÃ§o, 67"/>
    <x v="2"/>
    <s v="RJ"/>
    <s v="05454-876"/>
    <x v="2"/>
    <n v="5"/>
  </r>
  <r>
    <n v="11023"/>
    <x v="31"/>
    <n v="1"/>
    <x v="463"/>
    <d v="1996-05-28T00:00:00"/>
    <d v="1996-05-24T00:00:00"/>
    <n v="2"/>
    <n v="123.83"/>
    <s v="B's Beverages"/>
    <s v="Fauntleroy Circus"/>
    <x v="28"/>
    <s v="unknown"/>
    <s v="EC2 5NT"/>
    <x v="13"/>
    <n v="5"/>
  </r>
  <r>
    <n v="11024"/>
    <x v="58"/>
    <n v="4"/>
    <x v="464"/>
    <d v="1996-06-12T00:00:00"/>
    <d v="1996-05-20T00:00:00"/>
    <n v="1"/>
    <n v="74.36"/>
    <s v="Eastern Connection"/>
    <s v="35 King George"/>
    <x v="28"/>
    <s v="unknown"/>
    <s v="WX3 6FW"/>
    <x v="13"/>
    <n v="5"/>
  </r>
  <r>
    <n v="11025"/>
    <x v="16"/>
    <n v="6"/>
    <x v="464"/>
    <d v="1996-06-12T00:00:00"/>
    <d v="1996-05-24T00:00:00"/>
    <n v="3"/>
    <n v="29.17"/>
    <s v="Wartian Herkku"/>
    <s v="Torikatu 38"/>
    <x v="15"/>
    <s v="unknown"/>
    <s v="90110"/>
    <x v="10"/>
    <n v="5"/>
  </r>
  <r>
    <n v="11026"/>
    <x v="70"/>
    <n v="4"/>
    <x v="464"/>
    <d v="1996-06-12T00:00:00"/>
    <d v="1996-05-28T00:00:00"/>
    <n v="1"/>
    <n v="47.09"/>
    <s v="Franchi S.p.A."/>
    <s v="Via Monte Bianco 34"/>
    <x v="56"/>
    <s v="unknown"/>
    <s v="10100"/>
    <x v="11"/>
    <n v="5"/>
  </r>
  <r>
    <n v="11027"/>
    <x v="66"/>
    <n v="1"/>
    <x v="465"/>
    <d v="1996-06-13T00:00:00"/>
    <d v="1996-05-20T00:00:00"/>
    <n v="1"/>
    <n v="52.52"/>
    <s v="Bottom-Dollar Markets"/>
    <s v="23 Tsawassen Blvd."/>
    <x v="52"/>
    <s v="BC"/>
    <s v="T2F 8M4"/>
    <x v="16"/>
    <n v="5"/>
  </r>
  <r>
    <n v="11028"/>
    <x v="44"/>
    <n v="2"/>
    <x v="465"/>
    <d v="1996-06-13T00:00:00"/>
    <d v="1996-05-22T00:00:00"/>
    <n v="1"/>
    <n v="29.59"/>
    <s v="KÃ¶niglich Essen"/>
    <s v="Maubelstr. 90"/>
    <x v="37"/>
    <s v="unknown"/>
    <s v="14776"/>
    <x v="1"/>
    <n v="5"/>
  </r>
  <r>
    <n v="11029"/>
    <x v="5"/>
    <n v="4"/>
    <x v="465"/>
    <d v="1996-06-13T00:00:00"/>
    <d v="1996-05-27T00:00:00"/>
    <n v="1"/>
    <n v="47.84"/>
    <s v="Chop-suey Chinese"/>
    <s v="Hauptstr. 31"/>
    <x v="5"/>
    <s v="unknown"/>
    <s v="3012"/>
    <x v="4"/>
    <n v="5"/>
  </r>
  <r>
    <n v="11030"/>
    <x v="45"/>
    <n v="7"/>
    <x v="466"/>
    <d v="1996-06-14T00:00:00"/>
    <d v="1996-05-27T00:00:00"/>
    <n v="2"/>
    <n v="830.75"/>
    <s v="Save-a-lot Markets"/>
    <s v="187 Suffolk Ln."/>
    <x v="38"/>
    <s v="ID"/>
    <s v="83720"/>
    <x v="8"/>
    <n v="5"/>
  </r>
  <r>
    <n v="11031"/>
    <x v="45"/>
    <n v="6"/>
    <x v="466"/>
    <d v="1996-06-14T00:00:00"/>
    <d v="1996-05-24T00:00:00"/>
    <n v="2"/>
    <n v="227.22"/>
    <s v="Save-a-lot Markets"/>
    <s v="187 Suffolk Ln."/>
    <x v="38"/>
    <s v="ID"/>
    <s v="83720"/>
    <x v="8"/>
    <n v="5"/>
  </r>
  <r>
    <n v="11032"/>
    <x v="19"/>
    <n v="2"/>
    <x v="466"/>
    <d v="1996-06-14T00:00:00"/>
    <d v="1996-05-23T00:00:00"/>
    <n v="3"/>
    <n v="606.19000000000005"/>
    <s v="White Clover Markets"/>
    <s v="1029 - 12th Ave. S."/>
    <x v="18"/>
    <s v="WA"/>
    <s v="98124"/>
    <x v="8"/>
    <n v="5"/>
  </r>
  <r>
    <n v="11033"/>
    <x v="6"/>
    <n v="7"/>
    <x v="466"/>
    <d v="1996-06-14T00:00:00"/>
    <d v="1996-05-23T00:00:00"/>
    <n v="3"/>
    <n v="84.74"/>
    <s v="Richter Supermarkt"/>
    <s v="Starenweg 5"/>
    <x v="6"/>
    <s v="unknown"/>
    <s v="1204"/>
    <x v="4"/>
    <n v="5"/>
  </r>
  <r>
    <n v="11034"/>
    <x v="37"/>
    <n v="8"/>
    <x v="467"/>
    <d v="1996-07-01T00:00:00"/>
    <d v="1996-05-27T00:00:00"/>
    <n v="1"/>
    <n v="40.32"/>
    <s v="Old World Delicatessen"/>
    <s v="2743 Bering St."/>
    <x v="33"/>
    <s v="AK"/>
    <s v="99508"/>
    <x v="8"/>
    <n v="5"/>
  </r>
  <r>
    <n v="11035"/>
    <x v="4"/>
    <n v="2"/>
    <x v="467"/>
    <d v="1996-06-17T00:00:00"/>
    <d v="1996-05-24T00:00:00"/>
    <n v="2"/>
    <n v="0.17"/>
    <s v="SuprÃªmes dÃ©lices"/>
    <s v="Boulevard Tirou, 255"/>
    <x v="4"/>
    <s v="unknown"/>
    <s v="B-6000"/>
    <x v="3"/>
    <n v="5"/>
  </r>
  <r>
    <n v="11036"/>
    <x v="57"/>
    <n v="8"/>
    <x v="467"/>
    <d v="1996-06-17T00:00:00"/>
    <d v="1996-05-22T00:00:00"/>
    <n v="3"/>
    <n v="149.47"/>
    <s v="Drachenblut Delikatessen"/>
    <s v="Walserweg 21"/>
    <x v="46"/>
    <s v="unknown"/>
    <s v="52066"/>
    <x v="1"/>
    <n v="5"/>
  </r>
  <r>
    <n v="11037"/>
    <x v="36"/>
    <n v="7"/>
    <x v="468"/>
    <d v="1996-06-18T00:00:00"/>
    <d v="1996-05-27T00:00:00"/>
    <n v="1"/>
    <n v="3.2"/>
    <s v="Godos Cocina TÃ­pica"/>
    <s v="C/ Romero, 33"/>
    <x v="32"/>
    <s v="unknown"/>
    <s v="41101"/>
    <x v="12"/>
    <n v="5"/>
  </r>
  <r>
    <n v="11038"/>
    <x v="4"/>
    <n v="1"/>
    <x v="468"/>
    <d v="1996-06-18T00:00:00"/>
    <d v="1996-05-30T00:00:00"/>
    <n v="2"/>
    <n v="29.59"/>
    <s v="SuprÃªmes dÃ©lices"/>
    <s v="Boulevard Tirou, 255"/>
    <x v="4"/>
    <s v="unknown"/>
    <s v="B-6000"/>
    <x v="3"/>
    <n v="5"/>
  </r>
  <r>
    <n v="11039"/>
    <x v="67"/>
    <n v="1"/>
    <x v="468"/>
    <d v="1996-06-18T00:00:00"/>
    <m/>
    <n v="2"/>
    <n v="65"/>
    <s v="LINO-Delicateses"/>
    <s v="Ave. 5 de Mayo Porlamar"/>
    <x v="53"/>
    <s v="Nueva Esparta"/>
    <s v="4980"/>
    <x v="5"/>
    <n v="5"/>
  </r>
  <r>
    <n v="11040"/>
    <x v="79"/>
    <n v="4"/>
    <x v="469"/>
    <d v="1996-06-19T00:00:00"/>
    <m/>
    <n v="3"/>
    <n v="18.84"/>
    <s v="Great Lakes Food Market"/>
    <s v="2732 Baker Blvd."/>
    <x v="61"/>
    <s v="OR"/>
    <s v="97403"/>
    <x v="8"/>
    <n v="5"/>
  </r>
  <r>
    <n v="11041"/>
    <x v="5"/>
    <n v="3"/>
    <x v="469"/>
    <d v="1996-06-19T00:00:00"/>
    <d v="1996-05-28T00:00:00"/>
    <n v="2"/>
    <n v="48.22"/>
    <s v="Chop-suey Chinese"/>
    <s v="Hauptstr. 31"/>
    <x v="5"/>
    <s v="unknown"/>
    <s v="3012"/>
    <x v="4"/>
    <n v="5"/>
  </r>
  <r>
    <n v="11042"/>
    <x v="32"/>
    <n v="2"/>
    <x v="469"/>
    <d v="1996-06-05T00:00:00"/>
    <d v="1996-05-31T00:00:00"/>
    <n v="1"/>
    <n v="29.99"/>
    <s v="ComÃ©rcio Mineiro"/>
    <s v="Av. dos LusÃ­adas, 23"/>
    <x v="29"/>
    <s v="SP"/>
    <s v="05432-043"/>
    <x v="2"/>
    <n v="5"/>
  </r>
  <r>
    <n v="11043"/>
    <x v="87"/>
    <n v="5"/>
    <x v="469"/>
    <d v="1996-06-19T00:00:00"/>
    <d v="1996-05-29T00:00:00"/>
    <n v="2"/>
    <n v="8.8000000000000007"/>
    <s v="SpÃ©cialitÃ©s du monde"/>
    <s v="25, rue Lauriston"/>
    <x v="68"/>
    <s v="unknown"/>
    <s v="75016"/>
    <x v="0"/>
    <n v="5"/>
  </r>
  <r>
    <n v="11044"/>
    <x v="63"/>
    <n v="4"/>
    <x v="470"/>
    <d v="1996-06-20T00:00:00"/>
    <d v="1996-05-31T00:00:00"/>
    <n v="1"/>
    <n v="8.7200000000000006"/>
    <s v="Wolski Zajazd"/>
    <s v="ul. Filtrowa 68"/>
    <x v="49"/>
    <s v="unknown"/>
    <s v="01-012"/>
    <x v="18"/>
    <n v="5"/>
  </r>
  <r>
    <n v="11045"/>
    <x v="66"/>
    <n v="6"/>
    <x v="470"/>
    <d v="1996-06-20T00:00:00"/>
    <m/>
    <n v="2"/>
    <n v="70.58"/>
    <s v="Bottom-Dollar Markets"/>
    <s v="23 Tsawassen Blvd."/>
    <x v="52"/>
    <s v="BC"/>
    <s v="T2F 8M4"/>
    <x v="16"/>
    <n v="5"/>
  </r>
  <r>
    <n v="11046"/>
    <x v="35"/>
    <n v="8"/>
    <x v="470"/>
    <d v="1996-06-20T00:00:00"/>
    <d v="1996-05-24T00:00:00"/>
    <n v="2"/>
    <n v="71.64"/>
    <s v="Die Wandernde Kuh"/>
    <s v="Adenauerallee 900"/>
    <x v="31"/>
    <s v="unknown"/>
    <s v="70563"/>
    <x v="1"/>
    <n v="5"/>
  </r>
  <r>
    <n v="11047"/>
    <x v="58"/>
    <n v="7"/>
    <x v="471"/>
    <d v="1996-06-21T00:00:00"/>
    <d v="1996-05-31T00:00:00"/>
    <n v="3"/>
    <n v="46.62"/>
    <s v="Eastern Connection"/>
    <s v="35 King George"/>
    <x v="28"/>
    <s v="unknown"/>
    <s v="WX3 6FW"/>
    <x v="13"/>
    <n v="5"/>
  </r>
  <r>
    <n v="11048"/>
    <x v="66"/>
    <n v="7"/>
    <x v="471"/>
    <d v="1996-06-21T00:00:00"/>
    <d v="1996-05-30T00:00:00"/>
    <n v="3"/>
    <n v="24.12"/>
    <s v="Bottom-Dollar Markets"/>
    <s v="23 Tsawassen Blvd."/>
    <x v="52"/>
    <s v="BC"/>
    <s v="T2F 8M4"/>
    <x v="16"/>
    <n v="5"/>
  </r>
  <r>
    <n v="11049"/>
    <x v="71"/>
    <n v="3"/>
    <x v="471"/>
    <d v="1996-06-21T00:00:00"/>
    <d v="1996-06-03T00:00:00"/>
    <n v="1"/>
    <n v="8.34"/>
    <s v="Gourmet Lanchonetes"/>
    <s v="Av. Brasil, 442"/>
    <x v="57"/>
    <s v="SP"/>
    <s v="04876-786"/>
    <x v="2"/>
    <n v="5"/>
  </r>
  <r>
    <n v="11050"/>
    <x v="14"/>
    <n v="8"/>
    <x v="472"/>
    <d v="1996-06-24T00:00:00"/>
    <d v="1996-06-04T00:00:00"/>
    <n v="2"/>
    <n v="59.41"/>
    <s v="Folk och fÃ¤ HB"/>
    <s v="Ã…kergatan 24"/>
    <x v="13"/>
    <s v="unknown"/>
    <s v="S-844 67"/>
    <x v="9"/>
    <n v="5"/>
  </r>
  <r>
    <n v="11051"/>
    <x v="53"/>
    <n v="7"/>
    <x v="472"/>
    <d v="1996-06-24T00:00:00"/>
    <m/>
    <n v="3"/>
    <n v="2.79"/>
    <s v="La maison d'Asie"/>
    <s v="1 rue Alsace-Lorraine"/>
    <x v="43"/>
    <s v="unknown"/>
    <s v="31000"/>
    <x v="0"/>
    <n v="5"/>
  </r>
  <r>
    <n v="11052"/>
    <x v="2"/>
    <n v="3"/>
    <x v="472"/>
    <d v="1996-06-24T00:00:00"/>
    <d v="1996-05-31T00:00:00"/>
    <n v="1"/>
    <n v="67.260000000000005"/>
    <s v="Hanari Carnes"/>
    <s v="Rua do PaÃ§o, 67"/>
    <x v="2"/>
    <s v="RJ"/>
    <s v="05454-876"/>
    <x v="2"/>
    <n v="5"/>
  </r>
  <r>
    <n v="11053"/>
    <x v="54"/>
    <n v="2"/>
    <x v="472"/>
    <d v="1996-06-24T00:00:00"/>
    <d v="1996-05-29T00:00:00"/>
    <n v="2"/>
    <n v="53.05"/>
    <s v="Piccolo und mehr"/>
    <s v="Geislweg 14"/>
    <x v="44"/>
    <s v="unknown"/>
    <s v="5020"/>
    <x v="6"/>
    <n v="5"/>
  </r>
  <r>
    <n v="11054"/>
    <x v="78"/>
    <n v="8"/>
    <x v="473"/>
    <d v="1996-06-25T00:00:00"/>
    <m/>
    <n v="1"/>
    <n v="0.33"/>
    <s v="Cactus Comidas para llevar"/>
    <s v="Cerrito 333"/>
    <x v="55"/>
    <s v="unknown"/>
    <s v="1010"/>
    <x v="20"/>
    <n v="5"/>
  </r>
  <r>
    <n v="11055"/>
    <x v="8"/>
    <n v="7"/>
    <x v="473"/>
    <d v="1996-06-25T00:00:00"/>
    <d v="1996-06-04T00:00:00"/>
    <n v="2"/>
    <n v="120.92"/>
    <s v="HILARIÃ“N-Abastos"/>
    <s v="Carrera 22 con Ave. Carlos Soublette #8-35"/>
    <x v="8"/>
    <s v="TÃ¡chira"/>
    <s v="5022"/>
    <x v="5"/>
    <n v="5"/>
  </r>
  <r>
    <n v="11056"/>
    <x v="58"/>
    <n v="8"/>
    <x v="473"/>
    <d v="1996-06-11T00:00:00"/>
    <d v="1996-05-31T00:00:00"/>
    <n v="2"/>
    <n v="278.95999999999998"/>
    <s v="Eastern Connection"/>
    <s v="35 King George"/>
    <x v="28"/>
    <s v="unknown"/>
    <s v="WX3 6FW"/>
    <x v="13"/>
    <n v="5"/>
  </r>
  <r>
    <n v="11057"/>
    <x v="77"/>
    <n v="3"/>
    <x v="474"/>
    <d v="1996-06-26T00:00:00"/>
    <d v="1996-05-31T00:00:00"/>
    <n v="3"/>
    <n v="4.13"/>
    <s v="North/South"/>
    <s v="South House300 Queensbridge"/>
    <x v="28"/>
    <s v="unknown"/>
    <s v="SW7 1RZ"/>
    <x v="13"/>
    <n v="5"/>
  </r>
  <r>
    <n v="11058"/>
    <x v="76"/>
    <n v="9"/>
    <x v="474"/>
    <d v="1996-06-26T00:00:00"/>
    <m/>
    <n v="3"/>
    <n v="31.14"/>
    <s v="Blauer See Delikatessen"/>
    <s v="Forsterstr. 57"/>
    <x v="60"/>
    <s v="unknown"/>
    <s v="68306"/>
    <x v="1"/>
    <n v="5"/>
  </r>
  <r>
    <n v="11059"/>
    <x v="29"/>
    <n v="2"/>
    <x v="474"/>
    <d v="1996-07-10T00:00:00"/>
    <m/>
    <n v="2"/>
    <n v="85.8"/>
    <s v="Ricardo Adocicados"/>
    <s v="Av. Copacabana, 267"/>
    <x v="2"/>
    <s v="RJ"/>
    <s v="02389-890"/>
    <x v="2"/>
    <n v="5"/>
  </r>
  <r>
    <n v="11060"/>
    <x v="70"/>
    <n v="2"/>
    <x v="475"/>
    <d v="1996-06-27T00:00:00"/>
    <d v="1996-06-03T00:00:00"/>
    <n v="2"/>
    <n v="10.98"/>
    <s v="Franchi S.p.A."/>
    <s v="Via Monte Bianco 34"/>
    <x v="56"/>
    <s v="unknown"/>
    <s v="10100"/>
    <x v="11"/>
    <n v="5"/>
  </r>
  <r>
    <n v="11061"/>
    <x v="79"/>
    <n v="4"/>
    <x v="475"/>
    <d v="1996-07-11T00:00:00"/>
    <m/>
    <n v="3"/>
    <n v="14.01"/>
    <s v="Great Lakes Food Market"/>
    <s v="2732 Baker Blvd."/>
    <x v="61"/>
    <s v="OR"/>
    <s v="97403"/>
    <x v="8"/>
    <n v="5"/>
  </r>
  <r>
    <n v="11062"/>
    <x v="30"/>
    <n v="4"/>
    <x v="475"/>
    <d v="1996-06-27T00:00:00"/>
    <m/>
    <n v="2"/>
    <n v="29.93"/>
    <s v="Reggiani Caseifici"/>
    <s v="Strada Provinciale 124"/>
    <x v="27"/>
    <s v="unknown"/>
    <s v="42100"/>
    <x v="11"/>
    <n v="5"/>
  </r>
  <r>
    <n v="11063"/>
    <x v="34"/>
    <n v="3"/>
    <x v="475"/>
    <d v="1996-06-27T00:00:00"/>
    <d v="1996-06-05T00:00:00"/>
    <n v="2"/>
    <n v="81.73"/>
    <s v="Hungry Owl All-Night Grocers"/>
    <s v="8 Johnstown Road"/>
    <x v="30"/>
    <s v="Co. Cork"/>
    <s v="unknown"/>
    <x v="14"/>
    <n v="5"/>
  </r>
  <r>
    <n v="11064"/>
    <x v="45"/>
    <n v="1"/>
    <x v="476"/>
    <d v="1996-06-28T00:00:00"/>
    <d v="1996-06-03T00:00:00"/>
    <n v="1"/>
    <n v="30.09"/>
    <s v="Save-a-lot Markets"/>
    <s v="187 Suffolk Ln."/>
    <x v="38"/>
    <s v="ID"/>
    <s v="83720"/>
    <x v="8"/>
    <n v="5"/>
  </r>
  <r>
    <n v="11065"/>
    <x v="28"/>
    <n v="8"/>
    <x v="476"/>
    <d v="1996-06-28T00:00:00"/>
    <m/>
    <n v="1"/>
    <n v="12.91"/>
    <s v="LILA-Supermercado"/>
    <s v="Carrera 52 con Ave. BolÃ­var #65-98 Llano Largo"/>
    <x v="26"/>
    <s v="Lara"/>
    <s v="3508"/>
    <x v="5"/>
    <n v="5"/>
  </r>
  <r>
    <n v="11066"/>
    <x v="19"/>
    <n v="7"/>
    <x v="476"/>
    <d v="1996-06-28T00:00:00"/>
    <d v="1996-06-03T00:00:00"/>
    <n v="2"/>
    <n v="44.72"/>
    <s v="White Clover Markets"/>
    <s v="1029 - 12th Ave. S."/>
    <x v="18"/>
    <s v="WA"/>
    <s v="98124"/>
    <x v="8"/>
    <n v="5"/>
  </r>
  <r>
    <n v="11067"/>
    <x v="57"/>
    <n v="1"/>
    <x v="477"/>
    <d v="1996-06-17T00:00:00"/>
    <d v="1996-06-05T00:00:00"/>
    <n v="2"/>
    <n v="7.98"/>
    <s v="Drachenblut Delikatessen"/>
    <s v="Walserweg 21"/>
    <x v="46"/>
    <s v="unknown"/>
    <s v="52066"/>
    <x v="1"/>
    <n v="6"/>
  </r>
  <r>
    <n v="11068"/>
    <x v="62"/>
    <n v="8"/>
    <x v="477"/>
    <d v="1996-07-01T00:00:00"/>
    <m/>
    <n v="2"/>
    <n v="81.75"/>
    <s v="Queen Cozinha"/>
    <s v="Alameda dos CanÃ rios, 891"/>
    <x v="29"/>
    <s v="SP"/>
    <s v="05487-020"/>
    <x v="2"/>
    <n v="6"/>
  </r>
  <r>
    <n v="11069"/>
    <x v="23"/>
    <n v="1"/>
    <x v="477"/>
    <d v="1996-07-01T00:00:00"/>
    <d v="1996-06-05T00:00:00"/>
    <n v="2"/>
    <n v="15.67"/>
    <s v="Tortuga Restaurante"/>
    <s v="Avda. Azteca 123"/>
    <x v="10"/>
    <s v="unknown"/>
    <s v="05033"/>
    <x v="7"/>
    <n v="6"/>
  </r>
  <r>
    <n v="11070"/>
    <x v="26"/>
    <n v="2"/>
    <x v="478"/>
    <d v="1996-07-02T00:00:00"/>
    <m/>
    <n v="1"/>
    <n v="136"/>
    <s v="Lehmanns Marktstand"/>
    <s v="Magazinweg 7"/>
    <x v="24"/>
    <s v="unknown"/>
    <s v="60528"/>
    <x v="1"/>
    <n v="6"/>
  </r>
  <r>
    <n v="11071"/>
    <x v="28"/>
    <n v="1"/>
    <x v="478"/>
    <d v="1996-07-02T00:00:00"/>
    <m/>
    <n v="1"/>
    <n v="0.93"/>
    <s v="LILA-Supermercado"/>
    <s v="Carrera 52 con Ave. BolÃ­var #65-98 Llano Largo"/>
    <x v="26"/>
    <s v="Lara"/>
    <s v="3508"/>
    <x v="5"/>
    <n v="6"/>
  </r>
  <r>
    <n v="11072"/>
    <x v="9"/>
    <n v="4"/>
    <x v="478"/>
    <d v="1996-07-02T00:00:00"/>
    <m/>
    <n v="2"/>
    <n v="258.64"/>
    <s v="Ernst Handel"/>
    <s v="Kirchgasse 6"/>
    <x v="9"/>
    <s v="unknown"/>
    <s v="8010"/>
    <x v="6"/>
    <n v="6"/>
  </r>
  <r>
    <n v="11073"/>
    <x v="43"/>
    <n v="2"/>
    <x v="478"/>
    <d v="1996-07-02T00:00:00"/>
    <m/>
    <n v="2"/>
    <n v="24.95"/>
    <s v="Pericles Comidas clÃ¡sicas"/>
    <s v="Calle Dr. Jorge Cash 321"/>
    <x v="10"/>
    <s v="unknown"/>
    <s v="05033"/>
    <x v="7"/>
    <n v="6"/>
  </r>
  <r>
    <n v="11074"/>
    <x v="51"/>
    <n v="7"/>
    <x v="479"/>
    <d v="1996-07-03T00:00:00"/>
    <m/>
    <n v="2"/>
    <n v="18.440000000000001"/>
    <s v="Simons bistro"/>
    <s v="VinbÃ¦ltet 34"/>
    <x v="42"/>
    <s v="unknown"/>
    <s v="1734"/>
    <x v="17"/>
    <n v="6"/>
  </r>
  <r>
    <n v="11075"/>
    <x v="6"/>
    <n v="8"/>
    <x v="479"/>
    <d v="1996-07-03T00:00:00"/>
    <m/>
    <n v="2"/>
    <n v="6.19"/>
    <s v="Richter Supermarkt"/>
    <s v="Starenweg 5"/>
    <x v="6"/>
    <s v="unknown"/>
    <s v="1204"/>
    <x v="4"/>
    <n v="6"/>
  </r>
  <r>
    <n v="11076"/>
    <x v="48"/>
    <n v="4"/>
    <x v="479"/>
    <d v="1996-07-03T00:00:00"/>
    <m/>
    <n v="2"/>
    <n v="38.28"/>
    <s v="Bon app'"/>
    <s v="12, rue des Bouchers"/>
    <x v="40"/>
    <s v="unknown"/>
    <s v="13008"/>
    <x v="0"/>
    <n v="6"/>
  </r>
  <r>
    <n v="11077"/>
    <x v="13"/>
    <n v="1"/>
    <x v="479"/>
    <d v="1996-07-03T00:00:00"/>
    <m/>
    <n v="2"/>
    <n v="8.5299999999999994"/>
    <s v="Rattlesnake Canyon Grocery"/>
    <s v="2817 Milton Dr."/>
    <x v="12"/>
    <s v="NM"/>
    <s v="87110"/>
    <x v="8"/>
    <n v="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664F72-E0E3-4342-A02F-24F91BE2D7D9}" name="Average order per customer" cacheId="3"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1:B91" firstHeaderRow="1" firstDataRow="1" firstDataCol="1"/>
  <pivotFields count="17">
    <pivotField dataField="1" showAll="0"/>
    <pivotField axis="axisRow" showAll="0">
      <items count="90">
        <item x="85"/>
        <item x="39"/>
        <item x="59"/>
        <item x="55"/>
        <item x="25"/>
        <item x="76"/>
        <item x="15"/>
        <item x="46"/>
        <item x="48"/>
        <item x="66"/>
        <item x="31"/>
        <item x="78"/>
        <item x="10"/>
        <item x="5"/>
        <item x="32"/>
        <item x="72"/>
        <item x="57"/>
        <item x="41"/>
        <item x="58"/>
        <item x="9"/>
        <item x="52"/>
        <item x="68"/>
        <item x="14"/>
        <item x="17"/>
        <item x="86"/>
        <item x="70"/>
        <item x="47"/>
        <item x="60"/>
        <item x="36"/>
        <item x="71"/>
        <item x="79"/>
        <item x="18"/>
        <item x="2"/>
        <item x="8"/>
        <item x="64"/>
        <item x="34"/>
        <item x="42"/>
        <item x="44"/>
        <item x="88"/>
        <item x="53"/>
        <item x="75"/>
        <item x="74"/>
        <item x="26"/>
        <item x="82"/>
        <item x="28"/>
        <item x="67"/>
        <item x="38"/>
        <item x="22"/>
        <item x="80"/>
        <item x="49"/>
        <item x="24"/>
        <item x="77"/>
        <item x="69"/>
        <item x="37"/>
        <item x="11"/>
        <item x="43"/>
        <item x="54"/>
        <item x="50"/>
        <item x="12"/>
        <item x="62"/>
        <item x="21"/>
        <item x="73"/>
        <item x="13"/>
        <item x="30"/>
        <item x="29"/>
        <item x="6"/>
        <item x="27"/>
        <item x="65"/>
        <item x="45"/>
        <item x="56"/>
        <item x="51"/>
        <item x="87"/>
        <item x="20"/>
        <item x="4"/>
        <item x="40"/>
        <item x="84"/>
        <item x="1"/>
        <item x="23"/>
        <item x="33"/>
        <item x="81"/>
        <item x="61"/>
        <item x="3"/>
        <item x="0"/>
        <item x="35"/>
        <item x="16"/>
        <item x="7"/>
        <item x="19"/>
        <item x="83"/>
        <item x="63"/>
        <item t="default"/>
      </items>
    </pivotField>
    <pivotField showAll="0"/>
    <pivotField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items count="7">
        <item x="0"/>
        <item x="1"/>
        <item x="2"/>
        <item x="3"/>
        <item x="4"/>
        <item x="5"/>
        <item t="default"/>
      </items>
    </pivotField>
    <pivotField showAll="0">
      <items count="6">
        <item x="0"/>
        <item x="1"/>
        <item x="2"/>
        <item x="3"/>
        <item x="4"/>
        <item t="default"/>
      </items>
    </pivotField>
  </pivotFields>
  <rowFields count="1">
    <field x="1"/>
  </rowFields>
  <rowItems count="9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t="grand">
      <x/>
    </i>
  </rowItems>
  <colItems count="1">
    <i/>
  </colItems>
  <dataFields count="1">
    <dataField name="Count of OrderID" fld="0" subtotal="count" baseField="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E2F4848-2EFC-4DBF-B76A-236089D8DD87}" name="Cities generate the most orders" cacheId="3"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D1:E72" firstHeaderRow="1" firstDataRow="1" firstDataCol="1"/>
  <pivotFields count="17">
    <pivotField dataField="1" showAll="0"/>
    <pivotField showAll="0"/>
    <pivotField showAll="0"/>
    <pivotField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pivotField showAll="0"/>
    <pivotField axis="axisRow" showAll="0" sortType="descending">
      <items count="71">
        <item x="48"/>
        <item x="46"/>
        <item x="12"/>
        <item x="33"/>
        <item x="47"/>
        <item x="26"/>
        <item x="21"/>
        <item x="67"/>
        <item x="5"/>
        <item x="38"/>
        <item x="13"/>
        <item x="37"/>
        <item x="62"/>
        <item x="55"/>
        <item x="66"/>
        <item x="57"/>
        <item x="17"/>
        <item x="4"/>
        <item x="45"/>
        <item x="30"/>
        <item x="36"/>
        <item x="20"/>
        <item x="50"/>
        <item x="61"/>
        <item x="24"/>
        <item x="6"/>
        <item x="9"/>
        <item x="65"/>
        <item x="53"/>
        <item x="42"/>
        <item x="11"/>
        <item x="63"/>
        <item x="19"/>
        <item x="22"/>
        <item x="54"/>
        <item x="39"/>
        <item x="28"/>
        <item x="23"/>
        <item x="3"/>
        <item x="10"/>
        <item x="16"/>
        <item x="1"/>
        <item x="25"/>
        <item x="60"/>
        <item x="40"/>
        <item x="41"/>
        <item x="35"/>
        <item x="15"/>
        <item x="68"/>
        <item x="34"/>
        <item x="27"/>
        <item x="0"/>
        <item x="7"/>
        <item x="2"/>
        <item x="29"/>
        <item x="44"/>
        <item x="8"/>
        <item x="64"/>
        <item x="18"/>
        <item x="32"/>
        <item x="51"/>
        <item x="14"/>
        <item x="31"/>
        <item x="56"/>
        <item x="43"/>
        <item x="52"/>
        <item x="59"/>
        <item x="69"/>
        <item x="58"/>
        <item x="4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items count="7">
        <item x="0"/>
        <item x="1"/>
        <item x="2"/>
        <item x="3"/>
        <item x="4"/>
        <item x="5"/>
        <item t="default"/>
      </items>
    </pivotField>
    <pivotField showAll="0">
      <items count="6">
        <item x="0"/>
        <item x="1"/>
        <item x="2"/>
        <item x="3"/>
        <item x="4"/>
        <item t="default"/>
      </items>
    </pivotField>
  </pivotFields>
  <rowFields count="1">
    <field x="10"/>
  </rowFields>
  <rowItems count="71">
    <i>
      <x v="53"/>
    </i>
    <i>
      <x v="36"/>
    </i>
    <i>
      <x v="54"/>
    </i>
    <i>
      <x v="9"/>
    </i>
    <i>
      <x v="26"/>
    </i>
    <i>
      <x v="39"/>
    </i>
    <i>
      <x v="21"/>
    </i>
    <i>
      <x v="19"/>
    </i>
    <i>
      <x v="10"/>
    </i>
    <i>
      <x v="2"/>
    </i>
    <i>
      <x v="56"/>
    </i>
    <i>
      <x v="37"/>
    </i>
    <i>
      <x v="44"/>
    </i>
    <i>
      <x v="13"/>
    </i>
    <i>
      <x v="24"/>
    </i>
    <i>
      <x v="47"/>
    </i>
    <i>
      <x v="40"/>
    </i>
    <i>
      <x v="58"/>
    </i>
    <i>
      <x v="64"/>
    </i>
    <i>
      <x v="11"/>
    </i>
    <i>
      <x v="5"/>
    </i>
    <i>
      <x v="65"/>
    </i>
    <i>
      <x v="35"/>
    </i>
    <i>
      <x v="18"/>
    </i>
    <i>
      <x v="45"/>
    </i>
    <i>
      <x v="50"/>
    </i>
    <i>
      <x v="28"/>
    </i>
    <i>
      <x v="17"/>
    </i>
    <i>
      <x v="49"/>
    </i>
    <i>
      <x/>
    </i>
    <i>
      <x v="23"/>
    </i>
    <i>
      <x v="61"/>
    </i>
    <i>
      <x v="55"/>
    </i>
    <i>
      <x v="25"/>
    </i>
    <i>
      <x v="30"/>
    </i>
    <i>
      <x v="59"/>
    </i>
    <i>
      <x v="3"/>
    </i>
    <i>
      <x v="62"/>
    </i>
    <i>
      <x v="20"/>
    </i>
    <i>
      <x v="6"/>
    </i>
    <i>
      <x v="38"/>
    </i>
    <i>
      <x v="52"/>
    </i>
    <i>
      <x v="15"/>
    </i>
    <i>
      <x v="32"/>
    </i>
    <i>
      <x v="42"/>
    </i>
    <i>
      <x v="8"/>
    </i>
    <i>
      <x v="12"/>
    </i>
    <i>
      <x v="46"/>
    </i>
    <i>
      <x v="43"/>
    </i>
    <i>
      <x v="69"/>
    </i>
    <i>
      <x v="27"/>
    </i>
    <i>
      <x v="29"/>
    </i>
    <i>
      <x v="41"/>
    </i>
    <i>
      <x v="60"/>
    </i>
    <i>
      <x v="63"/>
    </i>
    <i>
      <x v="1"/>
    </i>
    <i>
      <x v="7"/>
    </i>
    <i>
      <x v="4"/>
    </i>
    <i>
      <x v="51"/>
    </i>
    <i>
      <x v="22"/>
    </i>
    <i>
      <x v="33"/>
    </i>
    <i>
      <x v="34"/>
    </i>
    <i>
      <x v="48"/>
    </i>
    <i>
      <x v="67"/>
    </i>
    <i>
      <x v="57"/>
    </i>
    <i>
      <x v="31"/>
    </i>
    <i>
      <x v="66"/>
    </i>
    <i>
      <x v="14"/>
    </i>
    <i>
      <x v="16"/>
    </i>
    <i>
      <x v="68"/>
    </i>
    <i t="grand">
      <x/>
    </i>
  </rowItems>
  <colItems count="1">
    <i/>
  </colItems>
  <dataFields count="1">
    <dataField name="Count of OrderID" fld="0" subtotal="count" baseField="13" baseItem="0"/>
  </dataFields>
  <formats count="1">
    <format dxfId="32">
      <pivotArea dataOnly="0" fieldPosition="0">
        <references count="1">
          <reference field="10" count="5">
            <x v="9"/>
            <x v="26"/>
            <x v="36"/>
            <x v="53"/>
            <x v="54"/>
          </reference>
        </references>
      </pivotArea>
    </format>
  </formats>
  <conditionalFormats count="1">
    <conditionalFormat type="all" priority="1">
      <pivotAreas count="1">
        <pivotArea type="data" collapsedLevelsAreSubtotals="1" fieldPosition="0">
          <references count="2">
            <reference field="4294967294" count="1" selected="0">
              <x v="0"/>
            </reference>
            <reference field="10" count="5">
              <x v="9"/>
              <x v="26"/>
              <x v="36"/>
              <x v="53"/>
              <x v="54"/>
            </reference>
          </references>
        </pivotArea>
      </pivotAreas>
    </conditionalFormat>
  </conditional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56E2FB5-0E2D-403A-81CB-BCEC623A08E1}" name="Order Volume by Country" cacheId="3"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1:B23" firstHeaderRow="1" firstDataRow="1" firstDataCol="1"/>
  <pivotFields count="17">
    <pivotField dataField="1" showAll="0"/>
    <pivotField showAll="0"/>
    <pivotField showAll="0"/>
    <pivotField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pivotField showAll="0"/>
    <pivotField showAll="0"/>
    <pivotField showAll="0"/>
    <pivotField showAll="0"/>
    <pivotField axis="axisRow" showAll="0" sortType="descending">
      <items count="22">
        <item x="20"/>
        <item x="6"/>
        <item x="3"/>
        <item x="2"/>
        <item x="16"/>
        <item x="17"/>
        <item x="10"/>
        <item x="0"/>
        <item x="1"/>
        <item x="14"/>
        <item x="11"/>
        <item x="7"/>
        <item x="19"/>
        <item x="18"/>
        <item x="15"/>
        <item x="12"/>
        <item x="9"/>
        <item x="4"/>
        <item x="13"/>
        <item x="8"/>
        <item x="5"/>
        <item t="default"/>
      </items>
      <autoSortScope>
        <pivotArea dataOnly="0" outline="0" fieldPosition="0">
          <references count="1">
            <reference field="4294967294" count="1" selected="0">
              <x v="0"/>
            </reference>
          </references>
        </pivotArea>
      </autoSortScope>
    </pivotField>
    <pivotField showAll="0"/>
    <pivotField showAll="0">
      <items count="7">
        <item x="0"/>
        <item x="1"/>
        <item x="2"/>
        <item x="3"/>
        <item x="4"/>
        <item x="5"/>
        <item t="default"/>
      </items>
    </pivotField>
    <pivotField showAll="0">
      <items count="6">
        <item x="0"/>
        <item x="1"/>
        <item x="2"/>
        <item x="3"/>
        <item x="4"/>
        <item t="default"/>
      </items>
    </pivotField>
  </pivotFields>
  <rowFields count="1">
    <field x="13"/>
  </rowFields>
  <rowItems count="22">
    <i>
      <x v="19"/>
    </i>
    <i>
      <x v="8"/>
    </i>
    <i>
      <x v="3"/>
    </i>
    <i>
      <x v="7"/>
    </i>
    <i>
      <x v="18"/>
    </i>
    <i>
      <x v="20"/>
    </i>
    <i>
      <x v="1"/>
    </i>
    <i>
      <x v="16"/>
    </i>
    <i>
      <x v="4"/>
    </i>
    <i>
      <x v="11"/>
    </i>
    <i>
      <x v="10"/>
    </i>
    <i>
      <x v="15"/>
    </i>
    <i>
      <x v="6"/>
    </i>
    <i>
      <x v="9"/>
    </i>
    <i>
      <x v="2"/>
    </i>
    <i>
      <x v="5"/>
    </i>
    <i>
      <x v="17"/>
    </i>
    <i>
      <x/>
    </i>
    <i>
      <x v="14"/>
    </i>
    <i>
      <x v="13"/>
    </i>
    <i>
      <x v="12"/>
    </i>
    <i t="grand">
      <x/>
    </i>
  </rowItems>
  <colItems count="1">
    <i/>
  </colItems>
  <dataFields count="1">
    <dataField name="Count of OrderID" fld="0" subtotal="count" baseField="13" baseItem="0"/>
  </dataFields>
  <formats count="1">
    <format dxfId="33">
      <pivotArea dataOnly="0" fieldPosition="0">
        <references count="1">
          <reference field="13" count="5">
            <x v="3"/>
            <x v="7"/>
            <x v="8"/>
            <x v="18"/>
            <x v="1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42F8182-45CE-4102-A04C-1A52C92B8913}" name="PivotTable22"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G1:M3" firstHeaderRow="1" firstDataRow="2" firstDataCol="1"/>
  <pivotFields count="10">
    <pivotField dataField="1" showAll="0"/>
    <pivotField showAll="0"/>
    <pivotField showAll="0"/>
    <pivotField showAll="0"/>
    <pivotField showAll="0"/>
    <pivotField showAll="0"/>
    <pivotField showAll="0"/>
    <pivotField showAll="0"/>
    <pivotField axis="axisCol" showAll="0" measureFilter="1" sortType="descending">
      <items count="22">
        <item x="20"/>
        <item x="6"/>
        <item x="3"/>
        <item x="2"/>
        <item x="16"/>
        <item x="17"/>
        <item x="10"/>
        <item x="0"/>
        <item x="1"/>
        <item x="14"/>
        <item x="11"/>
        <item x="7"/>
        <item x="19"/>
        <item x="18"/>
        <item x="15"/>
        <item x="12"/>
        <item x="9"/>
        <item x="4"/>
        <item x="13"/>
        <item x="8"/>
        <item x="5"/>
        <item t="default"/>
      </items>
      <autoSortScope>
        <pivotArea dataOnly="0" outline="0" fieldPosition="0">
          <references count="1">
            <reference field="4294967294" count="1" selected="0">
              <x v="0"/>
            </reference>
          </references>
        </pivotArea>
      </autoSortScope>
    </pivotField>
    <pivotField showAll="0"/>
  </pivotFields>
  <rowItems count="1">
    <i/>
  </rowItems>
  <colFields count="1">
    <field x="8"/>
  </colFields>
  <colItems count="6">
    <i>
      <x v="19"/>
    </i>
    <i>
      <x v="8"/>
    </i>
    <i>
      <x v="3"/>
    </i>
    <i>
      <x v="7"/>
    </i>
    <i>
      <x v="18"/>
    </i>
    <i t="grand">
      <x/>
    </i>
  </colItems>
  <dataFields count="1">
    <dataField name="Count of OrderID" fld="0" subtotal="count" baseField="8" baseItem="3"/>
  </dataFields>
  <formats count="2">
    <format dxfId="22">
      <pivotArea outline="0" collapsedLevelsAreSubtotals="1" fieldPosition="0"/>
    </format>
    <format dxfId="21">
      <pivotArea grandRow="1" outline="0" collapsedLevelsAreSubtotals="1" fieldPosition="0"/>
    </format>
  </formats>
  <pivotTableStyleInfo name="PivotStyleLight16" showRowHeaders="1" showColHeaders="1" showRowStripes="0" showColStripes="0" showLastColumn="1"/>
  <filters count="1">
    <filter fld="8"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1D75AC4-ABD1-431E-8118-F0059A6E6CE0}" name="PivotTable19"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13:J36" firstHeaderRow="1" firstDataRow="2" firstDataCol="1"/>
  <pivotFields count="10">
    <pivotField showAll="0"/>
    <pivotField showAll="0" measureFilter="1" sortType="descending">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axis="axisCol" showAll="0" sortType="descending">
      <items count="9">
        <item x="6"/>
        <item x="4"/>
        <item x="5"/>
        <item x="0"/>
        <item x="1"/>
        <item x="7"/>
        <item x="2"/>
        <item x="3"/>
        <item t="default"/>
      </items>
      <autoSortScope>
        <pivotArea dataOnly="0" outline="0" fieldPosition="0">
          <references count="1">
            <reference field="4294967294" count="1" selected="0">
              <x v="0"/>
            </reference>
          </references>
        </pivotArea>
      </autoSortScope>
    </pivotField>
    <pivotField showAll="0"/>
    <pivotField axis="axisRow" showAll="0" sortType="descending">
      <items count="22">
        <item x="20"/>
        <item x="6"/>
        <item x="3"/>
        <item x="2"/>
        <item x="16"/>
        <item x="17"/>
        <item x="10"/>
        <item x="0"/>
        <item x="1"/>
        <item x="14"/>
        <item x="11"/>
        <item x="7"/>
        <item x="19"/>
        <item x="18"/>
        <item x="15"/>
        <item x="12"/>
        <item x="9"/>
        <item x="4"/>
        <item x="13"/>
        <item x="8"/>
        <item x="5"/>
        <item t="default"/>
      </items>
      <autoSortScope>
        <pivotArea dataOnly="0" outline="0" fieldPosition="0">
          <references count="1">
            <reference field="4294967294" count="1" selected="0">
              <x v="0"/>
            </reference>
          </references>
        </pivotArea>
      </autoSortScope>
    </pivotField>
    <pivotField showAll="0"/>
  </pivotFields>
  <rowFields count="1">
    <field x="8"/>
  </rowFields>
  <rowItems count="22">
    <i>
      <x v="19"/>
    </i>
    <i>
      <x v="8"/>
    </i>
    <i>
      <x v="1"/>
    </i>
    <i>
      <x v="3"/>
    </i>
    <i>
      <x v="7"/>
    </i>
    <i>
      <x v="18"/>
    </i>
    <i>
      <x v="20"/>
    </i>
    <i>
      <x v="16"/>
    </i>
    <i>
      <x v="4"/>
    </i>
    <i>
      <x v="9"/>
    </i>
    <i>
      <x v="2"/>
    </i>
    <i>
      <x v="5"/>
    </i>
    <i>
      <x v="17"/>
    </i>
    <i>
      <x v="11"/>
    </i>
    <i>
      <x v="6"/>
    </i>
    <i>
      <x v="15"/>
    </i>
    <i>
      <x v="10"/>
    </i>
    <i>
      <x v="14"/>
    </i>
    <i>
      <x/>
    </i>
    <i>
      <x v="12"/>
    </i>
    <i>
      <x v="13"/>
    </i>
    <i t="grand">
      <x/>
    </i>
  </rowItems>
  <colFields count="1">
    <field x="6"/>
  </colFields>
  <colItems count="9">
    <i>
      <x/>
    </i>
    <i>
      <x v="3"/>
    </i>
    <i>
      <x v="2"/>
    </i>
    <i>
      <x v="5"/>
    </i>
    <i>
      <x v="7"/>
    </i>
    <i>
      <x v="1"/>
    </i>
    <i>
      <x v="6"/>
    </i>
    <i>
      <x v="4"/>
    </i>
    <i t="grand">
      <x/>
    </i>
  </colItems>
  <dataFields count="1">
    <dataField name="Sum of Order Value" fld="5" baseField="0" baseItem="0" numFmtId="164"/>
  </dataFields>
  <formats count="3">
    <format dxfId="25">
      <pivotArea outline="0" collapsedLevelsAreSubtotals="1" fieldPosition="0"/>
    </format>
    <format dxfId="24">
      <pivotArea grandRow="1" outline="0" collapsedLevelsAreSubtotals="1" fieldPosition="0"/>
    </format>
    <format dxfId="23">
      <pivotArea outline="0" fieldPosition="0">
        <references count="1">
          <reference field="4294967294" count="1">
            <x v="0"/>
          </reference>
        </references>
      </pivotArea>
    </format>
  </formats>
  <pivotTableStyleInfo name="PivotStyleLight16" showRowHeaders="1" showColHeaders="1" showRowStripes="0" showColStripes="0" showLastColumn="1"/>
  <filters count="1">
    <filter fld="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D16C296-1DAD-4FEF-AAB5-7834AD62D825}" name="PivotTable18"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D1:E12" firstHeaderRow="1" firstDataRow="1" firstDataCol="1"/>
  <pivotFields count="10">
    <pivotField showAll="0"/>
    <pivotField axis="axisRow" showAll="0" measureFilter="1" sortType="descending">
      <items count="78">
        <item x="52"/>
        <item x="18"/>
        <item x="57"/>
        <item x="62"/>
        <item x="25"/>
        <item x="63"/>
        <item x="32"/>
        <item x="71"/>
        <item x="76"/>
        <item x="41"/>
        <item x="0"/>
        <item x="36"/>
        <item x="43"/>
        <item x="3"/>
        <item x="50"/>
        <item x="19"/>
        <item x="35"/>
        <item x="59"/>
        <item x="49"/>
        <item x="9"/>
        <item x="27"/>
        <item x="7"/>
        <item x="70"/>
        <item x="15"/>
        <item x="66"/>
        <item x="68"/>
        <item x="24"/>
        <item x="44"/>
        <item x="39"/>
        <item x="34"/>
        <item x="12"/>
        <item x="26"/>
        <item x="10"/>
        <item x="53"/>
        <item x="31"/>
        <item x="20"/>
        <item x="28"/>
        <item x="67"/>
        <item x="13"/>
        <item x="37"/>
        <item x="5"/>
        <item x="1"/>
        <item x="40"/>
        <item x="45"/>
        <item x="73"/>
        <item x="54"/>
        <item x="69"/>
        <item x="74"/>
        <item x="14"/>
        <item x="72"/>
        <item x="4"/>
        <item x="65"/>
        <item x="22"/>
        <item x="55"/>
        <item x="16"/>
        <item x="33"/>
        <item x="8"/>
        <item x="64"/>
        <item x="21"/>
        <item x="11"/>
        <item x="75"/>
        <item x="29"/>
        <item x="46"/>
        <item x="58"/>
        <item x="6"/>
        <item x="61"/>
        <item x="51"/>
        <item x="56"/>
        <item x="60"/>
        <item x="30"/>
        <item x="42"/>
        <item x="2"/>
        <item x="47"/>
        <item x="17"/>
        <item x="48"/>
        <item x="38"/>
        <item x="23"/>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sortType="descending">
      <autoSortScope>
        <pivotArea dataOnly="0" outline="0" fieldPosition="0">
          <references count="1">
            <reference field="4294967294" count="1" selected="0">
              <x v="0"/>
            </reference>
          </references>
        </pivotArea>
      </autoSortScope>
    </pivotField>
    <pivotField showAll="0"/>
    <pivotField showAll="0"/>
    <pivotField showAll="0"/>
  </pivotFields>
  <rowFields count="1">
    <field x="1"/>
  </rowFields>
  <rowItems count="11">
    <i>
      <x v="37"/>
    </i>
    <i>
      <x v="28"/>
    </i>
    <i>
      <x v="58"/>
    </i>
    <i>
      <x v="61"/>
    </i>
    <i>
      <x v="59"/>
    </i>
    <i>
      <x v="55"/>
    </i>
    <i>
      <x v="50"/>
    </i>
    <i>
      <x v="16"/>
    </i>
    <i>
      <x v="17"/>
    </i>
    <i>
      <x v="27"/>
    </i>
    <i t="grand">
      <x/>
    </i>
  </rowItems>
  <colItems count="1">
    <i/>
  </colItems>
  <dataFields count="1">
    <dataField name="Sum of Order Value" fld="5" baseField="0" baseItem="0" numFmtId="164"/>
  </dataFields>
  <formats count="3">
    <format dxfId="28">
      <pivotArea outline="0" collapsedLevelsAreSubtotals="1" fieldPosition="0"/>
    </format>
    <format dxfId="27">
      <pivotArea grandRow="1" outline="0" collapsedLevelsAreSubtotals="1" fieldPosition="0"/>
    </format>
    <format dxfId="26">
      <pivotArea outline="0" fieldPosition="0">
        <references count="1">
          <reference field="4294967294" count="1">
            <x v="0"/>
          </reference>
        </references>
      </pivotArea>
    </format>
  </formats>
  <pivotTableStyleInfo name="PivotStyleLight16" showRowHeaders="1" showColHeaders="1" showRowStripes="0" showColStripes="0" showLastColumn="1"/>
  <filters count="1">
    <filter fld="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C12A09C-5220-49B8-93C7-619C93B9202B}" name="PivotTable17"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1:B10" firstHeaderRow="1" firstDataRow="1" firstDataCol="1"/>
  <pivotFields count="10">
    <pivotField showAll="0"/>
    <pivotField showAll="0"/>
    <pivotField showAll="0"/>
    <pivotField showAll="0"/>
    <pivotField showAll="0"/>
    <pivotField dataField="1" showAll="0"/>
    <pivotField axis="axisRow" showAll="0" sortType="descending">
      <items count="9">
        <item x="6"/>
        <item x="4"/>
        <item x="5"/>
        <item x="0"/>
        <item x="1"/>
        <item x="7"/>
        <item x="2"/>
        <item x="3"/>
        <item t="default"/>
      </items>
      <autoSortScope>
        <pivotArea dataOnly="0" outline="0" fieldPosition="0">
          <references count="1">
            <reference field="4294967294" count="1" selected="0">
              <x v="0"/>
            </reference>
          </references>
        </pivotArea>
      </autoSortScope>
    </pivotField>
    <pivotField showAll="0"/>
    <pivotField showAll="0"/>
    <pivotField showAll="0"/>
  </pivotFields>
  <rowFields count="1">
    <field x="6"/>
  </rowFields>
  <rowItems count="9">
    <i>
      <x/>
    </i>
    <i>
      <x v="3"/>
    </i>
    <i>
      <x v="2"/>
    </i>
    <i>
      <x v="5"/>
    </i>
    <i>
      <x v="7"/>
    </i>
    <i>
      <x v="1"/>
    </i>
    <i>
      <x v="6"/>
    </i>
    <i>
      <x v="4"/>
    </i>
    <i t="grand">
      <x/>
    </i>
  </rowItems>
  <colItems count="1">
    <i/>
  </colItems>
  <dataFields count="1">
    <dataField name="Sum of Order Value" fld="5" showDataAs="percentOfTotal" baseField="0" baseItem="0" numFmtId="10"/>
  </dataFields>
  <formats count="3">
    <format dxfId="31">
      <pivotArea outline="0" collapsedLevelsAreSubtotals="1" fieldPosition="0"/>
    </format>
    <format dxfId="30">
      <pivotArea grandRow="1" outline="0" collapsedLevelsAreSubtotals="1" fieldPosition="0"/>
    </format>
    <format dxfId="29">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9D2684E-7BE0-4455-86EF-A02313B784F5}" name="PivotTable23"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A1:C5" firstHeaderRow="0" firstDataRow="1" firstDataCol="1"/>
  <pivotFields count="7">
    <pivotField showAll="0"/>
    <pivotField dataField="1" showAll="0"/>
    <pivotField showAll="0"/>
    <pivotField showAll="0"/>
    <pivotField axis="axisRow" showAll="0">
      <items count="4">
        <item x="1"/>
        <item x="0"/>
        <item x="2"/>
        <item t="default"/>
      </items>
    </pivotField>
    <pivotField showAll="0"/>
    <pivotField showAll="0"/>
  </pivotFields>
  <rowFields count="1">
    <field x="4"/>
  </rowFields>
  <rowItems count="4">
    <i>
      <x/>
    </i>
    <i>
      <x v="1"/>
    </i>
    <i>
      <x v="2"/>
    </i>
    <i t="grand">
      <x/>
    </i>
  </rowItems>
  <colFields count="1">
    <field x="-2"/>
  </colFields>
  <colItems count="2">
    <i>
      <x/>
    </i>
    <i i="1">
      <x v="1"/>
    </i>
  </colItems>
  <dataFields count="2">
    <dataField name="Average Order Per Segment" fld="1" subtotal="average" baseField="4" baseItem="0" numFmtId="164"/>
    <dataField name="Total Orders Per Segment" fld="1" baseField="4" baseItem="0"/>
  </dataFields>
  <formats count="1">
    <format dxfId="20">
      <pivotArea outline="0" collapsedLevelsAreSubtotals="1" fieldPosition="0">
        <references count="1">
          <reference field="4294967294" count="1" selected="0">
            <x v="0"/>
          </reference>
        </references>
      </pivotArea>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D241A3-4CE1-456D-9BA8-075F04ACAA98}" name="PivotTable2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6:B11" firstHeaderRow="1" firstDataRow="1" firstDataCol="1"/>
  <pivotFields count="20">
    <pivotField dataField="1" showAll="0"/>
    <pivotField showAll="0"/>
    <pivotField showAll="0"/>
    <pivotField axis="axisRow" showAll="0">
      <items count="5">
        <item x="3"/>
        <item x="2"/>
        <item x="0"/>
        <item x="1"/>
        <item t="default"/>
      </items>
    </pivotField>
    <pivotField showAll="0"/>
    <pivotField numFmtId="14" showAll="0"/>
    <pivotField numFmtId="14"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7">
        <item x="0"/>
        <item x="1"/>
        <item x="2"/>
        <item x="3"/>
        <item x="4"/>
        <item x="5"/>
        <item t="default"/>
      </items>
    </pivotField>
    <pivotField showAll="0">
      <items count="6">
        <item x="0"/>
        <item x="1"/>
        <item x="2"/>
        <item x="3"/>
        <item x="4"/>
        <item t="default"/>
      </items>
    </pivotField>
  </pivotFields>
  <rowFields count="1">
    <field x="3"/>
  </rowFields>
  <rowItems count="5">
    <i>
      <x/>
    </i>
    <i>
      <x v="1"/>
    </i>
    <i>
      <x v="2"/>
    </i>
    <i>
      <x v="3"/>
    </i>
    <i t="grand">
      <x/>
    </i>
  </rowItems>
  <colItems count="1">
    <i/>
  </colItems>
  <dataFields count="1">
    <dataField name="Count of EmployeeID" fld="0" subtotal="count" baseField="1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E29DADF-D705-40A5-9C41-8FA4A943620B}" name="PivotTable2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1:B4" firstHeaderRow="1" firstDataRow="1" firstDataCol="1"/>
  <pivotFields count="20">
    <pivotField dataField="1" showAll="0"/>
    <pivotField showAll="0"/>
    <pivotField showAll="0"/>
    <pivotField showAll="0"/>
    <pivotField showAll="0"/>
    <pivotField numFmtId="14" showAll="0"/>
    <pivotField numFmtId="14" showAll="0">
      <items count="15">
        <item x="0"/>
        <item x="1"/>
        <item x="2"/>
        <item x="3"/>
        <item x="4"/>
        <item x="5"/>
        <item x="6"/>
        <item x="7"/>
        <item x="8"/>
        <item x="9"/>
        <item x="10"/>
        <item x="11"/>
        <item x="12"/>
        <item x="13"/>
        <item t="default"/>
      </items>
    </pivotField>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items count="7">
        <item x="0"/>
        <item x="1"/>
        <item x="2"/>
        <item x="3"/>
        <item x="4"/>
        <item x="5"/>
        <item t="default"/>
      </items>
    </pivotField>
    <pivotField showAll="0">
      <items count="6">
        <item x="0"/>
        <item x="1"/>
        <item x="2"/>
        <item x="3"/>
        <item x="4"/>
        <item t="default"/>
      </items>
    </pivotField>
  </pivotFields>
  <rowFields count="1">
    <field x="11"/>
  </rowFields>
  <rowItems count="3">
    <i>
      <x/>
    </i>
    <i>
      <x v="1"/>
    </i>
    <i t="grand">
      <x/>
    </i>
  </rowItems>
  <colItems count="1">
    <i/>
  </colItems>
  <dataFields count="1">
    <dataField name="Count of EmployeeID" fld="0" subtotal="count" baseField="1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54B7DC-BE34-4CF0-A0A8-00C9FDDB0B38}" name="PivotTable27" cacheId="0" applyNumberFormats="0" applyBorderFormats="0" applyFontFormats="0" applyPatternFormats="0" applyAlignmentFormats="0" applyWidthHeightFormats="1" dataCaption="Values" updatedVersion="7" minRefreshableVersion="3" useAutoFormatting="1" colGrandTotals="0" itemPrintTitles="1" createdVersion="7" indent="0" outline="1" outlineData="1" multipleFieldFilters="0">
  <location ref="A1:D7" firstHeaderRow="1" firstDataRow="2" firstDataCol="1"/>
  <pivotFields count="20">
    <pivotField dataField="1" showAll="0"/>
    <pivotField showAll="0"/>
    <pivotField showAll="0"/>
    <pivotField axis="axisRow" showAll="0">
      <items count="5">
        <item x="3"/>
        <item x="2"/>
        <item x="0"/>
        <item x="1"/>
        <item t="default"/>
      </items>
    </pivotField>
    <pivotField showAll="0"/>
    <pivotField numFmtId="14" showAll="0"/>
    <pivotField numFmtId="14"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7">
        <item sd="0" x="0"/>
        <item sd="0" x="1"/>
        <item sd="0" x="2"/>
        <item sd="0" x="3"/>
        <item sd="0" x="4"/>
        <item sd="0" x="5"/>
        <item t="default"/>
      </items>
    </pivotField>
    <pivotField axis="axisCol" showAll="0">
      <items count="6">
        <item sd="0" x="0"/>
        <item sd="0" x="1"/>
        <item sd="0" x="2"/>
        <item sd="0" x="3"/>
        <item sd="0" x="4"/>
        <item t="default"/>
      </items>
    </pivotField>
  </pivotFields>
  <rowFields count="1">
    <field x="3"/>
  </rowFields>
  <rowItems count="5">
    <i>
      <x/>
    </i>
    <i>
      <x v="1"/>
    </i>
    <i>
      <x v="2"/>
    </i>
    <i>
      <x v="3"/>
    </i>
    <i t="grand">
      <x/>
    </i>
  </rowItems>
  <colFields count="1">
    <field x="19"/>
  </colFields>
  <colItems count="3">
    <i>
      <x v="1"/>
    </i>
    <i>
      <x v="2"/>
    </i>
    <i>
      <x v="3"/>
    </i>
  </colItems>
  <dataFields count="1">
    <dataField name="Count of EmployeeID" fld="0" subtotal="count" baseField="3"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3FC1574-1EC1-405C-B2C2-AF7682A767D5}" name="PivotTable29"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8:B13" firstHeaderRow="1" firstDataRow="1" firstDataCol="1"/>
  <pivotFields count="20">
    <pivotField dataField="1" showAll="0"/>
    <pivotField showAll="0"/>
    <pivotField showAll="0"/>
    <pivotField showAll="0"/>
    <pivotField axis="axisRow" showAll="0">
      <items count="5">
        <item x="1"/>
        <item x="3"/>
        <item x="2"/>
        <item x="0"/>
        <item t="default"/>
      </items>
    </pivotField>
    <pivotField numFmtId="14" showAll="0"/>
    <pivotField numFmtId="14"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7">
        <item x="0"/>
        <item x="1"/>
        <item x="2"/>
        <item x="3"/>
        <item x="4"/>
        <item x="5"/>
        <item t="default"/>
      </items>
    </pivotField>
    <pivotField showAll="0">
      <items count="6">
        <item x="0"/>
        <item x="1"/>
        <item x="2"/>
        <item x="3"/>
        <item x="4"/>
        <item t="default"/>
      </items>
    </pivotField>
  </pivotFields>
  <rowFields count="1">
    <field x="4"/>
  </rowFields>
  <rowItems count="5">
    <i>
      <x/>
    </i>
    <i>
      <x v="1"/>
    </i>
    <i>
      <x v="2"/>
    </i>
    <i>
      <x v="3"/>
    </i>
    <i t="grand">
      <x/>
    </i>
  </rowItems>
  <colItems count="1">
    <i/>
  </colItems>
  <dataFields count="1">
    <dataField name="Count of EmployeeID" fld="0" subtotal="count" baseField="1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B24AB2D-3B6F-453F-9DD0-055079B614FB}" name="PivotTable28"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1:B6" firstHeaderRow="1" firstDataRow="1" firstDataCol="1"/>
  <pivotFields count="20">
    <pivotField dataField="1" showAll="0"/>
    <pivotField showAll="0"/>
    <pivotField showAll="0"/>
    <pivotField axis="axisRow" showAll="0">
      <items count="5">
        <item x="3"/>
        <item x="2"/>
        <item x="0"/>
        <item x="1"/>
        <item t="default"/>
      </items>
    </pivotField>
    <pivotField showAll="0"/>
    <pivotField numFmtId="14" showAll="0"/>
    <pivotField numFmtId="14"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7">
        <item x="0"/>
        <item x="1"/>
        <item x="2"/>
        <item x="3"/>
        <item x="4"/>
        <item x="5"/>
        <item t="default"/>
      </items>
    </pivotField>
    <pivotField showAll="0">
      <items count="6">
        <item x="0"/>
        <item x="1"/>
        <item x="2"/>
        <item x="3"/>
        <item x="4"/>
        <item t="default"/>
      </items>
    </pivotField>
  </pivotFields>
  <rowFields count="1">
    <field x="3"/>
  </rowFields>
  <rowItems count="5">
    <i>
      <x/>
    </i>
    <i>
      <x v="1"/>
    </i>
    <i>
      <x v="2"/>
    </i>
    <i>
      <x v="3"/>
    </i>
    <i t="grand">
      <x/>
    </i>
  </rowItems>
  <colItems count="1">
    <i/>
  </colItems>
  <dataFields count="1">
    <dataField name="Count of EmployeeID" fld="0" subtotal="count" baseField="1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732A6FA-F536-467D-8E5A-1224F27815F0}" name="PivotTable5"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A1:B14" firstHeaderRow="1" firstDataRow="1" firstDataCol="1"/>
  <pivotFields count="10">
    <pivotField showAll="0"/>
    <pivotField showAll="0"/>
    <pivotField showAll="0"/>
    <pivotField dataField="1" showAll="0"/>
    <pivotField showAll="0"/>
    <pivotField showAll="0"/>
    <pivotField showAll="0"/>
    <pivotField showAll="0"/>
    <pivotField showAll="0"/>
    <pivotField axis="axisRow" showAll="0">
      <items count="13">
        <item x="5"/>
        <item x="6"/>
        <item x="7"/>
        <item x="8"/>
        <item x="9"/>
        <item x="10"/>
        <item x="11"/>
        <item x="0"/>
        <item x="1"/>
        <item x="2"/>
        <item x="3"/>
        <item x="4"/>
        <item t="default"/>
      </items>
    </pivotField>
  </pivotFields>
  <rowFields count="1">
    <field x="9"/>
  </rowFields>
  <rowItems count="13">
    <i>
      <x/>
    </i>
    <i>
      <x v="1"/>
    </i>
    <i>
      <x v="2"/>
    </i>
    <i>
      <x v="3"/>
    </i>
    <i>
      <x v="4"/>
    </i>
    <i>
      <x v="5"/>
    </i>
    <i>
      <x v="6"/>
    </i>
    <i>
      <x v="7"/>
    </i>
    <i>
      <x v="8"/>
    </i>
    <i>
      <x v="9"/>
    </i>
    <i>
      <x v="10"/>
    </i>
    <i>
      <x v="11"/>
    </i>
    <i t="grand">
      <x/>
    </i>
  </rowItems>
  <colItems count="1">
    <i/>
  </colItems>
  <dataFields count="1">
    <dataField name="Sum of Quantity" fld="3"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4" connectionId="4" xr16:uid="{C0C46F49-6150-42AD-9866-D0D0C03548E0}" autoFormatId="16" applyNumberFormats="0" applyBorderFormats="0" applyFontFormats="0" applyPatternFormats="0" applyAlignmentFormats="0" applyWidthHeightFormats="0">
  <queryTableRefresh nextId="11" unboundColumnsRight="4">
    <queryTableFields count="10">
      <queryTableField id="1" name="OrderID" tableColumnId="1"/>
      <queryTableField id="2" name="ProductID" tableColumnId="2"/>
      <queryTableField id="3" name="UnitPrice" tableColumnId="3"/>
      <queryTableField id="4" name="Quantity" tableColumnId="4"/>
      <queryTableField id="5" name="Discount" tableColumnId="5"/>
      <queryTableField id="6" name="Order Value" tableColumnId="6"/>
      <queryTableField id="7" dataBound="0" tableColumnId="7"/>
      <queryTableField id="8" dataBound="0" tableColumnId="8"/>
      <queryTableField id="9" dataBound="0" tableColumnId="9"/>
      <queryTableField id="10" dataBound="0" tableColumnId="1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2" xr16:uid="{5B2F8AFB-736E-465B-8852-F006A8E811B0}" autoFormatId="16" applyNumberFormats="0" applyBorderFormats="0" applyFontFormats="0" applyPatternFormats="0" applyAlignmentFormats="0" applyWidthHeightFormats="0">
  <queryTableRefresh nextId="25">
    <queryTableFields count="11">
      <queryTableField id="14" name="CustomerID" tableColumnId="14"/>
      <queryTableField id="15" name="CompanyName" tableColumnId="15"/>
      <queryTableField id="16" name="ContactName" tableColumnId="16"/>
      <queryTableField id="17" name="ContactTitle" tableColumnId="17"/>
      <queryTableField id="18" name="Address" tableColumnId="18"/>
      <queryTableField id="19" name="City" tableColumnId="19"/>
      <queryTableField id="20" name="Region" tableColumnId="20"/>
      <queryTableField id="21" name="PostalCode" tableColumnId="21"/>
      <queryTableField id="22" name="Country" tableColumnId="22"/>
      <queryTableField id="23" name="Phone" tableColumnId="23"/>
      <queryTableField id="24" name="Fax" tableColumnId="2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5" connectionId="5" xr16:uid="{B7804A9B-EF49-4FE4-B852-67CB30EE1AFB}" autoFormatId="16" applyNumberFormats="0" applyBorderFormats="0" applyFontFormats="0" applyPatternFormats="0" applyAlignmentFormats="0" applyWidthHeightFormats="0">
  <queryTableRefresh nextId="16" unboundColumnsRight="1">
    <queryTableFields count="15">
      <queryTableField id="1" name="OrderID" tableColumnId="1"/>
      <queryTableField id="2" name="CustomerID" tableColumnId="2"/>
      <queryTableField id="3" name="EmployeeID" tableColumnId="3"/>
      <queryTableField id="4" name="OrderDate" tableColumnId="4"/>
      <queryTableField id="5" name="RequiredDate" tableColumnId="5"/>
      <queryTableField id="6" name="ShippedDate" tableColumnId="6"/>
      <queryTableField id="7" name="ShipVia" tableColumnId="7"/>
      <queryTableField id="8" name="Freight" tableColumnId="8"/>
      <queryTableField id="9" name="ShipName" tableColumnId="9"/>
      <queryTableField id="10" name="ShipAddress" tableColumnId="10"/>
      <queryTableField id="11" name="ShipCity" tableColumnId="11"/>
      <queryTableField id="12" name="ShipRegion" tableColumnId="12"/>
      <queryTableField id="13" name="ShipPostalCode" tableColumnId="13"/>
      <queryTableField id="14" name="ShipCountry" tableColumnId="14"/>
      <queryTableField id="15" dataBound="0" tableColumnId="15"/>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6" connectionId="6" xr16:uid="{12EAB760-99F4-4A62-B1A2-666CD1173E26}" autoFormatId="16" applyNumberFormats="0" applyBorderFormats="0" applyFontFormats="0" applyPatternFormats="0" applyAlignmentFormats="0" applyWidthHeightFormats="0">
  <queryTableRefresh nextId="12" unboundColumnsRight="1">
    <queryTableFields count="11">
      <queryTableField id="1" name="ProductID" tableColumnId="1"/>
      <queryTableField id="2" name="ProductName" tableColumnId="2"/>
      <queryTableField id="3" name="SupplierID" tableColumnId="3"/>
      <queryTableField id="4" name="CategoryID" tableColumnId="4"/>
      <queryTableField id="5" name="QuantityPerUnit" tableColumnId="5"/>
      <queryTableField id="6" name="UnitPrice" tableColumnId="6"/>
      <queryTableField id="7" name="UnitsInStock" tableColumnId="7"/>
      <queryTableField id="8" name="UnitsOnOrder" tableColumnId="8"/>
      <queryTableField id="9" name="ReorderLevel" tableColumnId="9"/>
      <queryTableField id="10" name="Discontinued" tableColumnId="10"/>
      <queryTableField id="11" dataBound="0" tableColumnId="11"/>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3" connectionId="3" xr16:uid="{FD4972D6-EBBF-457E-B805-BCF748FFFE90}" autoFormatId="16" applyNumberFormats="0" applyBorderFormats="0" applyFontFormats="0" applyPatternFormats="0" applyAlignmentFormats="0" applyWidthHeightFormats="0">
  <queryTableRefresh nextId="20" unboundColumnsRight="1">
    <queryTableFields count="18">
      <queryTableField id="1" name="EmployeeID" tableColumnId="1"/>
      <queryTableField id="2" name="LastName" tableColumnId="2"/>
      <queryTableField id="3" name="FirstName" tableColumnId="3"/>
      <queryTableField id="4" name="Title" tableColumnId="4"/>
      <queryTableField id="5" name="TitleOfCourtesy" tableColumnId="5"/>
      <queryTableField id="6" name="BirthDate" tableColumnId="6"/>
      <queryTableField id="7" name="HireDate" tableColumnId="7"/>
      <queryTableField id="8" name="Address" tableColumnId="8"/>
      <queryTableField id="9" name="City" tableColumnId="9"/>
      <queryTableField id="10" name="Region" tableColumnId="10"/>
      <queryTableField id="11" name="PostalCode" tableColumnId="11"/>
      <queryTableField id="12" name="Country" tableColumnId="12"/>
      <queryTableField id="13" name="HomePhone" tableColumnId="13"/>
      <queryTableField id="14" name="Extension" tableColumnId="14"/>
      <queryTableField id="16" name="Notes" tableColumnId="16"/>
      <queryTableField id="17" name="ReportsTo" tableColumnId="17"/>
      <queryTableField id="18" name="Tenure YEAR" tableColumnId="18"/>
      <queryTableField id="19" dataBound="0" tableColumnId="15"/>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8" connectionId="10" xr16:uid="{B5D9B672-4F82-4083-BFE0-2D2648FF7ABE}" autoFormatId="16" applyNumberFormats="0" applyBorderFormats="0" applyFontFormats="0" applyPatternFormats="0" applyAlignmentFormats="0" applyWidthHeightFormats="0">
  <queryTableRefresh nextId="13">
    <queryTableFields count="11">
      <queryTableField id="1" name="SupplierID" tableColumnId="1"/>
      <queryTableField id="2" name="CompanyName" tableColumnId="2"/>
      <queryTableField id="3" name="ContactName" tableColumnId="3"/>
      <queryTableField id="4" name="ContactTitle" tableColumnId="4"/>
      <queryTableField id="5" name="Address" tableColumnId="5"/>
      <queryTableField id="6" name="City" tableColumnId="6"/>
      <queryTableField id="7" name="Region" tableColumnId="7"/>
      <queryTableField id="8" name="PostalCode" tableColumnId="8"/>
      <queryTableField id="9" name="Country" tableColumnId="9"/>
      <queryTableField id="10" name="Phone" tableColumnId="10"/>
      <queryTableField id="11" name="Fax" tableColumnId="11"/>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connectionId="1" xr16:uid="{E04186D1-F287-4657-A60A-93018AB6E01F}" autoFormatId="16" applyNumberFormats="0" applyBorderFormats="0" applyFontFormats="0" applyPatternFormats="0" applyAlignmentFormats="0" applyWidthHeightFormats="0">
  <queryTableRefresh nextId="5">
    <queryTableFields count="3">
      <queryTableField id="1" name="CategoryID" tableColumnId="1"/>
      <queryTableField id="2" name="CategoryName" tableColumnId="2"/>
      <queryTableField id="3" name="Description" tableColumnId="3"/>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7" connectionId="9" xr16:uid="{6B6F5517-D5F3-46B6-BCE5-0F33AF8D7CD6}" autoFormatId="16" applyNumberFormats="0" applyBorderFormats="0" applyFontFormats="0" applyPatternFormats="0" applyAlignmentFormats="0" applyWidthHeightFormats="0">
  <queryTableRefresh nextId="4">
    <queryTableFields count="3">
      <queryTableField id="1" name="ShipperID" tableColumnId="1"/>
      <queryTableField id="2" name="CompanyName" tableColumnId="2"/>
      <queryTableField id="3" name="Phone" tableColumnId="3"/>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6" connectionId="7" xr16:uid="{25C46A2C-DC0A-4F8A-A3CC-560790F4C05F}" autoFormatId="16" applyNumberFormats="0" applyBorderFormats="0" applyFontFormats="0" applyPatternFormats="0" applyAlignmentFormats="0" applyWidthHeightFormats="0">
  <queryTableRefresh nextId="25" unboundColumnsRight="1">
    <queryTableFields count="5">
      <queryTableField id="1" name="ProductID" tableColumnId="1"/>
      <queryTableField id="6" name="UnitPrice" tableColumnId="6"/>
      <queryTableField id="7" name="UnitsInStock" tableColumnId="7"/>
      <queryTableField id="8" name="UnitsOnOrder" tableColumnId="8"/>
      <queryTableField id="11" dataBound="0" tableColumnId="11"/>
    </queryTableFields>
    <queryTableDeletedFields count="12">
      <deletedField name="ProductName"/>
      <deletedField name="SupplierID"/>
      <deletedField name="CategoryID"/>
      <deletedField name="QuantityPerUnit"/>
      <deletedField name="ReorderLevel"/>
      <deletedField name="Discontinued"/>
      <deletedField name="ProductName"/>
      <deletedField name="SupplierID"/>
      <deletedField name="CategoryID"/>
      <deletedField name="QuantityPerUnit"/>
      <deletedField name="ReorderLevel"/>
      <deletedField name="Discontinued"/>
    </queryTableDeleted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6" connectionId="8" xr16:uid="{309F7C05-A55D-447B-A55A-EB65572FD5B8}" autoFormatId="16" applyNumberFormats="0" applyBorderFormats="0" applyFontFormats="0" applyPatternFormats="0" applyAlignmentFormats="0" applyWidthHeightFormats="0">
  <queryTableRefresh nextId="25" unboundColumnsRight="1">
    <queryTableFields count="5">
      <queryTableField id="1" name="ProductID" tableColumnId="1"/>
      <queryTableField id="6" name="UnitPrice" tableColumnId="6"/>
      <queryTableField id="7" name="UnitsInStock" tableColumnId="7"/>
      <queryTableField id="8" name="UnitsOnOrder" tableColumnId="8"/>
      <queryTableField id="11" dataBound="0" tableColumnId="11"/>
    </queryTableFields>
    <queryTableDeletedFields count="12">
      <deletedField name="ProductName"/>
      <deletedField name="SupplierID"/>
      <deletedField name="CategoryID"/>
      <deletedField name="QuantityPerUnit"/>
      <deletedField name="ReorderLevel"/>
      <deletedField name="Discontinued"/>
      <deletedField name="ProductName"/>
      <deletedField name="SupplierID"/>
      <deletedField name="CategoryID"/>
      <deletedField name="QuantityPerUnit"/>
      <deletedField name="ReorderLevel"/>
      <deletedField name="Discontinued"/>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Date" xr10:uid="{17EBF39F-79FF-4976-A683-AA6B08110BE0}" sourceName="OrderDate">
  <pivotTables>
    <pivotTable tabId="16" name="Cities generate the most orders"/>
  </pivotTables>
  <data>
    <tabular pivotCacheId="627783760">
      <items count="14">
        <i x="1" s="1"/>
        <i x="2" s="1"/>
        <i x="3" s="1"/>
        <i x="4" s="1"/>
        <i x="5" s="1"/>
        <i x="6" s="1"/>
        <i x="7" s="1"/>
        <i x="8" s="1"/>
        <i x="9" s="1"/>
        <i x="10" s="1"/>
        <i x="11" s="1"/>
        <i x="12" s="1"/>
        <i x="0" s="1" nd="1"/>
        <i x="1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Date" xr10:uid="{ABA86C1A-5887-4698-A177-1BF24BB27F2D}" cache="Slicer_OrderDate" caption="OrderDate"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D04B18E-EC2B-493F-8C03-BC977C6EE785}" name="order_details" displayName="order_details" ref="A1:J2156" tableType="queryTable" totalsRowShown="0">
  <autoFilter ref="A1:J2156" xr:uid="{4D04B18E-EC2B-493F-8C03-BC977C6EE785}"/>
  <tableColumns count="10">
    <tableColumn id="1" xr3:uid="{5355FE96-1B89-4D92-8E4F-CD6F47A337EF}" uniqueName="1" name="OrderID" queryTableFieldId="1"/>
    <tableColumn id="2" xr3:uid="{D9043485-1C83-46D7-8990-2C44DF9489CC}" uniqueName="2" name="ProductID" queryTableFieldId="2"/>
    <tableColumn id="3" xr3:uid="{891D882D-005D-476B-88A0-A0FB2DBD5A7D}" uniqueName="3" name="UnitPrice" queryTableFieldId="3"/>
    <tableColumn id="4" xr3:uid="{2B6ADA79-74F7-44F6-AB6F-BBE40A956CB7}" uniqueName="4" name="Quantity" queryTableFieldId="4"/>
    <tableColumn id="5" xr3:uid="{8E4C4C77-ACF9-42D0-853C-F77E1640BA96}" uniqueName="5" name="Discount" queryTableFieldId="5"/>
    <tableColumn id="6" xr3:uid="{FCD93A4F-B26E-455E-946A-03A6DF908DB6}" uniqueName="6" name="Order Value" queryTableFieldId="6"/>
    <tableColumn id="7" xr3:uid="{52AA9FF7-F804-444B-B6FE-8C6F18B9B669}" uniqueName="7" name="Category Name" queryTableFieldId="7" dataDxfId="90">
      <calculatedColumnFormula>VLOOKUP(VLOOKUP(order_details[[#This Row],[ProductID]], products[], 4, FALSE), categories[], 2, FALSE)</calculatedColumnFormula>
    </tableColumn>
    <tableColumn id="8" xr3:uid="{4D26ABC3-1ABA-4089-8B99-BC6F2C03F303}" uniqueName="8" name="Category ID" queryTableFieldId="8" dataDxfId="89">
      <calculatedColumnFormula>VLOOKUP(order_details[[#This Row],[ProductID]], products[], 4, FALSE)</calculatedColumnFormula>
    </tableColumn>
    <tableColumn id="9" xr3:uid="{6F5165F7-AD05-4857-AB45-19DCEE5F269C}" uniqueName="9" name="ShipCountry" queryTableFieldId="9" dataDxfId="88">
      <calculatedColumnFormula>VLOOKUP(order_details[[#This Row],[OrderID]], orders[[OrderID]:[ShipCountry]], 14, FALSE)</calculatedColumnFormula>
    </tableColumn>
    <tableColumn id="10" xr3:uid="{42C2F7BF-3E7A-4C41-816A-60AC686971BA}" uniqueName="10" name="Month" queryTableFieldId="10" dataDxfId="87">
      <calculatedColumnFormula>_xlfn.XLOOKUP(order_details[[#This Row],[OrderID]], orders[OrderID], orders[Month])</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C0054D3-3AA7-4BC5-8557-098897C68004}" name="customers" displayName="customers" ref="A1:K92" tableType="queryTable" totalsRowShown="0">
  <autoFilter ref="A1:K92" xr:uid="{7C0054D3-3AA7-4BC5-8557-098897C68004}"/>
  <tableColumns count="11">
    <tableColumn id="14" xr3:uid="{07A6A01E-CD9A-4D3B-8C39-0077DA573B55}" uniqueName="14" name="CustomerID" queryTableFieldId="14" dataDxfId="86"/>
    <tableColumn id="15" xr3:uid="{EC124217-0AB0-4E11-B7FE-4E9713956CDE}" uniqueName="15" name="CompanyName" queryTableFieldId="15" dataDxfId="85"/>
    <tableColumn id="16" xr3:uid="{B3EB2237-0304-48A7-A805-32CE522F7CCD}" uniqueName="16" name="ContactName" queryTableFieldId="16" dataDxfId="84"/>
    <tableColumn id="17" xr3:uid="{D62A402D-E51F-46BB-A093-194025E7C457}" uniqueName="17" name="ContactTitle" queryTableFieldId="17" dataDxfId="83"/>
    <tableColumn id="18" xr3:uid="{BC565FB9-C952-4259-B5FF-373DF00C83E0}" uniqueName="18" name="Address" queryTableFieldId="18" dataDxfId="82"/>
    <tableColumn id="19" xr3:uid="{B8569110-CFA5-4C54-9FA7-3ECDE25F51CB}" uniqueName="19" name="City" queryTableFieldId="19" dataDxfId="81"/>
    <tableColumn id="20" xr3:uid="{E9E8670C-D476-47EA-A7F6-D7AE9D26D88F}" uniqueName="20" name="Region" queryTableFieldId="20" dataDxfId="80"/>
    <tableColumn id="21" xr3:uid="{AC28AAA3-6860-47FF-933F-37DBE0F58542}" uniqueName="21" name="PostalCode" queryTableFieldId="21" dataDxfId="79"/>
    <tableColumn id="22" xr3:uid="{4365387E-1F9E-427B-AC4F-AA0A9AECAA8F}" uniqueName="22" name="Country" queryTableFieldId="22" dataDxfId="78"/>
    <tableColumn id="23" xr3:uid="{844A1F67-B038-48B1-8EFC-8FA7E1BE89F5}" uniqueName="23" name="Phone" queryTableFieldId="23" dataDxfId="77"/>
    <tableColumn id="24" xr3:uid="{304A398C-1346-4D59-B4A1-6A0CCED3BCA6}" uniqueName="24" name="Fax" queryTableFieldId="24" dataDxfId="7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1AB50CA-774B-4CA5-984B-827DF2F9DB4C}" name="orders" displayName="orders" ref="A1:O831" tableType="queryTable" totalsRowShown="0">
  <autoFilter ref="A1:O831" xr:uid="{31AB50CA-774B-4CA5-984B-827DF2F9DB4C}"/>
  <tableColumns count="15">
    <tableColumn id="1" xr3:uid="{E5BF6744-686E-4585-B994-736391AB0E09}" uniqueName="1" name="OrderID" queryTableFieldId="1"/>
    <tableColumn id="2" xr3:uid="{708E9A0E-BE31-49CD-8F3C-485A749460CE}" uniqueName="2" name="CustomerID" queryTableFieldId="2" dataDxfId="75"/>
    <tableColumn id="3" xr3:uid="{3AF172A5-70D6-446B-A171-66246E328837}" uniqueName="3" name="EmployeeID" queryTableFieldId="3"/>
    <tableColumn id="4" xr3:uid="{BF93ECA3-7644-418A-9C0F-89724D59390E}" uniqueName="4" name="OrderDate" queryTableFieldId="4" dataDxfId="74"/>
    <tableColumn id="5" xr3:uid="{F990B9B5-9963-42F4-94EC-E1F0F1EA5EB8}" uniqueName="5" name="RequiredDate" queryTableFieldId="5" dataDxfId="73"/>
    <tableColumn id="6" xr3:uid="{0D112169-FCB1-4EBF-87A3-61BB91FF4FF9}" uniqueName="6" name="ShippedDate" queryTableFieldId="6" dataDxfId="72"/>
    <tableColumn id="7" xr3:uid="{5A46DE1A-D182-4BA9-8A6A-1083F030C20A}" uniqueName="7" name="ShipVia" queryTableFieldId="7"/>
    <tableColumn id="8" xr3:uid="{54D1594D-46CE-413C-9060-16E90E789233}" uniqueName="8" name="Freight" queryTableFieldId="8"/>
    <tableColumn id="9" xr3:uid="{3388A5E6-195A-4F4A-B11F-515F25F936FA}" uniqueName="9" name="ShipName" queryTableFieldId="9" dataDxfId="71"/>
    <tableColumn id="10" xr3:uid="{47FB0F43-15AB-486A-BCA2-33B4AAFECB5C}" uniqueName="10" name="ShipAddress" queryTableFieldId="10" dataDxfId="70"/>
    <tableColumn id="11" xr3:uid="{2BE437BE-69F4-4EEC-9374-A36695B7E1DF}" uniqueName="11" name="ShipCity" queryTableFieldId="11" dataDxfId="69"/>
    <tableColumn id="12" xr3:uid="{3C06C2F1-CD6C-4F0B-B9F7-2A4F45989D4E}" uniqueName="12" name="ShipRegion" queryTableFieldId="12" dataDxfId="68"/>
    <tableColumn id="13" xr3:uid="{3AC74381-DB4F-4681-945C-C2129C011961}" uniqueName="13" name="ShipPostalCode" queryTableFieldId="13" dataDxfId="67"/>
    <tableColumn id="14" xr3:uid="{34CF99DE-7600-4098-A43C-B7C160101360}" uniqueName="14" name="ShipCountry" queryTableFieldId="14" dataDxfId="66"/>
    <tableColumn id="15" xr3:uid="{F9DF0526-9265-43F8-B8A9-D67AB9F0DF6B}" uniqueName="15" name="Month" queryTableFieldId="15" dataDxfId="65">
      <calculatedColumnFormula>MONTH(orders[[#This Row],[OrderDate]])</calculatedColumnFormula>
    </tableColumn>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18E0C90-29F5-4E9B-B512-A10570236163}" name="products" displayName="products" ref="A1:K78" tableType="queryTable" totalsRowShown="0">
  <autoFilter ref="A1:K78" xr:uid="{E18E0C90-29F5-4E9B-B512-A10570236163}"/>
  <tableColumns count="11">
    <tableColumn id="1" xr3:uid="{A8810721-9C32-4391-BEDD-5EB606D2BF40}" uniqueName="1" name="ProductID" queryTableFieldId="1"/>
    <tableColumn id="2" xr3:uid="{F9CA1A7D-DC52-4A62-BC17-B2E9CF2812C1}" uniqueName="2" name="ProductName" queryTableFieldId="2" dataDxfId="64"/>
    <tableColumn id="3" xr3:uid="{8F09D60F-3402-4399-A5A4-B6ECEBFAD4F5}" uniqueName="3" name="SupplierID" queryTableFieldId="3"/>
    <tableColumn id="4" xr3:uid="{7894FD1D-4EE9-429A-A357-CE72D2495B4C}" uniqueName="4" name="CategoryID" queryTableFieldId="4"/>
    <tableColumn id="5" xr3:uid="{E449D705-9BA2-4C9F-B03D-7BD60B155504}" uniqueName="5" name="QuantityPerUnit" queryTableFieldId="5" dataDxfId="63"/>
    <tableColumn id="6" xr3:uid="{38104ACE-6084-4731-8C58-D56AFF1F007B}" uniqueName="6" name="UnitPrice" queryTableFieldId="6"/>
    <tableColumn id="7" xr3:uid="{A02FA6C4-ECC2-4E6C-A2AA-14051375A325}" uniqueName="7" name="UnitsInStock" queryTableFieldId="7"/>
    <tableColumn id="8" xr3:uid="{0EDAA1F7-26AC-4D0F-8639-DD0624E78D72}" uniqueName="8" name="UnitsOnOrder" queryTableFieldId="8"/>
    <tableColumn id="9" xr3:uid="{CBAFD993-E5B8-4CB3-ABDF-D238A1A67897}" uniqueName="9" name="ReorderLevel" queryTableFieldId="9"/>
    <tableColumn id="10" xr3:uid="{9AD53973-6694-4E03-AB54-8E8DC5565EC1}" uniqueName="10" name="Discontinued" queryTableFieldId="10"/>
    <tableColumn id="11" xr3:uid="{47516B56-11B2-4506-85EE-1DDF57410313}" uniqueName="11" name="TotalSalesPerOrder" queryTableFieldId="11" dataDxfId="62">
      <calculatedColumnFormula>SUMIFS(order_details[Order Value], order_details[ProductID], A2)</calculatedColumnFormula>
    </tableColumn>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E2E9324-7DC6-497D-9E61-E8FE3CAC1B1D}" name="employees" displayName="employees" ref="A1:R10" tableType="queryTable" totalsRowShown="0">
  <autoFilter ref="A1:R10" xr:uid="{BE2E9324-7DC6-497D-9E61-E8FE3CAC1B1D}"/>
  <tableColumns count="18">
    <tableColumn id="1" xr3:uid="{8BC04666-73F6-444E-A445-C798328C2ABD}" uniqueName="1" name="EmployeeID" queryTableFieldId="1"/>
    <tableColumn id="2" xr3:uid="{BD3734AD-4ED7-420B-9128-9E7FFC450437}" uniqueName="2" name="LastName" queryTableFieldId="2" dataDxfId="61"/>
    <tableColumn id="3" xr3:uid="{A6E72E79-7B2D-4537-A295-72839F3E45E3}" uniqueName="3" name="FirstName" queryTableFieldId="3" dataDxfId="60"/>
    <tableColumn id="4" xr3:uid="{6CF21FF1-92F9-41AB-8EF5-9E772884FC0B}" uniqueName="4" name="Title" queryTableFieldId="4" dataDxfId="59"/>
    <tableColumn id="5" xr3:uid="{07691407-311A-4627-BB9E-7EF487C9BE05}" uniqueName="5" name="TitleOfCourtesy" queryTableFieldId="5" dataDxfId="58"/>
    <tableColumn id="6" xr3:uid="{222BA0A9-3D40-4A49-9444-13EC2DB02BA1}" uniqueName="6" name="BirthDate" queryTableFieldId="6" dataDxfId="57"/>
    <tableColumn id="7" xr3:uid="{0D0A05C8-ED73-47F5-B887-B501785B50FF}" uniqueName="7" name="HireDate" queryTableFieldId="7" dataDxfId="56"/>
    <tableColumn id="8" xr3:uid="{32408E94-9985-4A6A-B789-E6040972627D}" uniqueName="8" name="Address" queryTableFieldId="8" dataDxfId="55"/>
    <tableColumn id="9" xr3:uid="{D1945689-0F33-4D8A-9337-32D46DFBDDF8}" uniqueName="9" name="City" queryTableFieldId="9" dataDxfId="54"/>
    <tableColumn id="10" xr3:uid="{B8B895E6-B090-4BC7-A032-B02CB18B2D81}" uniqueName="10" name="Region" queryTableFieldId="10" dataDxfId="53"/>
    <tableColumn id="11" xr3:uid="{C12279AC-E775-4EF3-9B41-7E47C1FA62E0}" uniqueName="11" name="PostalCode" queryTableFieldId="11" dataDxfId="52"/>
    <tableColumn id="12" xr3:uid="{7617836B-4730-4950-B1BE-3587ACB7A5DE}" uniqueName="12" name="Country" queryTableFieldId="12" dataDxfId="51"/>
    <tableColumn id="13" xr3:uid="{A455DE98-6AE3-4191-816C-F30333D312F9}" uniqueName="13" name="HomePhone" queryTableFieldId="13" dataDxfId="50"/>
    <tableColumn id="14" xr3:uid="{408F0D12-00E1-4FAB-B842-5FE52E819692}" uniqueName="14" name="Extension" queryTableFieldId="14"/>
    <tableColumn id="16" xr3:uid="{164B82AA-ACD3-4276-AAE1-976B3B2C9CA1}" uniqueName="16" name="Notes" queryTableFieldId="16" dataDxfId="49"/>
    <tableColumn id="17" xr3:uid="{CE6A30B9-766C-4F6C-80E4-F6693AF4B207}" uniqueName="17" name="ReportsTo" queryTableFieldId="17"/>
    <tableColumn id="18" xr3:uid="{6691DF25-0223-4B0E-B222-89702337C7CB}" uniqueName="18" name="Tenure YEAR" queryTableFieldId="18"/>
    <tableColumn id="15" xr3:uid="{1F4143AA-02BD-40B3-81B8-F11B9A409A6F}" uniqueName="15" name="HireYear" queryTableFieldId="19" dataDxfId="48">
      <calculatedColumnFormula>YEAR(employees[[#This Row],[HireDate]])</calculatedColumnFormula>
    </tableColumn>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2F46805-0A00-4D18-B43E-6D6E409D9CA3}" name="suppliers" displayName="suppliers" ref="A1:K30" tableType="queryTable" totalsRowShown="0">
  <autoFilter ref="A1:K30" xr:uid="{92F46805-0A00-4D18-B43E-6D6E409D9CA3}"/>
  <tableColumns count="11">
    <tableColumn id="1" xr3:uid="{8A246FB2-EE85-41C6-8C1C-B3A67651EA76}" uniqueName="1" name="SupplierID" queryTableFieldId="1"/>
    <tableColumn id="2" xr3:uid="{7014F6F3-E6AA-406C-B332-DD72302C5D19}" uniqueName="2" name="CompanyName" queryTableFieldId="2" dataDxfId="47"/>
    <tableColumn id="3" xr3:uid="{0AE42A96-0FA8-46C6-A534-87E5AE838860}" uniqueName="3" name="ContactName" queryTableFieldId="3" dataDxfId="46"/>
    <tableColumn id="4" xr3:uid="{FCCA62BA-5DE4-4631-A99C-F6D0AB6C932A}" uniqueName="4" name="ContactTitle" queryTableFieldId="4" dataDxfId="45"/>
    <tableColumn id="5" xr3:uid="{14BAC665-1A55-4328-9D8B-AA4F77E09567}" uniqueName="5" name="Address" queryTableFieldId="5" dataDxfId="44"/>
    <tableColumn id="6" xr3:uid="{D9D09400-C710-486D-A2E5-94F80E2EE6D0}" uniqueName="6" name="City" queryTableFieldId="6" dataDxfId="43"/>
    <tableColumn id="7" xr3:uid="{3474FE31-C6BF-47A0-B061-69180753D470}" uniqueName="7" name="Region" queryTableFieldId="7" dataDxfId="42"/>
    <tableColumn id="8" xr3:uid="{EACA037C-74CF-4E11-8A38-FC97A400C45F}" uniqueName="8" name="PostalCode" queryTableFieldId="8" dataDxfId="41"/>
    <tableColumn id="9" xr3:uid="{7BD8BF78-C4E3-4E53-95A2-62B16F8919C5}" uniqueName="9" name="Country" queryTableFieldId="9" dataDxfId="40"/>
    <tableColumn id="10" xr3:uid="{31BF4A05-E123-4A3D-9199-31EA8582B3DB}" uniqueName="10" name="Phone" queryTableFieldId="10" dataDxfId="39"/>
    <tableColumn id="11" xr3:uid="{796A8F88-D11C-4CAB-8156-C6C0999E3A5A}" uniqueName="11" name="Fax" queryTableFieldId="11" dataDxfId="38"/>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C3136FB-401A-4520-B69B-3931D6883AD2}" name="categories" displayName="categories" ref="A1:C9" tableType="queryTable" totalsRowShown="0">
  <autoFilter ref="A1:C9" xr:uid="{4C3136FB-401A-4520-B69B-3931D6883AD2}"/>
  <tableColumns count="3">
    <tableColumn id="1" xr3:uid="{52290B7C-0E8E-4C87-BAA4-5221FBE2091A}" uniqueName="1" name="CategoryID" queryTableFieldId="1"/>
    <tableColumn id="2" xr3:uid="{76F83912-9F74-4053-8724-EB4066E5C565}" uniqueName="2" name="CategoryName" queryTableFieldId="2" dataDxfId="37"/>
    <tableColumn id="3" xr3:uid="{A42AA925-1CE4-4DDF-B4BF-09036CAAF5D7}" uniqueName="3" name="Description" queryTableFieldId="3" dataDxfId="36"/>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A63FDC6-19BA-4A75-9A6F-4D7B7012861C}" name="shippers" displayName="shippers" ref="A1:C4" tableType="queryTable" totalsRowShown="0">
  <autoFilter ref="A1:C4" xr:uid="{9A63FDC6-19BA-4A75-9A6F-4D7B7012861C}"/>
  <tableColumns count="3">
    <tableColumn id="1" xr3:uid="{25449CBD-13AE-448C-94BD-546B2AECEF45}" uniqueName="1" name="ShipperID" queryTableFieldId="1"/>
    <tableColumn id="2" xr3:uid="{E8073AF6-A392-4A5A-BC70-C14A79A789D3}" uniqueName="2" name="CompanyName" queryTableFieldId="2" dataDxfId="35"/>
    <tableColumn id="3" xr3:uid="{C7F9DEAF-00CD-4923-9CCB-A6B338BC9E2C}" uniqueName="3" name="Phone" queryTableFieldId="3" dataDxfId="34"/>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591994A-4615-4962-8647-275205DB9F94}" name="products11" displayName="products11" ref="A1:E78" tableType="queryTable" totalsRowShown="0" headerRowDxfId="19" headerRowBorderDxfId="18" tableBorderDxfId="17" totalsRowBorderDxfId="16">
  <tableColumns count="5">
    <tableColumn id="1" xr3:uid="{48E2FBF6-E1DB-432F-824D-D5AE79E88583}" uniqueName="1" name="ProductID" queryTableFieldId="1" dataDxfId="15"/>
    <tableColumn id="6" xr3:uid="{87BA7794-438D-48DD-8693-E32B2999337F}" uniqueName="6" name="UnitPrice" queryTableFieldId="6" dataDxfId="14"/>
    <tableColumn id="7" xr3:uid="{471D6196-1678-4D5A-9E22-D0946488CD15}" uniqueName="7" name="UnitsInStock" queryTableFieldId="7" dataDxfId="13"/>
    <tableColumn id="8" xr3:uid="{580051EA-5A7B-4773-B6F4-147D372A18F6}" uniqueName="8" name="UnitsOnOrder" queryTableFieldId="8" dataDxfId="12"/>
    <tableColumn id="11" xr3:uid="{EE51175A-A2A8-4D03-97C7-ED718DB6C62D}" uniqueName="11" name="TotalSales" queryTableFieldId="11" dataDxfId="11">
      <calculatedColumnFormula>SUMIFS(order_details[Order Value], order_details[ProductID], A2)</calculatedColumnFormula>
    </tableColumn>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D1112B8-B6AA-4930-AB1D-DE87707A4305}" name="products1110" displayName="products1110" ref="A1:E78" tableType="queryTable" totalsRowShown="0" headerRowDxfId="2" headerRowBorderDxfId="9" tableBorderDxfId="10" totalsRowBorderDxfId="8">
  <sortState xmlns:xlrd2="http://schemas.microsoft.com/office/spreadsheetml/2017/richdata2" ref="A2:E78">
    <sortCondition descending="1" ref="E2:E78"/>
  </sortState>
  <tableColumns count="5">
    <tableColumn id="1" xr3:uid="{D4B04B3F-9EDE-4C48-9097-0BC3580305DC}" uniqueName="1" name="ProductID" queryTableFieldId="1" dataDxfId="7"/>
    <tableColumn id="6" xr3:uid="{4F3B6ED8-E536-4696-B8CE-6B04E1447F99}" uniqueName="6" name="UnitPrice" queryTableFieldId="6" dataDxfId="6"/>
    <tableColumn id="7" xr3:uid="{A5FD4E4A-E472-4941-847A-77DF34DD5F97}" uniqueName="7" name="UnitsInStock" queryTableFieldId="7" dataDxfId="5"/>
    <tableColumn id="8" xr3:uid="{DC46A6E0-0B09-47AF-A64A-C68B8107B943}" uniqueName="8" name="UnitsOnOrder" queryTableFieldId="8" dataDxfId="4"/>
    <tableColumn id="11" xr3:uid="{DFFA5304-786B-4171-8F90-722FF44C00CB}" uniqueName="11" name="TotalSales" queryTableFieldId="11" dataDxfId="3">
      <calculatedColumnFormula>SUMIFS(order_details[Order Value], order_details[ProductID], A2)</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microsoft.com/office/2007/relationships/slicer" Target="../slicers/slicer1.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5" Type="http://schemas.openxmlformats.org/officeDocument/2006/relationships/printerSettings" Target="../printerSettings/printerSettings3.bin"/><Relationship Id="rId4" Type="http://schemas.openxmlformats.org/officeDocument/2006/relationships/pivotTable" Target="../pivotTables/pivotTable7.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8.xml"/></Relationships>
</file>

<file path=xl/worksheets/_rels/sheet14.xml.rels><?xml version="1.0" encoding="UTF-8" standalone="yes"?>
<Relationships xmlns="http://schemas.openxmlformats.org/package/2006/relationships"><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15.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_rels/sheet16.xml.rels><?xml version="1.0" encoding="UTF-8" standalone="yes"?>
<Relationships xmlns="http://schemas.openxmlformats.org/package/2006/relationships"><Relationship Id="rId2" Type="http://schemas.openxmlformats.org/officeDocument/2006/relationships/pivotTable" Target="../pivotTables/pivotTable13.xml"/><Relationship Id="rId1" Type="http://schemas.openxmlformats.org/officeDocument/2006/relationships/pivotTable" Target="../pivotTables/pivotTable12.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14.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C9DAC-30D5-438C-8EA3-86B3A4D2C716}">
  <dimension ref="A1:J2156"/>
  <sheetViews>
    <sheetView topLeftCell="A2136" workbookViewId="0">
      <selection activeCell="F2140" sqref="F2140"/>
    </sheetView>
  </sheetViews>
  <sheetFormatPr defaultRowHeight="14.5" x14ac:dyDescent="0.35"/>
  <cols>
    <col min="1" max="1" width="9.81640625" bestFit="1" customWidth="1"/>
    <col min="2" max="2" width="11.54296875" bestFit="1" customWidth="1"/>
    <col min="3" max="3" width="10.7265625" bestFit="1" customWidth="1"/>
    <col min="4" max="5" width="10.453125" bestFit="1" customWidth="1"/>
    <col min="6" max="6" width="13.1796875" bestFit="1" customWidth="1"/>
    <col min="7" max="7" width="16" bestFit="1" customWidth="1"/>
    <col min="8" max="8" width="12.81640625" bestFit="1" customWidth="1"/>
    <col min="9" max="9" width="13.36328125" bestFit="1" customWidth="1"/>
    <col min="10" max="10" width="8.81640625" bestFit="1" customWidth="1"/>
  </cols>
  <sheetData>
    <row r="1" spans="1:10" x14ac:dyDescent="0.35">
      <c r="A1" t="s">
        <v>818</v>
      </c>
      <c r="B1" t="s">
        <v>819</v>
      </c>
      <c r="C1" t="s">
        <v>820</v>
      </c>
      <c r="D1" t="s">
        <v>821</v>
      </c>
      <c r="E1" t="s">
        <v>822</v>
      </c>
      <c r="F1" t="s">
        <v>1222</v>
      </c>
      <c r="G1" s="25" t="s">
        <v>1248</v>
      </c>
      <c r="H1" t="s">
        <v>1249</v>
      </c>
      <c r="I1" t="s">
        <v>833</v>
      </c>
      <c r="J1" t="s">
        <v>1344</v>
      </c>
    </row>
    <row r="2" spans="1:10" x14ac:dyDescent="0.35">
      <c r="A2">
        <v>10248</v>
      </c>
      <c r="B2">
        <v>11</v>
      </c>
      <c r="C2">
        <v>14</v>
      </c>
      <c r="D2">
        <v>12</v>
      </c>
      <c r="E2">
        <v>0</v>
      </c>
      <c r="F2">
        <v>168</v>
      </c>
      <c r="G2" t="str">
        <f>VLOOKUP(VLOOKUP(order_details[[#This Row],[ProductID]], products[], 4, FALSE), categories[], 2, FALSE)</f>
        <v>Dairy Products</v>
      </c>
      <c r="H2">
        <f>VLOOKUP(order_details[[#This Row],[ProductID]], products[], 4, FALSE)</f>
        <v>4</v>
      </c>
      <c r="I2" t="str">
        <f>VLOOKUP(order_details[[#This Row],[OrderID]], orders[[OrderID]:[ShipCountry]], 14, FALSE)</f>
        <v>France</v>
      </c>
      <c r="J2" s="1">
        <f>_xlfn.XLOOKUP(order_details[[#This Row],[OrderID]], orders[OrderID], orders[Month])</f>
        <v>8</v>
      </c>
    </row>
    <row r="3" spans="1:10" x14ac:dyDescent="0.35">
      <c r="A3">
        <v>10248</v>
      </c>
      <c r="B3">
        <v>42</v>
      </c>
      <c r="C3">
        <v>9.8000000000000007</v>
      </c>
      <c r="D3">
        <v>10</v>
      </c>
      <c r="E3">
        <v>0</v>
      </c>
      <c r="F3">
        <v>98</v>
      </c>
      <c r="G3" t="str">
        <f>VLOOKUP(VLOOKUP(order_details[[#This Row],[ProductID]], products[], 4, FALSE), categories[], 2, FALSE)</f>
        <v>Grains/Cereals</v>
      </c>
      <c r="H3">
        <f>VLOOKUP(order_details[[#This Row],[ProductID]], products[], 4, FALSE)</f>
        <v>5</v>
      </c>
      <c r="I3" t="str">
        <f>VLOOKUP(order_details[[#This Row],[OrderID]], orders[[OrderID]:[ShipCountry]], 14, FALSE)</f>
        <v>France</v>
      </c>
      <c r="J3" s="1">
        <f>_xlfn.XLOOKUP(order_details[[#This Row],[OrderID]], orders[OrderID], orders[Month])</f>
        <v>8</v>
      </c>
    </row>
    <row r="4" spans="1:10" x14ac:dyDescent="0.35">
      <c r="A4">
        <v>10248</v>
      </c>
      <c r="B4">
        <v>72</v>
      </c>
      <c r="C4">
        <v>34.799999999999997</v>
      </c>
      <c r="D4">
        <v>5</v>
      </c>
      <c r="E4">
        <v>0</v>
      </c>
      <c r="F4">
        <v>174</v>
      </c>
      <c r="G4" t="str">
        <f>VLOOKUP(VLOOKUP(order_details[[#This Row],[ProductID]], products[], 4, FALSE), categories[], 2, FALSE)</f>
        <v>Dairy Products</v>
      </c>
      <c r="H4">
        <f>VLOOKUP(order_details[[#This Row],[ProductID]], products[], 4, FALSE)</f>
        <v>4</v>
      </c>
      <c r="I4" t="str">
        <f>VLOOKUP(order_details[[#This Row],[OrderID]], orders[[OrderID]:[ShipCountry]], 14, FALSE)</f>
        <v>France</v>
      </c>
      <c r="J4" s="1">
        <f>_xlfn.XLOOKUP(order_details[[#This Row],[OrderID]], orders[OrderID], orders[Month])</f>
        <v>8</v>
      </c>
    </row>
    <row r="5" spans="1:10" x14ac:dyDescent="0.35">
      <c r="A5">
        <v>10249</v>
      </c>
      <c r="B5">
        <v>14</v>
      </c>
      <c r="C5">
        <v>18.600000000000001</v>
      </c>
      <c r="D5">
        <v>9</v>
      </c>
      <c r="E5">
        <v>0</v>
      </c>
      <c r="F5">
        <v>167.4</v>
      </c>
      <c r="G5" t="str">
        <f>VLOOKUP(VLOOKUP(order_details[[#This Row],[ProductID]], products[], 4, FALSE), categories[], 2, FALSE)</f>
        <v>Produce</v>
      </c>
      <c r="H5">
        <f>VLOOKUP(order_details[[#This Row],[ProductID]], products[], 4, FALSE)</f>
        <v>7</v>
      </c>
      <c r="I5" t="str">
        <f>VLOOKUP(order_details[[#This Row],[OrderID]], orders[[OrderID]:[ShipCountry]], 14, FALSE)</f>
        <v>Germany</v>
      </c>
      <c r="J5" s="1">
        <f>_xlfn.XLOOKUP(order_details[[#This Row],[OrderID]], orders[OrderID], orders[Month])</f>
        <v>8</v>
      </c>
    </row>
    <row r="6" spans="1:10" x14ac:dyDescent="0.35">
      <c r="A6">
        <v>10249</v>
      </c>
      <c r="B6">
        <v>51</v>
      </c>
      <c r="C6">
        <v>42.4</v>
      </c>
      <c r="D6">
        <v>40</v>
      </c>
      <c r="E6">
        <v>0</v>
      </c>
      <c r="F6">
        <v>1696</v>
      </c>
      <c r="G6" t="str">
        <f>VLOOKUP(VLOOKUP(order_details[[#This Row],[ProductID]], products[], 4, FALSE), categories[], 2, FALSE)</f>
        <v>Produce</v>
      </c>
      <c r="H6">
        <f>VLOOKUP(order_details[[#This Row],[ProductID]], products[], 4, FALSE)</f>
        <v>7</v>
      </c>
      <c r="I6" t="str">
        <f>VLOOKUP(order_details[[#This Row],[OrderID]], orders[[OrderID]:[ShipCountry]], 14, FALSE)</f>
        <v>Germany</v>
      </c>
      <c r="J6" s="1">
        <f>_xlfn.XLOOKUP(order_details[[#This Row],[OrderID]], orders[OrderID], orders[Month])</f>
        <v>8</v>
      </c>
    </row>
    <row r="7" spans="1:10" x14ac:dyDescent="0.35">
      <c r="A7">
        <v>10250</v>
      </c>
      <c r="B7">
        <v>41</v>
      </c>
      <c r="C7">
        <v>7.7</v>
      </c>
      <c r="D7">
        <v>10</v>
      </c>
      <c r="E7">
        <v>0</v>
      </c>
      <c r="F7">
        <v>77</v>
      </c>
      <c r="G7" t="str">
        <f>VLOOKUP(VLOOKUP(order_details[[#This Row],[ProductID]], products[], 4, FALSE), categories[], 2, FALSE)</f>
        <v>Seafood</v>
      </c>
      <c r="H7">
        <f>VLOOKUP(order_details[[#This Row],[ProductID]], products[], 4, FALSE)</f>
        <v>8</v>
      </c>
      <c r="I7" t="str">
        <f>VLOOKUP(order_details[[#This Row],[OrderID]], orders[[OrderID]:[ShipCountry]], 14, FALSE)</f>
        <v>Brazil</v>
      </c>
      <c r="J7" s="1">
        <f>_xlfn.XLOOKUP(order_details[[#This Row],[OrderID]], orders[OrderID], orders[Month])</f>
        <v>8</v>
      </c>
    </row>
    <row r="8" spans="1:10" x14ac:dyDescent="0.35">
      <c r="A8">
        <v>10250</v>
      </c>
      <c r="B8">
        <v>51</v>
      </c>
      <c r="C8">
        <v>42.4</v>
      </c>
      <c r="D8">
        <v>35</v>
      </c>
      <c r="E8">
        <v>0.15</v>
      </c>
      <c r="F8">
        <v>1261.3999999999999</v>
      </c>
      <c r="G8" t="str">
        <f>VLOOKUP(VLOOKUP(order_details[[#This Row],[ProductID]], products[], 4, FALSE), categories[], 2, FALSE)</f>
        <v>Produce</v>
      </c>
      <c r="H8">
        <f>VLOOKUP(order_details[[#This Row],[ProductID]], products[], 4, FALSE)</f>
        <v>7</v>
      </c>
      <c r="I8" t="str">
        <f>VLOOKUP(order_details[[#This Row],[OrderID]], orders[[OrderID]:[ShipCountry]], 14, FALSE)</f>
        <v>Brazil</v>
      </c>
      <c r="J8" s="1">
        <f>_xlfn.XLOOKUP(order_details[[#This Row],[OrderID]], orders[OrderID], orders[Month])</f>
        <v>8</v>
      </c>
    </row>
    <row r="9" spans="1:10" x14ac:dyDescent="0.35">
      <c r="A9">
        <v>10250</v>
      </c>
      <c r="B9">
        <v>65</v>
      </c>
      <c r="C9">
        <v>16.8</v>
      </c>
      <c r="D9">
        <v>15</v>
      </c>
      <c r="E9">
        <v>0.15</v>
      </c>
      <c r="F9">
        <v>214.2</v>
      </c>
      <c r="G9" t="str">
        <f>VLOOKUP(VLOOKUP(order_details[[#This Row],[ProductID]], products[], 4, FALSE), categories[], 2, FALSE)</f>
        <v>Condiments</v>
      </c>
      <c r="H9">
        <f>VLOOKUP(order_details[[#This Row],[ProductID]], products[], 4, FALSE)</f>
        <v>2</v>
      </c>
      <c r="I9" t="str">
        <f>VLOOKUP(order_details[[#This Row],[OrderID]], orders[[OrderID]:[ShipCountry]], 14, FALSE)</f>
        <v>Brazil</v>
      </c>
      <c r="J9" s="1">
        <f>_xlfn.XLOOKUP(order_details[[#This Row],[OrderID]], orders[OrderID], orders[Month])</f>
        <v>8</v>
      </c>
    </row>
    <row r="10" spans="1:10" x14ac:dyDescent="0.35">
      <c r="A10">
        <v>10251</v>
      </c>
      <c r="B10">
        <v>22</v>
      </c>
      <c r="C10">
        <v>16.8</v>
      </c>
      <c r="D10">
        <v>6</v>
      </c>
      <c r="E10">
        <v>0.05</v>
      </c>
      <c r="F10">
        <v>95.76</v>
      </c>
      <c r="G10" t="str">
        <f>VLOOKUP(VLOOKUP(order_details[[#This Row],[ProductID]], products[], 4, FALSE), categories[], 2, FALSE)</f>
        <v>Grains/Cereals</v>
      </c>
      <c r="H10">
        <f>VLOOKUP(order_details[[#This Row],[ProductID]], products[], 4, FALSE)</f>
        <v>5</v>
      </c>
      <c r="I10" t="str">
        <f>VLOOKUP(order_details[[#This Row],[OrderID]], orders[[OrderID]:[ShipCountry]], 14, FALSE)</f>
        <v>France</v>
      </c>
      <c r="J10" s="1">
        <f>_xlfn.XLOOKUP(order_details[[#This Row],[OrderID]], orders[OrderID], orders[Month])</f>
        <v>8</v>
      </c>
    </row>
    <row r="11" spans="1:10" x14ac:dyDescent="0.35">
      <c r="A11">
        <v>10251</v>
      </c>
      <c r="B11">
        <v>57</v>
      </c>
      <c r="C11">
        <v>15.6</v>
      </c>
      <c r="D11">
        <v>15</v>
      </c>
      <c r="E11">
        <v>0.05</v>
      </c>
      <c r="F11">
        <v>222.29999999999998</v>
      </c>
      <c r="G11" t="str">
        <f>VLOOKUP(VLOOKUP(order_details[[#This Row],[ProductID]], products[], 4, FALSE), categories[], 2, FALSE)</f>
        <v>Grains/Cereals</v>
      </c>
      <c r="H11">
        <f>VLOOKUP(order_details[[#This Row],[ProductID]], products[], 4, FALSE)</f>
        <v>5</v>
      </c>
      <c r="I11" t="str">
        <f>VLOOKUP(order_details[[#This Row],[OrderID]], orders[[OrderID]:[ShipCountry]], 14, FALSE)</f>
        <v>France</v>
      </c>
      <c r="J11" s="1">
        <f>_xlfn.XLOOKUP(order_details[[#This Row],[OrderID]], orders[OrderID], orders[Month])</f>
        <v>8</v>
      </c>
    </row>
    <row r="12" spans="1:10" x14ac:dyDescent="0.35">
      <c r="A12">
        <v>10251</v>
      </c>
      <c r="B12">
        <v>65</v>
      </c>
      <c r="C12">
        <v>16.8</v>
      </c>
      <c r="D12">
        <v>20</v>
      </c>
      <c r="E12">
        <v>0</v>
      </c>
      <c r="F12">
        <v>336</v>
      </c>
      <c r="G12" t="str">
        <f>VLOOKUP(VLOOKUP(order_details[[#This Row],[ProductID]], products[], 4, FALSE), categories[], 2, FALSE)</f>
        <v>Condiments</v>
      </c>
      <c r="H12">
        <f>VLOOKUP(order_details[[#This Row],[ProductID]], products[], 4, FALSE)</f>
        <v>2</v>
      </c>
      <c r="I12" t="str">
        <f>VLOOKUP(order_details[[#This Row],[OrderID]], orders[[OrderID]:[ShipCountry]], 14, FALSE)</f>
        <v>France</v>
      </c>
      <c r="J12" s="1">
        <f>_xlfn.XLOOKUP(order_details[[#This Row],[OrderID]], orders[OrderID], orders[Month])</f>
        <v>8</v>
      </c>
    </row>
    <row r="13" spans="1:10" x14ac:dyDescent="0.35">
      <c r="A13">
        <v>10252</v>
      </c>
      <c r="B13">
        <v>20</v>
      </c>
      <c r="C13">
        <v>64.8</v>
      </c>
      <c r="D13">
        <v>40</v>
      </c>
      <c r="E13">
        <v>0.05</v>
      </c>
      <c r="F13">
        <v>2462.4</v>
      </c>
      <c r="G13" t="str">
        <f>VLOOKUP(VLOOKUP(order_details[[#This Row],[ProductID]], products[], 4, FALSE), categories[], 2, FALSE)</f>
        <v>Confections</v>
      </c>
      <c r="H13">
        <f>VLOOKUP(order_details[[#This Row],[ProductID]], products[], 4, FALSE)</f>
        <v>3</v>
      </c>
      <c r="I13" t="str">
        <f>VLOOKUP(order_details[[#This Row],[OrderID]], orders[[OrderID]:[ShipCountry]], 14, FALSE)</f>
        <v>Belgium</v>
      </c>
      <c r="J13" s="1">
        <f>_xlfn.XLOOKUP(order_details[[#This Row],[OrderID]], orders[OrderID], orders[Month])</f>
        <v>8</v>
      </c>
    </row>
    <row r="14" spans="1:10" x14ac:dyDescent="0.35">
      <c r="A14">
        <v>10252</v>
      </c>
      <c r="B14">
        <v>33</v>
      </c>
      <c r="C14">
        <v>2</v>
      </c>
      <c r="D14">
        <v>25</v>
      </c>
      <c r="E14">
        <v>0.05</v>
      </c>
      <c r="F14">
        <v>47.5</v>
      </c>
      <c r="G14" t="str">
        <f>VLOOKUP(VLOOKUP(order_details[[#This Row],[ProductID]], products[], 4, FALSE), categories[], 2, FALSE)</f>
        <v>Dairy Products</v>
      </c>
      <c r="H14">
        <f>VLOOKUP(order_details[[#This Row],[ProductID]], products[], 4, FALSE)</f>
        <v>4</v>
      </c>
      <c r="I14" t="str">
        <f>VLOOKUP(order_details[[#This Row],[OrderID]], orders[[OrderID]:[ShipCountry]], 14, FALSE)</f>
        <v>Belgium</v>
      </c>
      <c r="J14" s="1">
        <f>_xlfn.XLOOKUP(order_details[[#This Row],[OrderID]], orders[OrderID], orders[Month])</f>
        <v>8</v>
      </c>
    </row>
    <row r="15" spans="1:10" x14ac:dyDescent="0.35">
      <c r="A15">
        <v>10252</v>
      </c>
      <c r="B15">
        <v>60</v>
      </c>
      <c r="C15">
        <v>27.2</v>
      </c>
      <c r="D15">
        <v>40</v>
      </c>
      <c r="E15">
        <v>0</v>
      </c>
      <c r="F15">
        <v>1088</v>
      </c>
      <c r="G15" t="str">
        <f>VLOOKUP(VLOOKUP(order_details[[#This Row],[ProductID]], products[], 4, FALSE), categories[], 2, FALSE)</f>
        <v>Dairy Products</v>
      </c>
      <c r="H15">
        <f>VLOOKUP(order_details[[#This Row],[ProductID]], products[], 4, FALSE)</f>
        <v>4</v>
      </c>
      <c r="I15" t="str">
        <f>VLOOKUP(order_details[[#This Row],[OrderID]], orders[[OrderID]:[ShipCountry]], 14, FALSE)</f>
        <v>Belgium</v>
      </c>
      <c r="J15" s="1">
        <f>_xlfn.XLOOKUP(order_details[[#This Row],[OrderID]], orders[OrderID], orders[Month])</f>
        <v>8</v>
      </c>
    </row>
    <row r="16" spans="1:10" x14ac:dyDescent="0.35">
      <c r="A16">
        <v>10253</v>
      </c>
      <c r="B16">
        <v>31</v>
      </c>
      <c r="C16">
        <v>10</v>
      </c>
      <c r="D16">
        <v>20</v>
      </c>
      <c r="E16">
        <v>0</v>
      </c>
      <c r="F16">
        <v>200</v>
      </c>
      <c r="G16" t="str">
        <f>VLOOKUP(VLOOKUP(order_details[[#This Row],[ProductID]], products[], 4, FALSE), categories[], 2, FALSE)</f>
        <v>Dairy Products</v>
      </c>
      <c r="H16">
        <f>VLOOKUP(order_details[[#This Row],[ProductID]], products[], 4, FALSE)</f>
        <v>4</v>
      </c>
      <c r="I16" t="str">
        <f>VLOOKUP(order_details[[#This Row],[OrderID]], orders[[OrderID]:[ShipCountry]], 14, FALSE)</f>
        <v>Brazil</v>
      </c>
      <c r="J16" s="1">
        <f>_xlfn.XLOOKUP(order_details[[#This Row],[OrderID]], orders[OrderID], orders[Month])</f>
        <v>8</v>
      </c>
    </row>
    <row r="17" spans="1:10" x14ac:dyDescent="0.35">
      <c r="A17">
        <v>10253</v>
      </c>
      <c r="B17">
        <v>39</v>
      </c>
      <c r="C17">
        <v>14.4</v>
      </c>
      <c r="D17">
        <v>42</v>
      </c>
      <c r="E17">
        <v>0</v>
      </c>
      <c r="F17">
        <v>604.80000000000007</v>
      </c>
      <c r="G17" t="str">
        <f>VLOOKUP(VLOOKUP(order_details[[#This Row],[ProductID]], products[], 4, FALSE), categories[], 2, FALSE)</f>
        <v>Beverages</v>
      </c>
      <c r="H17">
        <f>VLOOKUP(order_details[[#This Row],[ProductID]], products[], 4, FALSE)</f>
        <v>1</v>
      </c>
      <c r="I17" t="str">
        <f>VLOOKUP(order_details[[#This Row],[OrderID]], orders[[OrderID]:[ShipCountry]], 14, FALSE)</f>
        <v>Brazil</v>
      </c>
      <c r="J17" s="1">
        <f>_xlfn.XLOOKUP(order_details[[#This Row],[OrderID]], orders[OrderID], orders[Month])</f>
        <v>8</v>
      </c>
    </row>
    <row r="18" spans="1:10" x14ac:dyDescent="0.35">
      <c r="A18">
        <v>10253</v>
      </c>
      <c r="B18">
        <v>49</v>
      </c>
      <c r="C18">
        <v>16</v>
      </c>
      <c r="D18">
        <v>40</v>
      </c>
      <c r="E18">
        <v>0</v>
      </c>
      <c r="F18">
        <v>640</v>
      </c>
      <c r="G18" t="str">
        <f>VLOOKUP(VLOOKUP(order_details[[#This Row],[ProductID]], products[], 4, FALSE), categories[], 2, FALSE)</f>
        <v>Confections</v>
      </c>
      <c r="H18">
        <f>VLOOKUP(order_details[[#This Row],[ProductID]], products[], 4, FALSE)</f>
        <v>3</v>
      </c>
      <c r="I18" t="str">
        <f>VLOOKUP(order_details[[#This Row],[OrderID]], orders[[OrderID]:[ShipCountry]], 14, FALSE)</f>
        <v>Brazil</v>
      </c>
      <c r="J18" s="1">
        <f>_xlfn.XLOOKUP(order_details[[#This Row],[OrderID]], orders[OrderID], orders[Month])</f>
        <v>8</v>
      </c>
    </row>
    <row r="19" spans="1:10" x14ac:dyDescent="0.35">
      <c r="A19">
        <v>10254</v>
      </c>
      <c r="B19">
        <v>24</v>
      </c>
      <c r="C19">
        <v>3.6</v>
      </c>
      <c r="D19">
        <v>15</v>
      </c>
      <c r="E19">
        <v>0.15</v>
      </c>
      <c r="F19">
        <v>45.9</v>
      </c>
      <c r="G19" t="str">
        <f>VLOOKUP(VLOOKUP(order_details[[#This Row],[ProductID]], products[], 4, FALSE), categories[], 2, FALSE)</f>
        <v>Beverages</v>
      </c>
      <c r="H19">
        <f>VLOOKUP(order_details[[#This Row],[ProductID]], products[], 4, FALSE)</f>
        <v>1</v>
      </c>
      <c r="I19" t="str">
        <f>VLOOKUP(order_details[[#This Row],[OrderID]], orders[[OrderID]:[ShipCountry]], 14, FALSE)</f>
        <v>Switzerland</v>
      </c>
      <c r="J19" s="1">
        <f>_xlfn.XLOOKUP(order_details[[#This Row],[OrderID]], orders[OrderID], orders[Month])</f>
        <v>8</v>
      </c>
    </row>
    <row r="20" spans="1:10" x14ac:dyDescent="0.35">
      <c r="A20">
        <v>10254</v>
      </c>
      <c r="B20">
        <v>55</v>
      </c>
      <c r="C20">
        <v>19.2</v>
      </c>
      <c r="D20">
        <v>21</v>
      </c>
      <c r="E20">
        <v>0.15</v>
      </c>
      <c r="F20">
        <v>342.71999999999997</v>
      </c>
      <c r="G20" t="str">
        <f>VLOOKUP(VLOOKUP(order_details[[#This Row],[ProductID]], products[], 4, FALSE), categories[], 2, FALSE)</f>
        <v>Meat/Poultry</v>
      </c>
      <c r="H20">
        <f>VLOOKUP(order_details[[#This Row],[ProductID]], products[], 4, FALSE)</f>
        <v>6</v>
      </c>
      <c r="I20" t="str">
        <f>VLOOKUP(order_details[[#This Row],[OrderID]], orders[[OrderID]:[ShipCountry]], 14, FALSE)</f>
        <v>Switzerland</v>
      </c>
      <c r="J20" s="1">
        <f>_xlfn.XLOOKUP(order_details[[#This Row],[OrderID]], orders[OrderID], orders[Month])</f>
        <v>8</v>
      </c>
    </row>
    <row r="21" spans="1:10" x14ac:dyDescent="0.35">
      <c r="A21">
        <v>10254</v>
      </c>
      <c r="B21">
        <v>74</v>
      </c>
      <c r="C21">
        <v>8</v>
      </c>
      <c r="D21">
        <v>21</v>
      </c>
      <c r="E21">
        <v>0</v>
      </c>
      <c r="F21">
        <v>168</v>
      </c>
      <c r="G21" t="str">
        <f>VLOOKUP(VLOOKUP(order_details[[#This Row],[ProductID]], products[], 4, FALSE), categories[], 2, FALSE)</f>
        <v>Produce</v>
      </c>
      <c r="H21">
        <f>VLOOKUP(order_details[[#This Row],[ProductID]], products[], 4, FALSE)</f>
        <v>7</v>
      </c>
      <c r="I21" t="str">
        <f>VLOOKUP(order_details[[#This Row],[OrderID]], orders[[OrderID]:[ShipCountry]], 14, FALSE)</f>
        <v>Switzerland</v>
      </c>
      <c r="J21" s="1">
        <f>_xlfn.XLOOKUP(order_details[[#This Row],[OrderID]], orders[OrderID], orders[Month])</f>
        <v>8</v>
      </c>
    </row>
    <row r="22" spans="1:10" x14ac:dyDescent="0.35">
      <c r="A22">
        <v>10255</v>
      </c>
      <c r="B22">
        <v>2</v>
      </c>
      <c r="C22">
        <v>15.2</v>
      </c>
      <c r="D22">
        <v>20</v>
      </c>
      <c r="E22">
        <v>0</v>
      </c>
      <c r="F22">
        <v>304</v>
      </c>
      <c r="G22" t="str">
        <f>VLOOKUP(VLOOKUP(order_details[[#This Row],[ProductID]], products[], 4, FALSE), categories[], 2, FALSE)</f>
        <v>Beverages</v>
      </c>
      <c r="H22">
        <f>VLOOKUP(order_details[[#This Row],[ProductID]], products[], 4, FALSE)</f>
        <v>1</v>
      </c>
      <c r="I22" t="str">
        <f>VLOOKUP(order_details[[#This Row],[OrderID]], orders[[OrderID]:[ShipCountry]], 14, FALSE)</f>
        <v>Switzerland</v>
      </c>
      <c r="J22" s="1">
        <f>_xlfn.XLOOKUP(order_details[[#This Row],[OrderID]], orders[OrderID], orders[Month])</f>
        <v>8</v>
      </c>
    </row>
    <row r="23" spans="1:10" x14ac:dyDescent="0.35">
      <c r="A23">
        <v>10255</v>
      </c>
      <c r="B23">
        <v>16</v>
      </c>
      <c r="C23">
        <v>13.9</v>
      </c>
      <c r="D23">
        <v>35</v>
      </c>
      <c r="E23">
        <v>0</v>
      </c>
      <c r="F23">
        <v>486.5</v>
      </c>
      <c r="G23" t="str">
        <f>VLOOKUP(VLOOKUP(order_details[[#This Row],[ProductID]], products[], 4, FALSE), categories[], 2, FALSE)</f>
        <v>Confections</v>
      </c>
      <c r="H23">
        <f>VLOOKUP(order_details[[#This Row],[ProductID]], products[], 4, FALSE)</f>
        <v>3</v>
      </c>
      <c r="I23" t="str">
        <f>VLOOKUP(order_details[[#This Row],[OrderID]], orders[[OrderID]:[ShipCountry]], 14, FALSE)</f>
        <v>Switzerland</v>
      </c>
      <c r="J23" s="1">
        <f>_xlfn.XLOOKUP(order_details[[#This Row],[OrderID]], orders[OrderID], orders[Month])</f>
        <v>8</v>
      </c>
    </row>
    <row r="24" spans="1:10" x14ac:dyDescent="0.35">
      <c r="A24">
        <v>10255</v>
      </c>
      <c r="B24">
        <v>36</v>
      </c>
      <c r="C24">
        <v>15.2</v>
      </c>
      <c r="D24">
        <v>25</v>
      </c>
      <c r="E24">
        <v>0</v>
      </c>
      <c r="F24">
        <v>380</v>
      </c>
      <c r="G24" t="str">
        <f>VLOOKUP(VLOOKUP(order_details[[#This Row],[ProductID]], products[], 4, FALSE), categories[], 2, FALSE)</f>
        <v>Seafood</v>
      </c>
      <c r="H24">
        <f>VLOOKUP(order_details[[#This Row],[ProductID]], products[], 4, FALSE)</f>
        <v>8</v>
      </c>
      <c r="I24" t="str">
        <f>VLOOKUP(order_details[[#This Row],[OrderID]], orders[[OrderID]:[ShipCountry]], 14, FALSE)</f>
        <v>Switzerland</v>
      </c>
      <c r="J24" s="1">
        <f>_xlfn.XLOOKUP(order_details[[#This Row],[OrderID]], orders[OrderID], orders[Month])</f>
        <v>8</v>
      </c>
    </row>
    <row r="25" spans="1:10" x14ac:dyDescent="0.35">
      <c r="A25">
        <v>10255</v>
      </c>
      <c r="B25">
        <v>59</v>
      </c>
      <c r="C25">
        <v>44</v>
      </c>
      <c r="D25">
        <v>30</v>
      </c>
      <c r="E25">
        <v>0</v>
      </c>
      <c r="F25">
        <v>1320</v>
      </c>
      <c r="G25" t="str">
        <f>VLOOKUP(VLOOKUP(order_details[[#This Row],[ProductID]], products[], 4, FALSE), categories[], 2, FALSE)</f>
        <v>Dairy Products</v>
      </c>
      <c r="H25">
        <f>VLOOKUP(order_details[[#This Row],[ProductID]], products[], 4, FALSE)</f>
        <v>4</v>
      </c>
      <c r="I25" t="str">
        <f>VLOOKUP(order_details[[#This Row],[OrderID]], orders[[OrderID]:[ShipCountry]], 14, FALSE)</f>
        <v>Switzerland</v>
      </c>
      <c r="J25" s="1">
        <f>_xlfn.XLOOKUP(order_details[[#This Row],[OrderID]], orders[OrderID], orders[Month])</f>
        <v>8</v>
      </c>
    </row>
    <row r="26" spans="1:10" x14ac:dyDescent="0.35">
      <c r="A26">
        <v>10256</v>
      </c>
      <c r="B26">
        <v>53</v>
      </c>
      <c r="C26">
        <v>26.2</v>
      </c>
      <c r="D26">
        <v>15</v>
      </c>
      <c r="E26">
        <v>0</v>
      </c>
      <c r="F26">
        <v>393</v>
      </c>
      <c r="G26" t="str">
        <f>VLOOKUP(VLOOKUP(order_details[[#This Row],[ProductID]], products[], 4, FALSE), categories[], 2, FALSE)</f>
        <v>Meat/Poultry</v>
      </c>
      <c r="H26">
        <f>VLOOKUP(order_details[[#This Row],[ProductID]], products[], 4, FALSE)</f>
        <v>6</v>
      </c>
      <c r="I26" t="str">
        <f>VLOOKUP(order_details[[#This Row],[OrderID]], orders[[OrderID]:[ShipCountry]], 14, FALSE)</f>
        <v>Brazil</v>
      </c>
      <c r="J26" s="1">
        <f>_xlfn.XLOOKUP(order_details[[#This Row],[OrderID]], orders[OrderID], orders[Month])</f>
        <v>8</v>
      </c>
    </row>
    <row r="27" spans="1:10" x14ac:dyDescent="0.35">
      <c r="A27">
        <v>10256</v>
      </c>
      <c r="B27">
        <v>77</v>
      </c>
      <c r="C27">
        <v>10.4</v>
      </c>
      <c r="D27">
        <v>12</v>
      </c>
      <c r="E27">
        <v>0</v>
      </c>
      <c r="F27">
        <v>124.80000000000001</v>
      </c>
      <c r="G27" t="str">
        <f>VLOOKUP(VLOOKUP(order_details[[#This Row],[ProductID]], products[], 4, FALSE), categories[], 2, FALSE)</f>
        <v>Condiments</v>
      </c>
      <c r="H27">
        <f>VLOOKUP(order_details[[#This Row],[ProductID]], products[], 4, FALSE)</f>
        <v>2</v>
      </c>
      <c r="I27" t="str">
        <f>VLOOKUP(order_details[[#This Row],[OrderID]], orders[[OrderID]:[ShipCountry]], 14, FALSE)</f>
        <v>Brazil</v>
      </c>
      <c r="J27" s="1">
        <f>_xlfn.XLOOKUP(order_details[[#This Row],[OrderID]], orders[OrderID], orders[Month])</f>
        <v>8</v>
      </c>
    </row>
    <row r="28" spans="1:10" x14ac:dyDescent="0.35">
      <c r="A28">
        <v>10257</v>
      </c>
      <c r="B28">
        <v>27</v>
      </c>
      <c r="C28">
        <v>35.1</v>
      </c>
      <c r="D28">
        <v>25</v>
      </c>
      <c r="E28">
        <v>0</v>
      </c>
      <c r="F28">
        <v>877.5</v>
      </c>
      <c r="G28" t="str">
        <f>VLOOKUP(VLOOKUP(order_details[[#This Row],[ProductID]], products[], 4, FALSE), categories[], 2, FALSE)</f>
        <v>Confections</v>
      </c>
      <c r="H28">
        <f>VLOOKUP(order_details[[#This Row],[ProductID]], products[], 4, FALSE)</f>
        <v>3</v>
      </c>
      <c r="I28" t="str">
        <f>VLOOKUP(order_details[[#This Row],[OrderID]], orders[[OrderID]:[ShipCountry]], 14, FALSE)</f>
        <v>Venezuela</v>
      </c>
      <c r="J28" s="1">
        <f>_xlfn.XLOOKUP(order_details[[#This Row],[OrderID]], orders[OrderID], orders[Month])</f>
        <v>8</v>
      </c>
    </row>
    <row r="29" spans="1:10" x14ac:dyDescent="0.35">
      <c r="A29">
        <v>10257</v>
      </c>
      <c r="B29">
        <v>39</v>
      </c>
      <c r="C29">
        <v>14.4</v>
      </c>
      <c r="D29">
        <v>6</v>
      </c>
      <c r="E29">
        <v>0</v>
      </c>
      <c r="F29">
        <v>86.4</v>
      </c>
      <c r="G29" t="str">
        <f>VLOOKUP(VLOOKUP(order_details[[#This Row],[ProductID]], products[], 4, FALSE), categories[], 2, FALSE)</f>
        <v>Beverages</v>
      </c>
      <c r="H29">
        <f>VLOOKUP(order_details[[#This Row],[ProductID]], products[], 4, FALSE)</f>
        <v>1</v>
      </c>
      <c r="I29" t="str">
        <f>VLOOKUP(order_details[[#This Row],[OrderID]], orders[[OrderID]:[ShipCountry]], 14, FALSE)</f>
        <v>Venezuela</v>
      </c>
      <c r="J29" s="1">
        <f>_xlfn.XLOOKUP(order_details[[#This Row],[OrderID]], orders[OrderID], orders[Month])</f>
        <v>8</v>
      </c>
    </row>
    <row r="30" spans="1:10" x14ac:dyDescent="0.35">
      <c r="A30">
        <v>10257</v>
      </c>
      <c r="B30">
        <v>77</v>
      </c>
      <c r="C30">
        <v>10.4</v>
      </c>
      <c r="D30">
        <v>15</v>
      </c>
      <c r="E30">
        <v>0</v>
      </c>
      <c r="F30">
        <v>156</v>
      </c>
      <c r="G30" t="str">
        <f>VLOOKUP(VLOOKUP(order_details[[#This Row],[ProductID]], products[], 4, FALSE), categories[], 2, FALSE)</f>
        <v>Condiments</v>
      </c>
      <c r="H30">
        <f>VLOOKUP(order_details[[#This Row],[ProductID]], products[], 4, FALSE)</f>
        <v>2</v>
      </c>
      <c r="I30" t="str">
        <f>VLOOKUP(order_details[[#This Row],[OrderID]], orders[[OrderID]:[ShipCountry]], 14, FALSE)</f>
        <v>Venezuela</v>
      </c>
      <c r="J30" s="1">
        <f>_xlfn.XLOOKUP(order_details[[#This Row],[OrderID]], orders[OrderID], orders[Month])</f>
        <v>8</v>
      </c>
    </row>
    <row r="31" spans="1:10" x14ac:dyDescent="0.35">
      <c r="A31">
        <v>10258</v>
      </c>
      <c r="B31">
        <v>2</v>
      </c>
      <c r="C31">
        <v>15.2</v>
      </c>
      <c r="D31">
        <v>50</v>
      </c>
      <c r="E31">
        <v>0.2</v>
      </c>
      <c r="F31">
        <v>608</v>
      </c>
      <c r="G31" t="str">
        <f>VLOOKUP(VLOOKUP(order_details[[#This Row],[ProductID]], products[], 4, FALSE), categories[], 2, FALSE)</f>
        <v>Beverages</v>
      </c>
      <c r="H31">
        <f>VLOOKUP(order_details[[#This Row],[ProductID]], products[], 4, FALSE)</f>
        <v>1</v>
      </c>
      <c r="I31" t="str">
        <f>VLOOKUP(order_details[[#This Row],[OrderID]], orders[[OrderID]:[ShipCountry]], 14, FALSE)</f>
        <v>Austria</v>
      </c>
      <c r="J31" s="1">
        <f>_xlfn.XLOOKUP(order_details[[#This Row],[OrderID]], orders[OrderID], orders[Month])</f>
        <v>8</v>
      </c>
    </row>
    <row r="32" spans="1:10" x14ac:dyDescent="0.35">
      <c r="A32">
        <v>10258</v>
      </c>
      <c r="B32">
        <v>5</v>
      </c>
      <c r="C32">
        <v>17</v>
      </c>
      <c r="D32">
        <v>65</v>
      </c>
      <c r="E32">
        <v>0.2</v>
      </c>
      <c r="F32">
        <v>884</v>
      </c>
      <c r="G32" t="str">
        <f>VLOOKUP(VLOOKUP(order_details[[#This Row],[ProductID]], products[], 4, FALSE), categories[], 2, FALSE)</f>
        <v>Condiments</v>
      </c>
      <c r="H32">
        <f>VLOOKUP(order_details[[#This Row],[ProductID]], products[], 4, FALSE)</f>
        <v>2</v>
      </c>
      <c r="I32" t="str">
        <f>VLOOKUP(order_details[[#This Row],[OrderID]], orders[[OrderID]:[ShipCountry]], 14, FALSE)</f>
        <v>Austria</v>
      </c>
      <c r="J32" s="1">
        <f>_xlfn.XLOOKUP(order_details[[#This Row],[OrderID]], orders[OrderID], orders[Month])</f>
        <v>8</v>
      </c>
    </row>
    <row r="33" spans="1:10" x14ac:dyDescent="0.35">
      <c r="A33">
        <v>10258</v>
      </c>
      <c r="B33">
        <v>32</v>
      </c>
      <c r="C33">
        <v>25.6</v>
      </c>
      <c r="D33">
        <v>6</v>
      </c>
      <c r="E33">
        <v>0.2</v>
      </c>
      <c r="F33">
        <v>122.88000000000002</v>
      </c>
      <c r="G33" t="str">
        <f>VLOOKUP(VLOOKUP(order_details[[#This Row],[ProductID]], products[], 4, FALSE), categories[], 2, FALSE)</f>
        <v>Dairy Products</v>
      </c>
      <c r="H33">
        <f>VLOOKUP(order_details[[#This Row],[ProductID]], products[], 4, FALSE)</f>
        <v>4</v>
      </c>
      <c r="I33" t="str">
        <f>VLOOKUP(order_details[[#This Row],[OrderID]], orders[[OrderID]:[ShipCountry]], 14, FALSE)</f>
        <v>Austria</v>
      </c>
      <c r="J33" s="1">
        <f>_xlfn.XLOOKUP(order_details[[#This Row],[OrderID]], orders[OrderID], orders[Month])</f>
        <v>8</v>
      </c>
    </row>
    <row r="34" spans="1:10" x14ac:dyDescent="0.35">
      <c r="A34">
        <v>10259</v>
      </c>
      <c r="B34">
        <v>21</v>
      </c>
      <c r="C34">
        <v>8</v>
      </c>
      <c r="D34">
        <v>10</v>
      </c>
      <c r="E34">
        <v>0</v>
      </c>
      <c r="F34">
        <v>80</v>
      </c>
      <c r="G34" t="str">
        <f>VLOOKUP(VLOOKUP(order_details[[#This Row],[ProductID]], products[], 4, FALSE), categories[], 2, FALSE)</f>
        <v>Confections</v>
      </c>
      <c r="H34">
        <f>VLOOKUP(order_details[[#This Row],[ProductID]], products[], 4, FALSE)</f>
        <v>3</v>
      </c>
      <c r="I34" t="str">
        <f>VLOOKUP(order_details[[#This Row],[OrderID]], orders[[OrderID]:[ShipCountry]], 14, FALSE)</f>
        <v>Mexico</v>
      </c>
      <c r="J34" s="1">
        <f>_xlfn.XLOOKUP(order_details[[#This Row],[OrderID]], orders[OrderID], orders[Month])</f>
        <v>8</v>
      </c>
    </row>
    <row r="35" spans="1:10" x14ac:dyDescent="0.35">
      <c r="A35">
        <v>10259</v>
      </c>
      <c r="B35">
        <v>37</v>
      </c>
      <c r="C35">
        <v>20.8</v>
      </c>
      <c r="D35">
        <v>1</v>
      </c>
      <c r="E35">
        <v>0</v>
      </c>
      <c r="F35">
        <v>20.8</v>
      </c>
      <c r="G35" t="str">
        <f>VLOOKUP(VLOOKUP(order_details[[#This Row],[ProductID]], products[], 4, FALSE), categories[], 2, FALSE)</f>
        <v>Seafood</v>
      </c>
      <c r="H35">
        <f>VLOOKUP(order_details[[#This Row],[ProductID]], products[], 4, FALSE)</f>
        <v>8</v>
      </c>
      <c r="I35" t="str">
        <f>VLOOKUP(order_details[[#This Row],[OrderID]], orders[[OrderID]:[ShipCountry]], 14, FALSE)</f>
        <v>Mexico</v>
      </c>
      <c r="J35" s="1">
        <f>_xlfn.XLOOKUP(order_details[[#This Row],[OrderID]], orders[OrderID], orders[Month])</f>
        <v>8</v>
      </c>
    </row>
    <row r="36" spans="1:10" x14ac:dyDescent="0.35">
      <c r="A36">
        <v>10260</v>
      </c>
      <c r="B36">
        <v>41</v>
      </c>
      <c r="C36">
        <v>7.7</v>
      </c>
      <c r="D36">
        <v>16</v>
      </c>
      <c r="E36">
        <v>0.25</v>
      </c>
      <c r="F36">
        <v>92.4</v>
      </c>
      <c r="G36" t="str">
        <f>VLOOKUP(VLOOKUP(order_details[[#This Row],[ProductID]], products[], 4, FALSE), categories[], 2, FALSE)</f>
        <v>Seafood</v>
      </c>
      <c r="H36">
        <f>VLOOKUP(order_details[[#This Row],[ProductID]], products[], 4, FALSE)</f>
        <v>8</v>
      </c>
      <c r="I36" t="str">
        <f>VLOOKUP(order_details[[#This Row],[OrderID]], orders[[OrderID]:[ShipCountry]], 14, FALSE)</f>
        <v>Germany</v>
      </c>
      <c r="J36" s="1">
        <f>_xlfn.XLOOKUP(order_details[[#This Row],[OrderID]], orders[OrderID], orders[Month])</f>
        <v>8</v>
      </c>
    </row>
    <row r="37" spans="1:10" x14ac:dyDescent="0.35">
      <c r="A37">
        <v>10260</v>
      </c>
      <c r="B37">
        <v>57</v>
      </c>
      <c r="C37">
        <v>15.6</v>
      </c>
      <c r="D37">
        <v>50</v>
      </c>
      <c r="E37">
        <v>0</v>
      </c>
      <c r="F37">
        <v>780</v>
      </c>
      <c r="G37" t="str">
        <f>VLOOKUP(VLOOKUP(order_details[[#This Row],[ProductID]], products[], 4, FALSE), categories[], 2, FALSE)</f>
        <v>Grains/Cereals</v>
      </c>
      <c r="H37">
        <f>VLOOKUP(order_details[[#This Row],[ProductID]], products[], 4, FALSE)</f>
        <v>5</v>
      </c>
      <c r="I37" t="str">
        <f>VLOOKUP(order_details[[#This Row],[OrderID]], orders[[OrderID]:[ShipCountry]], 14, FALSE)</f>
        <v>Germany</v>
      </c>
      <c r="J37" s="1">
        <f>_xlfn.XLOOKUP(order_details[[#This Row],[OrderID]], orders[OrderID], orders[Month])</f>
        <v>8</v>
      </c>
    </row>
    <row r="38" spans="1:10" x14ac:dyDescent="0.35">
      <c r="A38">
        <v>10260</v>
      </c>
      <c r="B38">
        <v>62</v>
      </c>
      <c r="C38">
        <v>39.4</v>
      </c>
      <c r="D38">
        <v>15</v>
      </c>
      <c r="E38">
        <v>0.25</v>
      </c>
      <c r="F38">
        <v>443.25</v>
      </c>
      <c r="G38" t="str">
        <f>VLOOKUP(VLOOKUP(order_details[[#This Row],[ProductID]], products[], 4, FALSE), categories[], 2, FALSE)</f>
        <v>Confections</v>
      </c>
      <c r="H38">
        <f>VLOOKUP(order_details[[#This Row],[ProductID]], products[], 4, FALSE)</f>
        <v>3</v>
      </c>
      <c r="I38" t="str">
        <f>VLOOKUP(order_details[[#This Row],[OrderID]], orders[[OrderID]:[ShipCountry]], 14, FALSE)</f>
        <v>Germany</v>
      </c>
      <c r="J38" s="1">
        <f>_xlfn.XLOOKUP(order_details[[#This Row],[OrderID]], orders[OrderID], orders[Month])</f>
        <v>8</v>
      </c>
    </row>
    <row r="39" spans="1:10" x14ac:dyDescent="0.35">
      <c r="A39">
        <v>10260</v>
      </c>
      <c r="B39">
        <v>70</v>
      </c>
      <c r="C39">
        <v>12</v>
      </c>
      <c r="D39">
        <v>21</v>
      </c>
      <c r="E39">
        <v>0.25</v>
      </c>
      <c r="F39">
        <v>189</v>
      </c>
      <c r="G39" t="str">
        <f>VLOOKUP(VLOOKUP(order_details[[#This Row],[ProductID]], products[], 4, FALSE), categories[], 2, FALSE)</f>
        <v>Beverages</v>
      </c>
      <c r="H39">
        <f>VLOOKUP(order_details[[#This Row],[ProductID]], products[], 4, FALSE)</f>
        <v>1</v>
      </c>
      <c r="I39" t="str">
        <f>VLOOKUP(order_details[[#This Row],[OrderID]], orders[[OrderID]:[ShipCountry]], 14, FALSE)</f>
        <v>Germany</v>
      </c>
      <c r="J39" s="1">
        <f>_xlfn.XLOOKUP(order_details[[#This Row],[OrderID]], orders[OrderID], orders[Month])</f>
        <v>8</v>
      </c>
    </row>
    <row r="40" spans="1:10" x14ac:dyDescent="0.35">
      <c r="A40">
        <v>10261</v>
      </c>
      <c r="B40">
        <v>21</v>
      </c>
      <c r="C40">
        <v>8</v>
      </c>
      <c r="D40">
        <v>20</v>
      </c>
      <c r="E40">
        <v>0</v>
      </c>
      <c r="F40">
        <v>160</v>
      </c>
      <c r="G40" t="str">
        <f>VLOOKUP(VLOOKUP(order_details[[#This Row],[ProductID]], products[], 4, FALSE), categories[], 2, FALSE)</f>
        <v>Confections</v>
      </c>
      <c r="H40">
        <f>VLOOKUP(order_details[[#This Row],[ProductID]], products[], 4, FALSE)</f>
        <v>3</v>
      </c>
      <c r="I40" t="str">
        <f>VLOOKUP(order_details[[#This Row],[OrderID]], orders[[OrderID]:[ShipCountry]], 14, FALSE)</f>
        <v>Brazil</v>
      </c>
      <c r="J40" s="1">
        <f>_xlfn.XLOOKUP(order_details[[#This Row],[OrderID]], orders[OrderID], orders[Month])</f>
        <v>8</v>
      </c>
    </row>
    <row r="41" spans="1:10" x14ac:dyDescent="0.35">
      <c r="A41">
        <v>10261</v>
      </c>
      <c r="B41">
        <v>35</v>
      </c>
      <c r="C41">
        <v>14.4</v>
      </c>
      <c r="D41">
        <v>20</v>
      </c>
      <c r="E41">
        <v>0</v>
      </c>
      <c r="F41">
        <v>288</v>
      </c>
      <c r="G41" t="str">
        <f>VLOOKUP(VLOOKUP(order_details[[#This Row],[ProductID]], products[], 4, FALSE), categories[], 2, FALSE)</f>
        <v>Beverages</v>
      </c>
      <c r="H41">
        <f>VLOOKUP(order_details[[#This Row],[ProductID]], products[], 4, FALSE)</f>
        <v>1</v>
      </c>
      <c r="I41" t="str">
        <f>VLOOKUP(order_details[[#This Row],[OrderID]], orders[[OrderID]:[ShipCountry]], 14, FALSE)</f>
        <v>Brazil</v>
      </c>
      <c r="J41" s="1">
        <f>_xlfn.XLOOKUP(order_details[[#This Row],[OrderID]], orders[OrderID], orders[Month])</f>
        <v>8</v>
      </c>
    </row>
    <row r="42" spans="1:10" x14ac:dyDescent="0.35">
      <c r="A42">
        <v>10262</v>
      </c>
      <c r="B42">
        <v>5</v>
      </c>
      <c r="C42">
        <v>17</v>
      </c>
      <c r="D42">
        <v>12</v>
      </c>
      <c r="E42">
        <v>0.2</v>
      </c>
      <c r="F42">
        <v>163.20000000000002</v>
      </c>
      <c r="G42" t="str">
        <f>VLOOKUP(VLOOKUP(order_details[[#This Row],[ProductID]], products[], 4, FALSE), categories[], 2, FALSE)</f>
        <v>Condiments</v>
      </c>
      <c r="H42">
        <f>VLOOKUP(order_details[[#This Row],[ProductID]], products[], 4, FALSE)</f>
        <v>2</v>
      </c>
      <c r="I42" t="str">
        <f>VLOOKUP(order_details[[#This Row],[OrderID]], orders[[OrderID]:[ShipCountry]], 14, FALSE)</f>
        <v>USA</v>
      </c>
      <c r="J42" s="1">
        <f>_xlfn.XLOOKUP(order_details[[#This Row],[OrderID]], orders[OrderID], orders[Month])</f>
        <v>8</v>
      </c>
    </row>
    <row r="43" spans="1:10" x14ac:dyDescent="0.35">
      <c r="A43">
        <v>10262</v>
      </c>
      <c r="B43">
        <v>7</v>
      </c>
      <c r="C43">
        <v>24</v>
      </c>
      <c r="D43">
        <v>15</v>
      </c>
      <c r="E43">
        <v>0</v>
      </c>
      <c r="F43">
        <v>360</v>
      </c>
      <c r="G43" t="str">
        <f>VLOOKUP(VLOOKUP(order_details[[#This Row],[ProductID]], products[], 4, FALSE), categories[], 2, FALSE)</f>
        <v>Produce</v>
      </c>
      <c r="H43">
        <f>VLOOKUP(order_details[[#This Row],[ProductID]], products[], 4, FALSE)</f>
        <v>7</v>
      </c>
      <c r="I43" t="str">
        <f>VLOOKUP(order_details[[#This Row],[OrderID]], orders[[OrderID]:[ShipCountry]], 14, FALSE)</f>
        <v>USA</v>
      </c>
      <c r="J43" s="1">
        <f>_xlfn.XLOOKUP(order_details[[#This Row],[OrderID]], orders[OrderID], orders[Month])</f>
        <v>8</v>
      </c>
    </row>
    <row r="44" spans="1:10" x14ac:dyDescent="0.35">
      <c r="A44">
        <v>10262</v>
      </c>
      <c r="B44">
        <v>56</v>
      </c>
      <c r="C44">
        <v>30.4</v>
      </c>
      <c r="D44">
        <v>2</v>
      </c>
      <c r="E44">
        <v>0</v>
      </c>
      <c r="F44">
        <v>60.8</v>
      </c>
      <c r="G44" t="str">
        <f>VLOOKUP(VLOOKUP(order_details[[#This Row],[ProductID]], products[], 4, FALSE), categories[], 2, FALSE)</f>
        <v>Grains/Cereals</v>
      </c>
      <c r="H44">
        <f>VLOOKUP(order_details[[#This Row],[ProductID]], products[], 4, FALSE)</f>
        <v>5</v>
      </c>
      <c r="I44" t="str">
        <f>VLOOKUP(order_details[[#This Row],[OrderID]], orders[[OrderID]:[ShipCountry]], 14, FALSE)</f>
        <v>USA</v>
      </c>
      <c r="J44" s="1">
        <f>_xlfn.XLOOKUP(order_details[[#This Row],[OrderID]], orders[OrderID], orders[Month])</f>
        <v>8</v>
      </c>
    </row>
    <row r="45" spans="1:10" x14ac:dyDescent="0.35">
      <c r="A45">
        <v>10263</v>
      </c>
      <c r="B45">
        <v>16</v>
      </c>
      <c r="C45">
        <v>13.9</v>
      </c>
      <c r="D45">
        <v>60</v>
      </c>
      <c r="E45">
        <v>0.25</v>
      </c>
      <c r="F45">
        <v>625.5</v>
      </c>
      <c r="G45" t="str">
        <f>VLOOKUP(VLOOKUP(order_details[[#This Row],[ProductID]], products[], 4, FALSE), categories[], 2, FALSE)</f>
        <v>Confections</v>
      </c>
      <c r="H45">
        <f>VLOOKUP(order_details[[#This Row],[ProductID]], products[], 4, FALSE)</f>
        <v>3</v>
      </c>
      <c r="I45" t="str">
        <f>VLOOKUP(order_details[[#This Row],[OrderID]], orders[[OrderID]:[ShipCountry]], 14, FALSE)</f>
        <v>Austria</v>
      </c>
      <c r="J45" s="1">
        <f>_xlfn.XLOOKUP(order_details[[#This Row],[OrderID]], orders[OrderID], orders[Month])</f>
        <v>8</v>
      </c>
    </row>
    <row r="46" spans="1:10" x14ac:dyDescent="0.35">
      <c r="A46">
        <v>10263</v>
      </c>
      <c r="B46">
        <v>24</v>
      </c>
      <c r="C46">
        <v>3.6</v>
      </c>
      <c r="D46">
        <v>28</v>
      </c>
      <c r="E46">
        <v>0</v>
      </c>
      <c r="F46">
        <v>100.8</v>
      </c>
      <c r="G46" t="str">
        <f>VLOOKUP(VLOOKUP(order_details[[#This Row],[ProductID]], products[], 4, FALSE), categories[], 2, FALSE)</f>
        <v>Beverages</v>
      </c>
      <c r="H46">
        <f>VLOOKUP(order_details[[#This Row],[ProductID]], products[], 4, FALSE)</f>
        <v>1</v>
      </c>
      <c r="I46" t="str">
        <f>VLOOKUP(order_details[[#This Row],[OrderID]], orders[[OrderID]:[ShipCountry]], 14, FALSE)</f>
        <v>Austria</v>
      </c>
      <c r="J46" s="1">
        <f>_xlfn.XLOOKUP(order_details[[#This Row],[OrderID]], orders[OrderID], orders[Month])</f>
        <v>8</v>
      </c>
    </row>
    <row r="47" spans="1:10" x14ac:dyDescent="0.35">
      <c r="A47">
        <v>10263</v>
      </c>
      <c r="B47">
        <v>30</v>
      </c>
      <c r="C47">
        <v>20.7</v>
      </c>
      <c r="D47">
        <v>60</v>
      </c>
      <c r="E47">
        <v>0.25</v>
      </c>
      <c r="F47">
        <v>931.5</v>
      </c>
      <c r="G47" t="str">
        <f>VLOOKUP(VLOOKUP(order_details[[#This Row],[ProductID]], products[], 4, FALSE), categories[], 2, FALSE)</f>
        <v>Seafood</v>
      </c>
      <c r="H47">
        <f>VLOOKUP(order_details[[#This Row],[ProductID]], products[], 4, FALSE)</f>
        <v>8</v>
      </c>
      <c r="I47" t="str">
        <f>VLOOKUP(order_details[[#This Row],[OrderID]], orders[[OrderID]:[ShipCountry]], 14, FALSE)</f>
        <v>Austria</v>
      </c>
      <c r="J47" s="1">
        <f>_xlfn.XLOOKUP(order_details[[#This Row],[OrderID]], orders[OrderID], orders[Month])</f>
        <v>8</v>
      </c>
    </row>
    <row r="48" spans="1:10" x14ac:dyDescent="0.35">
      <c r="A48">
        <v>10263</v>
      </c>
      <c r="B48">
        <v>74</v>
      </c>
      <c r="C48">
        <v>8</v>
      </c>
      <c r="D48">
        <v>36</v>
      </c>
      <c r="E48">
        <v>0.25</v>
      </c>
      <c r="F48">
        <v>216</v>
      </c>
      <c r="G48" t="str">
        <f>VLOOKUP(VLOOKUP(order_details[[#This Row],[ProductID]], products[], 4, FALSE), categories[], 2, FALSE)</f>
        <v>Produce</v>
      </c>
      <c r="H48">
        <f>VLOOKUP(order_details[[#This Row],[ProductID]], products[], 4, FALSE)</f>
        <v>7</v>
      </c>
      <c r="I48" t="str">
        <f>VLOOKUP(order_details[[#This Row],[OrderID]], orders[[OrderID]:[ShipCountry]], 14, FALSE)</f>
        <v>Austria</v>
      </c>
      <c r="J48" s="1">
        <f>_xlfn.XLOOKUP(order_details[[#This Row],[OrderID]], orders[OrderID], orders[Month])</f>
        <v>8</v>
      </c>
    </row>
    <row r="49" spans="1:10" x14ac:dyDescent="0.35">
      <c r="A49">
        <v>10264</v>
      </c>
      <c r="B49">
        <v>2</v>
      </c>
      <c r="C49">
        <v>15.2</v>
      </c>
      <c r="D49">
        <v>35</v>
      </c>
      <c r="E49">
        <v>0</v>
      </c>
      <c r="F49">
        <v>532</v>
      </c>
      <c r="G49" t="str">
        <f>VLOOKUP(VLOOKUP(order_details[[#This Row],[ProductID]], products[], 4, FALSE), categories[], 2, FALSE)</f>
        <v>Beverages</v>
      </c>
      <c r="H49">
        <f>VLOOKUP(order_details[[#This Row],[ProductID]], products[], 4, FALSE)</f>
        <v>1</v>
      </c>
      <c r="I49" t="str">
        <f>VLOOKUP(order_details[[#This Row],[OrderID]], orders[[OrderID]:[ShipCountry]], 14, FALSE)</f>
        <v>Sweden</v>
      </c>
      <c r="J49" s="1">
        <f>_xlfn.XLOOKUP(order_details[[#This Row],[OrderID]], orders[OrderID], orders[Month])</f>
        <v>8</v>
      </c>
    </row>
    <row r="50" spans="1:10" x14ac:dyDescent="0.35">
      <c r="A50">
        <v>10264</v>
      </c>
      <c r="B50">
        <v>41</v>
      </c>
      <c r="C50">
        <v>7.7</v>
      </c>
      <c r="D50">
        <v>25</v>
      </c>
      <c r="E50">
        <v>0.15</v>
      </c>
      <c r="F50">
        <v>163.625</v>
      </c>
      <c r="G50" t="str">
        <f>VLOOKUP(VLOOKUP(order_details[[#This Row],[ProductID]], products[], 4, FALSE), categories[], 2, FALSE)</f>
        <v>Seafood</v>
      </c>
      <c r="H50">
        <f>VLOOKUP(order_details[[#This Row],[ProductID]], products[], 4, FALSE)</f>
        <v>8</v>
      </c>
      <c r="I50" t="str">
        <f>VLOOKUP(order_details[[#This Row],[OrderID]], orders[[OrderID]:[ShipCountry]], 14, FALSE)</f>
        <v>Sweden</v>
      </c>
      <c r="J50" s="1">
        <f>_xlfn.XLOOKUP(order_details[[#This Row],[OrderID]], orders[OrderID], orders[Month])</f>
        <v>8</v>
      </c>
    </row>
    <row r="51" spans="1:10" x14ac:dyDescent="0.35">
      <c r="A51">
        <v>10265</v>
      </c>
      <c r="B51">
        <v>17</v>
      </c>
      <c r="C51">
        <v>31.2</v>
      </c>
      <c r="D51">
        <v>30</v>
      </c>
      <c r="E51">
        <v>0</v>
      </c>
      <c r="F51">
        <v>936</v>
      </c>
      <c r="G51" t="str">
        <f>VLOOKUP(VLOOKUP(order_details[[#This Row],[ProductID]], products[], 4, FALSE), categories[], 2, FALSE)</f>
        <v>Meat/Poultry</v>
      </c>
      <c r="H51">
        <f>VLOOKUP(order_details[[#This Row],[ProductID]], products[], 4, FALSE)</f>
        <v>6</v>
      </c>
      <c r="I51" t="str">
        <f>VLOOKUP(order_details[[#This Row],[OrderID]], orders[[OrderID]:[ShipCountry]], 14, FALSE)</f>
        <v>France</v>
      </c>
      <c r="J51" s="1">
        <f>_xlfn.XLOOKUP(order_details[[#This Row],[OrderID]], orders[OrderID], orders[Month])</f>
        <v>8</v>
      </c>
    </row>
    <row r="52" spans="1:10" x14ac:dyDescent="0.35">
      <c r="A52">
        <v>10265</v>
      </c>
      <c r="B52">
        <v>70</v>
      </c>
      <c r="C52">
        <v>12</v>
      </c>
      <c r="D52">
        <v>20</v>
      </c>
      <c r="E52">
        <v>0</v>
      </c>
      <c r="F52">
        <v>240</v>
      </c>
      <c r="G52" t="str">
        <f>VLOOKUP(VLOOKUP(order_details[[#This Row],[ProductID]], products[], 4, FALSE), categories[], 2, FALSE)</f>
        <v>Beverages</v>
      </c>
      <c r="H52">
        <f>VLOOKUP(order_details[[#This Row],[ProductID]], products[], 4, FALSE)</f>
        <v>1</v>
      </c>
      <c r="I52" t="str">
        <f>VLOOKUP(order_details[[#This Row],[OrderID]], orders[[OrderID]:[ShipCountry]], 14, FALSE)</f>
        <v>France</v>
      </c>
      <c r="J52" s="1">
        <f>_xlfn.XLOOKUP(order_details[[#This Row],[OrderID]], orders[OrderID], orders[Month])</f>
        <v>8</v>
      </c>
    </row>
    <row r="53" spans="1:10" x14ac:dyDescent="0.35">
      <c r="A53">
        <v>10266</v>
      </c>
      <c r="B53">
        <v>12</v>
      </c>
      <c r="C53">
        <v>30.4</v>
      </c>
      <c r="D53">
        <v>12</v>
      </c>
      <c r="E53">
        <v>0.05</v>
      </c>
      <c r="F53">
        <v>346.55999999999995</v>
      </c>
      <c r="G53" t="str">
        <f>VLOOKUP(VLOOKUP(order_details[[#This Row],[ProductID]], products[], 4, FALSE), categories[], 2, FALSE)</f>
        <v>Dairy Products</v>
      </c>
      <c r="H53">
        <f>VLOOKUP(order_details[[#This Row],[ProductID]], products[], 4, FALSE)</f>
        <v>4</v>
      </c>
      <c r="I53" t="str">
        <f>VLOOKUP(order_details[[#This Row],[OrderID]], orders[[OrderID]:[ShipCountry]], 14, FALSE)</f>
        <v>Finland</v>
      </c>
      <c r="J53" s="1">
        <f>_xlfn.XLOOKUP(order_details[[#This Row],[OrderID]], orders[OrderID], orders[Month])</f>
        <v>8</v>
      </c>
    </row>
    <row r="54" spans="1:10" x14ac:dyDescent="0.35">
      <c r="A54">
        <v>10267</v>
      </c>
      <c r="B54">
        <v>40</v>
      </c>
      <c r="C54">
        <v>14.7</v>
      </c>
      <c r="D54">
        <v>50</v>
      </c>
      <c r="E54">
        <v>0</v>
      </c>
      <c r="F54">
        <v>735</v>
      </c>
      <c r="G54" t="str">
        <f>VLOOKUP(VLOOKUP(order_details[[#This Row],[ProductID]], products[], 4, FALSE), categories[], 2, FALSE)</f>
        <v>Seafood</v>
      </c>
      <c r="H54">
        <f>VLOOKUP(order_details[[#This Row],[ProductID]], products[], 4, FALSE)</f>
        <v>8</v>
      </c>
      <c r="I54" t="str">
        <f>VLOOKUP(order_details[[#This Row],[OrderID]], orders[[OrderID]:[ShipCountry]], 14, FALSE)</f>
        <v>Germany</v>
      </c>
      <c r="J54" s="1">
        <f>_xlfn.XLOOKUP(order_details[[#This Row],[OrderID]], orders[OrderID], orders[Month])</f>
        <v>8</v>
      </c>
    </row>
    <row r="55" spans="1:10" x14ac:dyDescent="0.35">
      <c r="A55">
        <v>10267</v>
      </c>
      <c r="B55">
        <v>59</v>
      </c>
      <c r="C55">
        <v>44</v>
      </c>
      <c r="D55">
        <v>70</v>
      </c>
      <c r="E55">
        <v>0.15</v>
      </c>
      <c r="F55">
        <v>2618</v>
      </c>
      <c r="G55" t="str">
        <f>VLOOKUP(VLOOKUP(order_details[[#This Row],[ProductID]], products[], 4, FALSE), categories[], 2, FALSE)</f>
        <v>Dairy Products</v>
      </c>
      <c r="H55">
        <f>VLOOKUP(order_details[[#This Row],[ProductID]], products[], 4, FALSE)</f>
        <v>4</v>
      </c>
      <c r="I55" t="str">
        <f>VLOOKUP(order_details[[#This Row],[OrderID]], orders[[OrderID]:[ShipCountry]], 14, FALSE)</f>
        <v>Germany</v>
      </c>
      <c r="J55" s="1">
        <f>_xlfn.XLOOKUP(order_details[[#This Row],[OrderID]], orders[OrderID], orders[Month])</f>
        <v>8</v>
      </c>
    </row>
    <row r="56" spans="1:10" x14ac:dyDescent="0.35">
      <c r="A56">
        <v>10267</v>
      </c>
      <c r="B56">
        <v>76</v>
      </c>
      <c r="C56">
        <v>14.4</v>
      </c>
      <c r="D56">
        <v>15</v>
      </c>
      <c r="E56">
        <v>0.15</v>
      </c>
      <c r="F56">
        <v>183.6</v>
      </c>
      <c r="G56" t="str">
        <f>VLOOKUP(VLOOKUP(order_details[[#This Row],[ProductID]], products[], 4, FALSE), categories[], 2, FALSE)</f>
        <v>Beverages</v>
      </c>
      <c r="H56">
        <f>VLOOKUP(order_details[[#This Row],[ProductID]], products[], 4, FALSE)</f>
        <v>1</v>
      </c>
      <c r="I56" t="str">
        <f>VLOOKUP(order_details[[#This Row],[OrderID]], orders[[OrderID]:[ShipCountry]], 14, FALSE)</f>
        <v>Germany</v>
      </c>
      <c r="J56" s="1">
        <f>_xlfn.XLOOKUP(order_details[[#This Row],[OrderID]], orders[OrderID], orders[Month])</f>
        <v>8</v>
      </c>
    </row>
    <row r="57" spans="1:10" x14ac:dyDescent="0.35">
      <c r="A57">
        <v>10268</v>
      </c>
      <c r="B57">
        <v>29</v>
      </c>
      <c r="C57">
        <v>99</v>
      </c>
      <c r="D57">
        <v>10</v>
      </c>
      <c r="E57">
        <v>0</v>
      </c>
      <c r="F57">
        <v>990</v>
      </c>
      <c r="G57" t="str">
        <f>VLOOKUP(VLOOKUP(order_details[[#This Row],[ProductID]], products[], 4, FALSE), categories[], 2, FALSE)</f>
        <v>Meat/Poultry</v>
      </c>
      <c r="H57">
        <f>VLOOKUP(order_details[[#This Row],[ProductID]], products[], 4, FALSE)</f>
        <v>6</v>
      </c>
      <c r="I57" t="str">
        <f>VLOOKUP(order_details[[#This Row],[OrderID]], orders[[OrderID]:[ShipCountry]], 14, FALSE)</f>
        <v>Venezuela</v>
      </c>
      <c r="J57" s="1">
        <f>_xlfn.XLOOKUP(order_details[[#This Row],[OrderID]], orders[OrderID], orders[Month])</f>
        <v>8</v>
      </c>
    </row>
    <row r="58" spans="1:10" x14ac:dyDescent="0.35">
      <c r="A58">
        <v>10268</v>
      </c>
      <c r="B58">
        <v>72</v>
      </c>
      <c r="C58">
        <v>27.8</v>
      </c>
      <c r="D58">
        <v>4</v>
      </c>
      <c r="E58">
        <v>0</v>
      </c>
      <c r="F58">
        <v>111.2</v>
      </c>
      <c r="G58" t="str">
        <f>VLOOKUP(VLOOKUP(order_details[[#This Row],[ProductID]], products[], 4, FALSE), categories[], 2, FALSE)</f>
        <v>Dairy Products</v>
      </c>
      <c r="H58">
        <f>VLOOKUP(order_details[[#This Row],[ProductID]], products[], 4, FALSE)</f>
        <v>4</v>
      </c>
      <c r="I58" t="str">
        <f>VLOOKUP(order_details[[#This Row],[OrderID]], orders[[OrderID]:[ShipCountry]], 14, FALSE)</f>
        <v>Venezuela</v>
      </c>
      <c r="J58" s="1">
        <f>_xlfn.XLOOKUP(order_details[[#This Row],[OrderID]], orders[OrderID], orders[Month])</f>
        <v>8</v>
      </c>
    </row>
    <row r="59" spans="1:10" x14ac:dyDescent="0.35">
      <c r="A59">
        <v>10269</v>
      </c>
      <c r="B59">
        <v>33</v>
      </c>
      <c r="C59">
        <v>2</v>
      </c>
      <c r="D59">
        <v>60</v>
      </c>
      <c r="E59">
        <v>0.05</v>
      </c>
      <c r="F59">
        <v>114</v>
      </c>
      <c r="G59" t="str">
        <f>VLOOKUP(VLOOKUP(order_details[[#This Row],[ProductID]], products[], 4, FALSE), categories[], 2, FALSE)</f>
        <v>Dairy Products</v>
      </c>
      <c r="H59">
        <f>VLOOKUP(order_details[[#This Row],[ProductID]], products[], 4, FALSE)</f>
        <v>4</v>
      </c>
      <c r="I59" t="str">
        <f>VLOOKUP(order_details[[#This Row],[OrderID]], orders[[OrderID]:[ShipCountry]], 14, FALSE)</f>
        <v>USA</v>
      </c>
      <c r="J59" s="1">
        <f>_xlfn.XLOOKUP(order_details[[#This Row],[OrderID]], orders[OrderID], orders[Month])</f>
        <v>8</v>
      </c>
    </row>
    <row r="60" spans="1:10" x14ac:dyDescent="0.35">
      <c r="A60">
        <v>10269</v>
      </c>
      <c r="B60">
        <v>72</v>
      </c>
      <c r="C60">
        <v>27.8</v>
      </c>
      <c r="D60">
        <v>20</v>
      </c>
      <c r="E60">
        <v>0.05</v>
      </c>
      <c r="F60">
        <v>528.19999999999993</v>
      </c>
      <c r="G60" t="str">
        <f>VLOOKUP(VLOOKUP(order_details[[#This Row],[ProductID]], products[], 4, FALSE), categories[], 2, FALSE)</f>
        <v>Dairy Products</v>
      </c>
      <c r="H60">
        <f>VLOOKUP(order_details[[#This Row],[ProductID]], products[], 4, FALSE)</f>
        <v>4</v>
      </c>
      <c r="I60" t="str">
        <f>VLOOKUP(order_details[[#This Row],[OrderID]], orders[[OrderID]:[ShipCountry]], 14, FALSE)</f>
        <v>USA</v>
      </c>
      <c r="J60" s="1">
        <f>_xlfn.XLOOKUP(order_details[[#This Row],[OrderID]], orders[OrderID], orders[Month])</f>
        <v>8</v>
      </c>
    </row>
    <row r="61" spans="1:10" x14ac:dyDescent="0.35">
      <c r="A61">
        <v>10270</v>
      </c>
      <c r="B61">
        <v>36</v>
      </c>
      <c r="C61">
        <v>15.2</v>
      </c>
      <c r="D61">
        <v>30</v>
      </c>
      <c r="E61">
        <v>0</v>
      </c>
      <c r="F61">
        <v>456</v>
      </c>
      <c r="G61" t="str">
        <f>VLOOKUP(VLOOKUP(order_details[[#This Row],[ProductID]], products[], 4, FALSE), categories[], 2, FALSE)</f>
        <v>Seafood</v>
      </c>
      <c r="H61">
        <f>VLOOKUP(order_details[[#This Row],[ProductID]], products[], 4, FALSE)</f>
        <v>8</v>
      </c>
      <c r="I61" t="str">
        <f>VLOOKUP(order_details[[#This Row],[OrderID]], orders[[OrderID]:[ShipCountry]], 14, FALSE)</f>
        <v>Finland</v>
      </c>
      <c r="J61" s="1">
        <f>_xlfn.XLOOKUP(order_details[[#This Row],[OrderID]], orders[OrderID], orders[Month])</f>
        <v>9</v>
      </c>
    </row>
    <row r="62" spans="1:10" x14ac:dyDescent="0.35">
      <c r="A62">
        <v>10270</v>
      </c>
      <c r="B62">
        <v>43</v>
      </c>
      <c r="C62">
        <v>36.799999999999997</v>
      </c>
      <c r="D62">
        <v>25</v>
      </c>
      <c r="E62">
        <v>0</v>
      </c>
      <c r="F62">
        <v>919.99999999999989</v>
      </c>
      <c r="G62" t="str">
        <f>VLOOKUP(VLOOKUP(order_details[[#This Row],[ProductID]], products[], 4, FALSE), categories[], 2, FALSE)</f>
        <v>Beverages</v>
      </c>
      <c r="H62">
        <f>VLOOKUP(order_details[[#This Row],[ProductID]], products[], 4, FALSE)</f>
        <v>1</v>
      </c>
      <c r="I62" t="str">
        <f>VLOOKUP(order_details[[#This Row],[OrderID]], orders[[OrderID]:[ShipCountry]], 14, FALSE)</f>
        <v>Finland</v>
      </c>
      <c r="J62" s="1">
        <f>_xlfn.XLOOKUP(order_details[[#This Row],[OrderID]], orders[OrderID], orders[Month])</f>
        <v>9</v>
      </c>
    </row>
    <row r="63" spans="1:10" x14ac:dyDescent="0.35">
      <c r="A63">
        <v>10271</v>
      </c>
      <c r="B63">
        <v>33</v>
      </c>
      <c r="C63">
        <v>2</v>
      </c>
      <c r="D63">
        <v>24</v>
      </c>
      <c r="E63">
        <v>0</v>
      </c>
      <c r="F63">
        <v>48</v>
      </c>
      <c r="G63" t="str">
        <f>VLOOKUP(VLOOKUP(order_details[[#This Row],[ProductID]], products[], 4, FALSE), categories[], 2, FALSE)</f>
        <v>Dairy Products</v>
      </c>
      <c r="H63">
        <f>VLOOKUP(order_details[[#This Row],[ProductID]], products[], 4, FALSE)</f>
        <v>4</v>
      </c>
      <c r="I63" t="str">
        <f>VLOOKUP(order_details[[#This Row],[OrderID]], orders[[OrderID]:[ShipCountry]], 14, FALSE)</f>
        <v>USA</v>
      </c>
      <c r="J63" s="1">
        <f>_xlfn.XLOOKUP(order_details[[#This Row],[OrderID]], orders[OrderID], orders[Month])</f>
        <v>9</v>
      </c>
    </row>
    <row r="64" spans="1:10" x14ac:dyDescent="0.35">
      <c r="A64">
        <v>10272</v>
      </c>
      <c r="B64">
        <v>20</v>
      </c>
      <c r="C64">
        <v>64.8</v>
      </c>
      <c r="D64">
        <v>6</v>
      </c>
      <c r="E64">
        <v>0</v>
      </c>
      <c r="F64">
        <v>388.79999999999995</v>
      </c>
      <c r="G64" t="str">
        <f>VLOOKUP(VLOOKUP(order_details[[#This Row],[ProductID]], products[], 4, FALSE), categories[], 2, FALSE)</f>
        <v>Confections</v>
      </c>
      <c r="H64">
        <f>VLOOKUP(order_details[[#This Row],[ProductID]], products[], 4, FALSE)</f>
        <v>3</v>
      </c>
      <c r="I64" t="str">
        <f>VLOOKUP(order_details[[#This Row],[OrderID]], orders[[OrderID]:[ShipCountry]], 14, FALSE)</f>
        <v>USA</v>
      </c>
      <c r="J64" s="1">
        <f>_xlfn.XLOOKUP(order_details[[#This Row],[OrderID]], orders[OrderID], orders[Month])</f>
        <v>9</v>
      </c>
    </row>
    <row r="65" spans="1:10" x14ac:dyDescent="0.35">
      <c r="A65">
        <v>10272</v>
      </c>
      <c r="B65">
        <v>31</v>
      </c>
      <c r="C65">
        <v>10</v>
      </c>
      <c r="D65">
        <v>40</v>
      </c>
      <c r="E65">
        <v>0</v>
      </c>
      <c r="F65">
        <v>400</v>
      </c>
      <c r="G65" t="str">
        <f>VLOOKUP(VLOOKUP(order_details[[#This Row],[ProductID]], products[], 4, FALSE), categories[], 2, FALSE)</f>
        <v>Dairy Products</v>
      </c>
      <c r="H65">
        <f>VLOOKUP(order_details[[#This Row],[ProductID]], products[], 4, FALSE)</f>
        <v>4</v>
      </c>
      <c r="I65" t="str">
        <f>VLOOKUP(order_details[[#This Row],[OrderID]], orders[[OrderID]:[ShipCountry]], 14, FALSE)</f>
        <v>USA</v>
      </c>
      <c r="J65" s="1">
        <f>_xlfn.XLOOKUP(order_details[[#This Row],[OrderID]], orders[OrderID], orders[Month])</f>
        <v>9</v>
      </c>
    </row>
    <row r="66" spans="1:10" x14ac:dyDescent="0.35">
      <c r="A66">
        <v>10272</v>
      </c>
      <c r="B66">
        <v>72</v>
      </c>
      <c r="C66">
        <v>27.8</v>
      </c>
      <c r="D66">
        <v>24</v>
      </c>
      <c r="E66">
        <v>0</v>
      </c>
      <c r="F66">
        <v>667.2</v>
      </c>
      <c r="G66" t="str">
        <f>VLOOKUP(VLOOKUP(order_details[[#This Row],[ProductID]], products[], 4, FALSE), categories[], 2, FALSE)</f>
        <v>Dairy Products</v>
      </c>
      <c r="H66">
        <f>VLOOKUP(order_details[[#This Row],[ProductID]], products[], 4, FALSE)</f>
        <v>4</v>
      </c>
      <c r="I66" t="str">
        <f>VLOOKUP(order_details[[#This Row],[OrderID]], orders[[OrderID]:[ShipCountry]], 14, FALSE)</f>
        <v>USA</v>
      </c>
      <c r="J66" s="1">
        <f>_xlfn.XLOOKUP(order_details[[#This Row],[OrderID]], orders[OrderID], orders[Month])</f>
        <v>9</v>
      </c>
    </row>
    <row r="67" spans="1:10" x14ac:dyDescent="0.35">
      <c r="A67">
        <v>10273</v>
      </c>
      <c r="B67">
        <v>10</v>
      </c>
      <c r="C67">
        <v>24.8</v>
      </c>
      <c r="D67">
        <v>24</v>
      </c>
      <c r="E67">
        <v>0.05</v>
      </c>
      <c r="F67">
        <v>565.44000000000005</v>
      </c>
      <c r="G67" t="str">
        <f>VLOOKUP(VLOOKUP(order_details[[#This Row],[ProductID]], products[], 4, FALSE), categories[], 2, FALSE)</f>
        <v>Seafood</v>
      </c>
      <c r="H67">
        <f>VLOOKUP(order_details[[#This Row],[ProductID]], products[], 4, FALSE)</f>
        <v>8</v>
      </c>
      <c r="I67" t="str">
        <f>VLOOKUP(order_details[[#This Row],[OrderID]], orders[[OrderID]:[ShipCountry]], 14, FALSE)</f>
        <v>Germany</v>
      </c>
      <c r="J67" s="1">
        <f>_xlfn.XLOOKUP(order_details[[#This Row],[OrderID]], orders[OrderID], orders[Month])</f>
        <v>9</v>
      </c>
    </row>
    <row r="68" spans="1:10" x14ac:dyDescent="0.35">
      <c r="A68">
        <v>10273</v>
      </c>
      <c r="B68">
        <v>31</v>
      </c>
      <c r="C68">
        <v>10</v>
      </c>
      <c r="D68">
        <v>15</v>
      </c>
      <c r="E68">
        <v>0.05</v>
      </c>
      <c r="F68">
        <v>142.5</v>
      </c>
      <c r="G68" t="str">
        <f>VLOOKUP(VLOOKUP(order_details[[#This Row],[ProductID]], products[], 4, FALSE), categories[], 2, FALSE)</f>
        <v>Dairy Products</v>
      </c>
      <c r="H68">
        <f>VLOOKUP(order_details[[#This Row],[ProductID]], products[], 4, FALSE)</f>
        <v>4</v>
      </c>
      <c r="I68" t="str">
        <f>VLOOKUP(order_details[[#This Row],[OrderID]], orders[[OrderID]:[ShipCountry]], 14, FALSE)</f>
        <v>Germany</v>
      </c>
      <c r="J68" s="1">
        <f>_xlfn.XLOOKUP(order_details[[#This Row],[OrderID]], orders[OrderID], orders[Month])</f>
        <v>9</v>
      </c>
    </row>
    <row r="69" spans="1:10" x14ac:dyDescent="0.35">
      <c r="A69">
        <v>10273</v>
      </c>
      <c r="B69">
        <v>33</v>
      </c>
      <c r="C69">
        <v>2</v>
      </c>
      <c r="D69">
        <v>20</v>
      </c>
      <c r="E69">
        <v>0</v>
      </c>
      <c r="F69">
        <v>40</v>
      </c>
      <c r="G69" t="str">
        <f>VLOOKUP(VLOOKUP(order_details[[#This Row],[ProductID]], products[], 4, FALSE), categories[], 2, FALSE)</f>
        <v>Dairy Products</v>
      </c>
      <c r="H69">
        <f>VLOOKUP(order_details[[#This Row],[ProductID]], products[], 4, FALSE)</f>
        <v>4</v>
      </c>
      <c r="I69" t="str">
        <f>VLOOKUP(order_details[[#This Row],[OrderID]], orders[[OrderID]:[ShipCountry]], 14, FALSE)</f>
        <v>Germany</v>
      </c>
      <c r="J69" s="1">
        <f>_xlfn.XLOOKUP(order_details[[#This Row],[OrderID]], orders[OrderID], orders[Month])</f>
        <v>9</v>
      </c>
    </row>
    <row r="70" spans="1:10" x14ac:dyDescent="0.35">
      <c r="A70">
        <v>10273</v>
      </c>
      <c r="B70">
        <v>40</v>
      </c>
      <c r="C70">
        <v>14.7</v>
      </c>
      <c r="D70">
        <v>60</v>
      </c>
      <c r="E70">
        <v>0.05</v>
      </c>
      <c r="F70">
        <v>837.9</v>
      </c>
      <c r="G70" t="str">
        <f>VLOOKUP(VLOOKUP(order_details[[#This Row],[ProductID]], products[], 4, FALSE), categories[], 2, FALSE)</f>
        <v>Seafood</v>
      </c>
      <c r="H70">
        <f>VLOOKUP(order_details[[#This Row],[ProductID]], products[], 4, FALSE)</f>
        <v>8</v>
      </c>
      <c r="I70" t="str">
        <f>VLOOKUP(order_details[[#This Row],[OrderID]], orders[[OrderID]:[ShipCountry]], 14, FALSE)</f>
        <v>Germany</v>
      </c>
      <c r="J70" s="1">
        <f>_xlfn.XLOOKUP(order_details[[#This Row],[OrderID]], orders[OrderID], orders[Month])</f>
        <v>9</v>
      </c>
    </row>
    <row r="71" spans="1:10" x14ac:dyDescent="0.35">
      <c r="A71">
        <v>10273</v>
      </c>
      <c r="B71">
        <v>76</v>
      </c>
      <c r="C71">
        <v>14.4</v>
      </c>
      <c r="D71">
        <v>33</v>
      </c>
      <c r="E71">
        <v>0.05</v>
      </c>
      <c r="F71">
        <v>451.43999999999994</v>
      </c>
      <c r="G71" t="str">
        <f>VLOOKUP(VLOOKUP(order_details[[#This Row],[ProductID]], products[], 4, FALSE), categories[], 2, FALSE)</f>
        <v>Beverages</v>
      </c>
      <c r="H71">
        <f>VLOOKUP(order_details[[#This Row],[ProductID]], products[], 4, FALSE)</f>
        <v>1</v>
      </c>
      <c r="I71" t="str">
        <f>VLOOKUP(order_details[[#This Row],[OrderID]], orders[[OrderID]:[ShipCountry]], 14, FALSE)</f>
        <v>Germany</v>
      </c>
      <c r="J71" s="1">
        <f>_xlfn.XLOOKUP(order_details[[#This Row],[OrderID]], orders[OrderID], orders[Month])</f>
        <v>9</v>
      </c>
    </row>
    <row r="72" spans="1:10" x14ac:dyDescent="0.35">
      <c r="A72">
        <v>10274</v>
      </c>
      <c r="B72">
        <v>71</v>
      </c>
      <c r="C72">
        <v>17.2</v>
      </c>
      <c r="D72">
        <v>20</v>
      </c>
      <c r="E72">
        <v>0</v>
      </c>
      <c r="F72">
        <v>344</v>
      </c>
      <c r="G72" t="str">
        <f>VLOOKUP(VLOOKUP(order_details[[#This Row],[ProductID]], products[], 4, FALSE), categories[], 2, FALSE)</f>
        <v>Dairy Products</v>
      </c>
      <c r="H72">
        <f>VLOOKUP(order_details[[#This Row],[ProductID]], products[], 4, FALSE)</f>
        <v>4</v>
      </c>
      <c r="I72" t="str">
        <f>VLOOKUP(order_details[[#This Row],[OrderID]], orders[[OrderID]:[ShipCountry]], 14, FALSE)</f>
        <v>France</v>
      </c>
      <c r="J72" s="1">
        <f>_xlfn.XLOOKUP(order_details[[#This Row],[OrderID]], orders[OrderID], orders[Month])</f>
        <v>9</v>
      </c>
    </row>
    <row r="73" spans="1:10" x14ac:dyDescent="0.35">
      <c r="A73">
        <v>10274</v>
      </c>
      <c r="B73">
        <v>72</v>
      </c>
      <c r="C73">
        <v>27.8</v>
      </c>
      <c r="D73">
        <v>7</v>
      </c>
      <c r="E73">
        <v>0</v>
      </c>
      <c r="F73">
        <v>194.6</v>
      </c>
      <c r="G73" t="str">
        <f>VLOOKUP(VLOOKUP(order_details[[#This Row],[ProductID]], products[], 4, FALSE), categories[], 2, FALSE)</f>
        <v>Dairy Products</v>
      </c>
      <c r="H73">
        <f>VLOOKUP(order_details[[#This Row],[ProductID]], products[], 4, FALSE)</f>
        <v>4</v>
      </c>
      <c r="I73" t="str">
        <f>VLOOKUP(order_details[[#This Row],[OrderID]], orders[[OrderID]:[ShipCountry]], 14, FALSE)</f>
        <v>France</v>
      </c>
      <c r="J73" s="1">
        <f>_xlfn.XLOOKUP(order_details[[#This Row],[OrderID]], orders[OrderID], orders[Month])</f>
        <v>9</v>
      </c>
    </row>
    <row r="74" spans="1:10" x14ac:dyDescent="0.35">
      <c r="A74">
        <v>10275</v>
      </c>
      <c r="B74">
        <v>24</v>
      </c>
      <c r="C74">
        <v>3.6</v>
      </c>
      <c r="D74">
        <v>12</v>
      </c>
      <c r="E74">
        <v>0.05</v>
      </c>
      <c r="F74">
        <v>41.04</v>
      </c>
      <c r="G74" t="str">
        <f>VLOOKUP(VLOOKUP(order_details[[#This Row],[ProductID]], products[], 4, FALSE), categories[], 2, FALSE)</f>
        <v>Beverages</v>
      </c>
      <c r="H74">
        <f>VLOOKUP(order_details[[#This Row],[ProductID]], products[], 4, FALSE)</f>
        <v>1</v>
      </c>
      <c r="I74" t="str">
        <f>VLOOKUP(order_details[[#This Row],[OrderID]], orders[[OrderID]:[ShipCountry]], 14, FALSE)</f>
        <v>Italy</v>
      </c>
      <c r="J74" s="1">
        <f>_xlfn.XLOOKUP(order_details[[#This Row],[OrderID]], orders[OrderID], orders[Month])</f>
        <v>9</v>
      </c>
    </row>
    <row r="75" spans="1:10" x14ac:dyDescent="0.35">
      <c r="A75">
        <v>10275</v>
      </c>
      <c r="B75">
        <v>59</v>
      </c>
      <c r="C75">
        <v>44</v>
      </c>
      <c r="D75">
        <v>6</v>
      </c>
      <c r="E75">
        <v>0.05</v>
      </c>
      <c r="F75">
        <v>250.79999999999998</v>
      </c>
      <c r="G75" t="str">
        <f>VLOOKUP(VLOOKUP(order_details[[#This Row],[ProductID]], products[], 4, FALSE), categories[], 2, FALSE)</f>
        <v>Dairy Products</v>
      </c>
      <c r="H75">
        <f>VLOOKUP(order_details[[#This Row],[ProductID]], products[], 4, FALSE)</f>
        <v>4</v>
      </c>
      <c r="I75" t="str">
        <f>VLOOKUP(order_details[[#This Row],[OrderID]], orders[[OrderID]:[ShipCountry]], 14, FALSE)</f>
        <v>Italy</v>
      </c>
      <c r="J75" s="1">
        <f>_xlfn.XLOOKUP(order_details[[#This Row],[OrderID]], orders[OrderID], orders[Month])</f>
        <v>9</v>
      </c>
    </row>
    <row r="76" spans="1:10" x14ac:dyDescent="0.35">
      <c r="A76">
        <v>10276</v>
      </c>
      <c r="B76">
        <v>10</v>
      </c>
      <c r="C76">
        <v>24.8</v>
      </c>
      <c r="D76">
        <v>15</v>
      </c>
      <c r="E76">
        <v>0</v>
      </c>
      <c r="F76">
        <v>372</v>
      </c>
      <c r="G76" t="str">
        <f>VLOOKUP(VLOOKUP(order_details[[#This Row],[ProductID]], products[], 4, FALSE), categories[], 2, FALSE)</f>
        <v>Seafood</v>
      </c>
      <c r="H76">
        <f>VLOOKUP(order_details[[#This Row],[ProductID]], products[], 4, FALSE)</f>
        <v>8</v>
      </c>
      <c r="I76" t="str">
        <f>VLOOKUP(order_details[[#This Row],[OrderID]], orders[[OrderID]:[ShipCountry]], 14, FALSE)</f>
        <v>Mexico</v>
      </c>
      <c r="J76" s="1">
        <f>_xlfn.XLOOKUP(order_details[[#This Row],[OrderID]], orders[OrderID], orders[Month])</f>
        <v>9</v>
      </c>
    </row>
    <row r="77" spans="1:10" x14ac:dyDescent="0.35">
      <c r="A77">
        <v>10276</v>
      </c>
      <c r="B77">
        <v>13</v>
      </c>
      <c r="C77">
        <v>4.8</v>
      </c>
      <c r="D77">
        <v>10</v>
      </c>
      <c r="E77">
        <v>0</v>
      </c>
      <c r="F77">
        <v>48</v>
      </c>
      <c r="G77" t="str">
        <f>VLOOKUP(VLOOKUP(order_details[[#This Row],[ProductID]], products[], 4, FALSE), categories[], 2, FALSE)</f>
        <v>Seafood</v>
      </c>
      <c r="H77">
        <f>VLOOKUP(order_details[[#This Row],[ProductID]], products[], 4, FALSE)</f>
        <v>8</v>
      </c>
      <c r="I77" t="str">
        <f>VLOOKUP(order_details[[#This Row],[OrderID]], orders[[OrderID]:[ShipCountry]], 14, FALSE)</f>
        <v>Mexico</v>
      </c>
      <c r="J77" s="1">
        <f>_xlfn.XLOOKUP(order_details[[#This Row],[OrderID]], orders[OrderID], orders[Month])</f>
        <v>9</v>
      </c>
    </row>
    <row r="78" spans="1:10" x14ac:dyDescent="0.35">
      <c r="A78">
        <v>10277</v>
      </c>
      <c r="B78">
        <v>28</v>
      </c>
      <c r="C78">
        <v>36.4</v>
      </c>
      <c r="D78">
        <v>20</v>
      </c>
      <c r="E78">
        <v>0</v>
      </c>
      <c r="F78">
        <v>728</v>
      </c>
      <c r="G78" t="str">
        <f>VLOOKUP(VLOOKUP(order_details[[#This Row],[ProductID]], products[], 4, FALSE), categories[], 2, FALSE)</f>
        <v>Produce</v>
      </c>
      <c r="H78">
        <f>VLOOKUP(order_details[[#This Row],[ProductID]], products[], 4, FALSE)</f>
        <v>7</v>
      </c>
      <c r="I78" t="str">
        <f>VLOOKUP(order_details[[#This Row],[OrderID]], orders[[OrderID]:[ShipCountry]], 14, FALSE)</f>
        <v>Germany</v>
      </c>
      <c r="J78" s="1">
        <f>_xlfn.XLOOKUP(order_details[[#This Row],[OrderID]], orders[OrderID], orders[Month])</f>
        <v>9</v>
      </c>
    </row>
    <row r="79" spans="1:10" x14ac:dyDescent="0.35">
      <c r="A79">
        <v>10277</v>
      </c>
      <c r="B79">
        <v>62</v>
      </c>
      <c r="C79">
        <v>39.4</v>
      </c>
      <c r="D79">
        <v>12</v>
      </c>
      <c r="E79">
        <v>0</v>
      </c>
      <c r="F79">
        <v>472.79999999999995</v>
      </c>
      <c r="G79" t="str">
        <f>VLOOKUP(VLOOKUP(order_details[[#This Row],[ProductID]], products[], 4, FALSE), categories[], 2, FALSE)</f>
        <v>Confections</v>
      </c>
      <c r="H79">
        <f>VLOOKUP(order_details[[#This Row],[ProductID]], products[], 4, FALSE)</f>
        <v>3</v>
      </c>
      <c r="I79" t="str">
        <f>VLOOKUP(order_details[[#This Row],[OrderID]], orders[[OrderID]:[ShipCountry]], 14, FALSE)</f>
        <v>Germany</v>
      </c>
      <c r="J79" s="1">
        <f>_xlfn.XLOOKUP(order_details[[#This Row],[OrderID]], orders[OrderID], orders[Month])</f>
        <v>9</v>
      </c>
    </row>
    <row r="80" spans="1:10" x14ac:dyDescent="0.35">
      <c r="A80">
        <v>10278</v>
      </c>
      <c r="B80">
        <v>44</v>
      </c>
      <c r="C80">
        <v>15.5</v>
      </c>
      <c r="D80">
        <v>16</v>
      </c>
      <c r="E80">
        <v>0</v>
      </c>
      <c r="F80">
        <v>248</v>
      </c>
      <c r="G80" t="str">
        <f>VLOOKUP(VLOOKUP(order_details[[#This Row],[ProductID]], products[], 4, FALSE), categories[], 2, FALSE)</f>
        <v>Condiments</v>
      </c>
      <c r="H80">
        <f>VLOOKUP(order_details[[#This Row],[ProductID]], products[], 4, FALSE)</f>
        <v>2</v>
      </c>
      <c r="I80" t="str">
        <f>VLOOKUP(order_details[[#This Row],[OrderID]], orders[[OrderID]:[ShipCountry]], 14, FALSE)</f>
        <v>Sweden</v>
      </c>
      <c r="J80" s="1">
        <f>_xlfn.XLOOKUP(order_details[[#This Row],[OrderID]], orders[OrderID], orders[Month])</f>
        <v>9</v>
      </c>
    </row>
    <row r="81" spans="1:10" x14ac:dyDescent="0.35">
      <c r="A81">
        <v>10278</v>
      </c>
      <c r="B81">
        <v>59</v>
      </c>
      <c r="C81">
        <v>44</v>
      </c>
      <c r="D81">
        <v>15</v>
      </c>
      <c r="E81">
        <v>0</v>
      </c>
      <c r="F81">
        <v>660</v>
      </c>
      <c r="G81" t="str">
        <f>VLOOKUP(VLOOKUP(order_details[[#This Row],[ProductID]], products[], 4, FALSE), categories[], 2, FALSE)</f>
        <v>Dairy Products</v>
      </c>
      <c r="H81">
        <f>VLOOKUP(order_details[[#This Row],[ProductID]], products[], 4, FALSE)</f>
        <v>4</v>
      </c>
      <c r="I81" t="str">
        <f>VLOOKUP(order_details[[#This Row],[OrderID]], orders[[OrderID]:[ShipCountry]], 14, FALSE)</f>
        <v>Sweden</v>
      </c>
      <c r="J81" s="1">
        <f>_xlfn.XLOOKUP(order_details[[#This Row],[OrderID]], orders[OrderID], orders[Month])</f>
        <v>9</v>
      </c>
    </row>
    <row r="82" spans="1:10" x14ac:dyDescent="0.35">
      <c r="A82">
        <v>10278</v>
      </c>
      <c r="B82">
        <v>63</v>
      </c>
      <c r="C82">
        <v>35.1</v>
      </c>
      <c r="D82">
        <v>8</v>
      </c>
      <c r="E82">
        <v>0</v>
      </c>
      <c r="F82">
        <v>280.8</v>
      </c>
      <c r="G82" t="str">
        <f>VLOOKUP(VLOOKUP(order_details[[#This Row],[ProductID]], products[], 4, FALSE), categories[], 2, FALSE)</f>
        <v>Condiments</v>
      </c>
      <c r="H82">
        <f>VLOOKUP(order_details[[#This Row],[ProductID]], products[], 4, FALSE)</f>
        <v>2</v>
      </c>
      <c r="I82" t="str">
        <f>VLOOKUP(order_details[[#This Row],[OrderID]], orders[[OrderID]:[ShipCountry]], 14, FALSE)</f>
        <v>Sweden</v>
      </c>
      <c r="J82" s="1">
        <f>_xlfn.XLOOKUP(order_details[[#This Row],[OrderID]], orders[OrderID], orders[Month])</f>
        <v>9</v>
      </c>
    </row>
    <row r="83" spans="1:10" x14ac:dyDescent="0.35">
      <c r="A83">
        <v>10278</v>
      </c>
      <c r="B83">
        <v>73</v>
      </c>
      <c r="C83">
        <v>12</v>
      </c>
      <c r="D83">
        <v>25</v>
      </c>
      <c r="E83">
        <v>0</v>
      </c>
      <c r="F83">
        <v>300</v>
      </c>
      <c r="G83" t="str">
        <f>VLOOKUP(VLOOKUP(order_details[[#This Row],[ProductID]], products[], 4, FALSE), categories[], 2, FALSE)</f>
        <v>Seafood</v>
      </c>
      <c r="H83">
        <f>VLOOKUP(order_details[[#This Row],[ProductID]], products[], 4, FALSE)</f>
        <v>8</v>
      </c>
      <c r="I83" t="str">
        <f>VLOOKUP(order_details[[#This Row],[OrderID]], orders[[OrderID]:[ShipCountry]], 14, FALSE)</f>
        <v>Sweden</v>
      </c>
      <c r="J83" s="1">
        <f>_xlfn.XLOOKUP(order_details[[#This Row],[OrderID]], orders[OrderID], orders[Month])</f>
        <v>9</v>
      </c>
    </row>
    <row r="84" spans="1:10" x14ac:dyDescent="0.35">
      <c r="A84">
        <v>10279</v>
      </c>
      <c r="B84">
        <v>17</v>
      </c>
      <c r="C84">
        <v>31.2</v>
      </c>
      <c r="D84">
        <v>15</v>
      </c>
      <c r="E84">
        <v>0.25</v>
      </c>
      <c r="F84">
        <v>351</v>
      </c>
      <c r="G84" t="str">
        <f>VLOOKUP(VLOOKUP(order_details[[#This Row],[ProductID]], products[], 4, FALSE), categories[], 2, FALSE)</f>
        <v>Meat/Poultry</v>
      </c>
      <c r="H84">
        <f>VLOOKUP(order_details[[#This Row],[ProductID]], products[], 4, FALSE)</f>
        <v>6</v>
      </c>
      <c r="I84" t="str">
        <f>VLOOKUP(order_details[[#This Row],[OrderID]], orders[[OrderID]:[ShipCountry]], 14, FALSE)</f>
        <v>Germany</v>
      </c>
      <c r="J84" s="1">
        <f>_xlfn.XLOOKUP(order_details[[#This Row],[OrderID]], orders[OrderID], orders[Month])</f>
        <v>9</v>
      </c>
    </row>
    <row r="85" spans="1:10" x14ac:dyDescent="0.35">
      <c r="A85">
        <v>10280</v>
      </c>
      <c r="B85">
        <v>24</v>
      </c>
      <c r="C85">
        <v>3.6</v>
      </c>
      <c r="D85">
        <v>12</v>
      </c>
      <c r="E85">
        <v>0</v>
      </c>
      <c r="F85">
        <v>43.2</v>
      </c>
      <c r="G85" t="str">
        <f>VLOOKUP(VLOOKUP(order_details[[#This Row],[ProductID]], products[], 4, FALSE), categories[], 2, FALSE)</f>
        <v>Beverages</v>
      </c>
      <c r="H85">
        <f>VLOOKUP(order_details[[#This Row],[ProductID]], products[], 4, FALSE)</f>
        <v>1</v>
      </c>
      <c r="I85" t="str">
        <f>VLOOKUP(order_details[[#This Row],[OrderID]], orders[[OrderID]:[ShipCountry]], 14, FALSE)</f>
        <v>Sweden</v>
      </c>
      <c r="J85" s="1">
        <f>_xlfn.XLOOKUP(order_details[[#This Row],[OrderID]], orders[OrderID], orders[Month])</f>
        <v>9</v>
      </c>
    </row>
    <row r="86" spans="1:10" x14ac:dyDescent="0.35">
      <c r="A86">
        <v>10280</v>
      </c>
      <c r="B86">
        <v>55</v>
      </c>
      <c r="C86">
        <v>19.2</v>
      </c>
      <c r="D86">
        <v>20</v>
      </c>
      <c r="E86">
        <v>0</v>
      </c>
      <c r="F86">
        <v>384</v>
      </c>
      <c r="G86" t="str">
        <f>VLOOKUP(VLOOKUP(order_details[[#This Row],[ProductID]], products[], 4, FALSE), categories[], 2, FALSE)</f>
        <v>Meat/Poultry</v>
      </c>
      <c r="H86">
        <f>VLOOKUP(order_details[[#This Row],[ProductID]], products[], 4, FALSE)</f>
        <v>6</v>
      </c>
      <c r="I86" t="str">
        <f>VLOOKUP(order_details[[#This Row],[OrderID]], orders[[OrderID]:[ShipCountry]], 14, FALSE)</f>
        <v>Sweden</v>
      </c>
      <c r="J86" s="1">
        <f>_xlfn.XLOOKUP(order_details[[#This Row],[OrderID]], orders[OrderID], orders[Month])</f>
        <v>9</v>
      </c>
    </row>
    <row r="87" spans="1:10" x14ac:dyDescent="0.35">
      <c r="A87">
        <v>10280</v>
      </c>
      <c r="B87">
        <v>75</v>
      </c>
      <c r="C87">
        <v>6.2</v>
      </c>
      <c r="D87">
        <v>30</v>
      </c>
      <c r="E87">
        <v>0</v>
      </c>
      <c r="F87">
        <v>186</v>
      </c>
      <c r="G87" t="str">
        <f>VLOOKUP(VLOOKUP(order_details[[#This Row],[ProductID]], products[], 4, FALSE), categories[], 2, FALSE)</f>
        <v>Beverages</v>
      </c>
      <c r="H87">
        <f>VLOOKUP(order_details[[#This Row],[ProductID]], products[], 4, FALSE)</f>
        <v>1</v>
      </c>
      <c r="I87" t="str">
        <f>VLOOKUP(order_details[[#This Row],[OrderID]], orders[[OrderID]:[ShipCountry]], 14, FALSE)</f>
        <v>Sweden</v>
      </c>
      <c r="J87" s="1">
        <f>_xlfn.XLOOKUP(order_details[[#This Row],[OrderID]], orders[OrderID], orders[Month])</f>
        <v>9</v>
      </c>
    </row>
    <row r="88" spans="1:10" x14ac:dyDescent="0.35">
      <c r="A88">
        <v>10281</v>
      </c>
      <c r="B88">
        <v>19</v>
      </c>
      <c r="C88">
        <v>7.3</v>
      </c>
      <c r="D88">
        <v>1</v>
      </c>
      <c r="E88">
        <v>0</v>
      </c>
      <c r="F88">
        <v>7.3</v>
      </c>
      <c r="G88" t="str">
        <f>VLOOKUP(VLOOKUP(order_details[[#This Row],[ProductID]], products[], 4, FALSE), categories[], 2, FALSE)</f>
        <v>Confections</v>
      </c>
      <c r="H88">
        <f>VLOOKUP(order_details[[#This Row],[ProductID]], products[], 4, FALSE)</f>
        <v>3</v>
      </c>
      <c r="I88" t="str">
        <f>VLOOKUP(order_details[[#This Row],[OrderID]], orders[[OrderID]:[ShipCountry]], 14, FALSE)</f>
        <v>Spain</v>
      </c>
      <c r="J88" s="1">
        <f>_xlfn.XLOOKUP(order_details[[#This Row],[OrderID]], orders[OrderID], orders[Month])</f>
        <v>9</v>
      </c>
    </row>
    <row r="89" spans="1:10" x14ac:dyDescent="0.35">
      <c r="A89">
        <v>10281</v>
      </c>
      <c r="B89">
        <v>24</v>
      </c>
      <c r="C89">
        <v>3.6</v>
      </c>
      <c r="D89">
        <v>6</v>
      </c>
      <c r="E89">
        <v>0</v>
      </c>
      <c r="F89">
        <v>21.6</v>
      </c>
      <c r="G89" t="str">
        <f>VLOOKUP(VLOOKUP(order_details[[#This Row],[ProductID]], products[], 4, FALSE), categories[], 2, FALSE)</f>
        <v>Beverages</v>
      </c>
      <c r="H89">
        <f>VLOOKUP(order_details[[#This Row],[ProductID]], products[], 4, FALSE)</f>
        <v>1</v>
      </c>
      <c r="I89" t="str">
        <f>VLOOKUP(order_details[[#This Row],[OrderID]], orders[[OrderID]:[ShipCountry]], 14, FALSE)</f>
        <v>Spain</v>
      </c>
      <c r="J89" s="1">
        <f>_xlfn.XLOOKUP(order_details[[#This Row],[OrderID]], orders[OrderID], orders[Month])</f>
        <v>9</v>
      </c>
    </row>
    <row r="90" spans="1:10" x14ac:dyDescent="0.35">
      <c r="A90">
        <v>10281</v>
      </c>
      <c r="B90">
        <v>35</v>
      </c>
      <c r="C90">
        <v>14.4</v>
      </c>
      <c r="D90">
        <v>4</v>
      </c>
      <c r="E90">
        <v>0</v>
      </c>
      <c r="F90">
        <v>57.6</v>
      </c>
      <c r="G90" t="str">
        <f>VLOOKUP(VLOOKUP(order_details[[#This Row],[ProductID]], products[], 4, FALSE), categories[], 2, FALSE)</f>
        <v>Beverages</v>
      </c>
      <c r="H90">
        <f>VLOOKUP(order_details[[#This Row],[ProductID]], products[], 4, FALSE)</f>
        <v>1</v>
      </c>
      <c r="I90" t="str">
        <f>VLOOKUP(order_details[[#This Row],[OrderID]], orders[[OrderID]:[ShipCountry]], 14, FALSE)</f>
        <v>Spain</v>
      </c>
      <c r="J90" s="1">
        <f>_xlfn.XLOOKUP(order_details[[#This Row],[OrderID]], orders[OrderID], orders[Month])</f>
        <v>9</v>
      </c>
    </row>
    <row r="91" spans="1:10" x14ac:dyDescent="0.35">
      <c r="A91">
        <v>10282</v>
      </c>
      <c r="B91">
        <v>30</v>
      </c>
      <c r="C91">
        <v>20.7</v>
      </c>
      <c r="D91">
        <v>6</v>
      </c>
      <c r="E91">
        <v>0</v>
      </c>
      <c r="F91">
        <v>124.19999999999999</v>
      </c>
      <c r="G91" t="str">
        <f>VLOOKUP(VLOOKUP(order_details[[#This Row],[ProductID]], products[], 4, FALSE), categories[], 2, FALSE)</f>
        <v>Seafood</v>
      </c>
      <c r="H91">
        <f>VLOOKUP(order_details[[#This Row],[ProductID]], products[], 4, FALSE)</f>
        <v>8</v>
      </c>
      <c r="I91" t="str">
        <f>VLOOKUP(order_details[[#This Row],[OrderID]], orders[[OrderID]:[ShipCountry]], 14, FALSE)</f>
        <v>Spain</v>
      </c>
      <c r="J91" s="1">
        <f>_xlfn.XLOOKUP(order_details[[#This Row],[OrderID]], orders[OrderID], orders[Month])</f>
        <v>9</v>
      </c>
    </row>
    <row r="92" spans="1:10" x14ac:dyDescent="0.35">
      <c r="A92">
        <v>10282</v>
      </c>
      <c r="B92">
        <v>57</v>
      </c>
      <c r="C92">
        <v>15.6</v>
      </c>
      <c r="D92">
        <v>2</v>
      </c>
      <c r="E92">
        <v>0</v>
      </c>
      <c r="F92">
        <v>31.2</v>
      </c>
      <c r="G92" t="str">
        <f>VLOOKUP(VLOOKUP(order_details[[#This Row],[ProductID]], products[], 4, FALSE), categories[], 2, FALSE)</f>
        <v>Grains/Cereals</v>
      </c>
      <c r="H92">
        <f>VLOOKUP(order_details[[#This Row],[ProductID]], products[], 4, FALSE)</f>
        <v>5</v>
      </c>
      <c r="I92" t="str">
        <f>VLOOKUP(order_details[[#This Row],[OrderID]], orders[[OrderID]:[ShipCountry]], 14, FALSE)</f>
        <v>Spain</v>
      </c>
      <c r="J92" s="1">
        <f>_xlfn.XLOOKUP(order_details[[#This Row],[OrderID]], orders[OrderID], orders[Month])</f>
        <v>9</v>
      </c>
    </row>
    <row r="93" spans="1:10" x14ac:dyDescent="0.35">
      <c r="A93">
        <v>10283</v>
      </c>
      <c r="B93">
        <v>15</v>
      </c>
      <c r="C93">
        <v>12.4</v>
      </c>
      <c r="D93">
        <v>20</v>
      </c>
      <c r="E93">
        <v>0</v>
      </c>
      <c r="F93">
        <v>248</v>
      </c>
      <c r="G93" t="str">
        <f>VLOOKUP(VLOOKUP(order_details[[#This Row],[ProductID]], products[], 4, FALSE), categories[], 2, FALSE)</f>
        <v>Condiments</v>
      </c>
      <c r="H93">
        <f>VLOOKUP(order_details[[#This Row],[ProductID]], products[], 4, FALSE)</f>
        <v>2</v>
      </c>
      <c r="I93" t="str">
        <f>VLOOKUP(order_details[[#This Row],[OrderID]], orders[[OrderID]:[ShipCountry]], 14, FALSE)</f>
        <v>Venezuela</v>
      </c>
      <c r="J93" s="1">
        <f>_xlfn.XLOOKUP(order_details[[#This Row],[OrderID]], orders[OrderID], orders[Month])</f>
        <v>9</v>
      </c>
    </row>
    <row r="94" spans="1:10" x14ac:dyDescent="0.35">
      <c r="A94">
        <v>10283</v>
      </c>
      <c r="B94">
        <v>19</v>
      </c>
      <c r="C94">
        <v>7.3</v>
      </c>
      <c r="D94">
        <v>18</v>
      </c>
      <c r="E94">
        <v>0</v>
      </c>
      <c r="F94">
        <v>131.4</v>
      </c>
      <c r="G94" t="str">
        <f>VLOOKUP(VLOOKUP(order_details[[#This Row],[ProductID]], products[], 4, FALSE), categories[], 2, FALSE)</f>
        <v>Confections</v>
      </c>
      <c r="H94">
        <f>VLOOKUP(order_details[[#This Row],[ProductID]], products[], 4, FALSE)</f>
        <v>3</v>
      </c>
      <c r="I94" t="str">
        <f>VLOOKUP(order_details[[#This Row],[OrderID]], orders[[OrderID]:[ShipCountry]], 14, FALSE)</f>
        <v>Venezuela</v>
      </c>
      <c r="J94" s="1">
        <f>_xlfn.XLOOKUP(order_details[[#This Row],[OrderID]], orders[OrderID], orders[Month])</f>
        <v>9</v>
      </c>
    </row>
    <row r="95" spans="1:10" x14ac:dyDescent="0.35">
      <c r="A95">
        <v>10283</v>
      </c>
      <c r="B95">
        <v>60</v>
      </c>
      <c r="C95">
        <v>27.2</v>
      </c>
      <c r="D95">
        <v>35</v>
      </c>
      <c r="E95">
        <v>0</v>
      </c>
      <c r="F95">
        <v>952</v>
      </c>
      <c r="G95" t="str">
        <f>VLOOKUP(VLOOKUP(order_details[[#This Row],[ProductID]], products[], 4, FALSE), categories[], 2, FALSE)</f>
        <v>Dairy Products</v>
      </c>
      <c r="H95">
        <f>VLOOKUP(order_details[[#This Row],[ProductID]], products[], 4, FALSE)</f>
        <v>4</v>
      </c>
      <c r="I95" t="str">
        <f>VLOOKUP(order_details[[#This Row],[OrderID]], orders[[OrderID]:[ShipCountry]], 14, FALSE)</f>
        <v>Venezuela</v>
      </c>
      <c r="J95" s="1">
        <f>_xlfn.XLOOKUP(order_details[[#This Row],[OrderID]], orders[OrderID], orders[Month])</f>
        <v>9</v>
      </c>
    </row>
    <row r="96" spans="1:10" x14ac:dyDescent="0.35">
      <c r="A96">
        <v>10283</v>
      </c>
      <c r="B96">
        <v>72</v>
      </c>
      <c r="C96">
        <v>27.8</v>
      </c>
      <c r="D96">
        <v>3</v>
      </c>
      <c r="E96">
        <v>0</v>
      </c>
      <c r="F96">
        <v>83.4</v>
      </c>
      <c r="G96" t="str">
        <f>VLOOKUP(VLOOKUP(order_details[[#This Row],[ProductID]], products[], 4, FALSE), categories[], 2, FALSE)</f>
        <v>Dairy Products</v>
      </c>
      <c r="H96">
        <f>VLOOKUP(order_details[[#This Row],[ProductID]], products[], 4, FALSE)</f>
        <v>4</v>
      </c>
      <c r="I96" t="str">
        <f>VLOOKUP(order_details[[#This Row],[OrderID]], orders[[OrderID]:[ShipCountry]], 14, FALSE)</f>
        <v>Venezuela</v>
      </c>
      <c r="J96" s="1">
        <f>_xlfn.XLOOKUP(order_details[[#This Row],[OrderID]], orders[OrderID], orders[Month])</f>
        <v>9</v>
      </c>
    </row>
    <row r="97" spans="1:10" x14ac:dyDescent="0.35">
      <c r="A97">
        <v>10284</v>
      </c>
      <c r="B97">
        <v>27</v>
      </c>
      <c r="C97">
        <v>35.1</v>
      </c>
      <c r="D97">
        <v>15</v>
      </c>
      <c r="E97">
        <v>0.25</v>
      </c>
      <c r="F97">
        <v>394.875</v>
      </c>
      <c r="G97" t="str">
        <f>VLOOKUP(VLOOKUP(order_details[[#This Row],[ProductID]], products[], 4, FALSE), categories[], 2, FALSE)</f>
        <v>Confections</v>
      </c>
      <c r="H97">
        <f>VLOOKUP(order_details[[#This Row],[ProductID]], products[], 4, FALSE)</f>
        <v>3</v>
      </c>
      <c r="I97" t="str">
        <f>VLOOKUP(order_details[[#This Row],[OrderID]], orders[[OrderID]:[ShipCountry]], 14, FALSE)</f>
        <v>Germany</v>
      </c>
      <c r="J97" s="1">
        <f>_xlfn.XLOOKUP(order_details[[#This Row],[OrderID]], orders[OrderID], orders[Month])</f>
        <v>9</v>
      </c>
    </row>
    <row r="98" spans="1:10" x14ac:dyDescent="0.35">
      <c r="A98">
        <v>10284</v>
      </c>
      <c r="B98">
        <v>44</v>
      </c>
      <c r="C98">
        <v>15.5</v>
      </c>
      <c r="D98">
        <v>21</v>
      </c>
      <c r="E98">
        <v>0</v>
      </c>
      <c r="F98">
        <v>325.5</v>
      </c>
      <c r="G98" t="str">
        <f>VLOOKUP(VLOOKUP(order_details[[#This Row],[ProductID]], products[], 4, FALSE), categories[], 2, FALSE)</f>
        <v>Condiments</v>
      </c>
      <c r="H98">
        <f>VLOOKUP(order_details[[#This Row],[ProductID]], products[], 4, FALSE)</f>
        <v>2</v>
      </c>
      <c r="I98" t="str">
        <f>VLOOKUP(order_details[[#This Row],[OrderID]], orders[[OrderID]:[ShipCountry]], 14, FALSE)</f>
        <v>Germany</v>
      </c>
      <c r="J98" s="1">
        <f>_xlfn.XLOOKUP(order_details[[#This Row],[OrderID]], orders[OrderID], orders[Month])</f>
        <v>9</v>
      </c>
    </row>
    <row r="99" spans="1:10" x14ac:dyDescent="0.35">
      <c r="A99">
        <v>10284</v>
      </c>
      <c r="B99">
        <v>60</v>
      </c>
      <c r="C99">
        <v>27.2</v>
      </c>
      <c r="D99">
        <v>20</v>
      </c>
      <c r="E99">
        <v>0.25</v>
      </c>
      <c r="F99">
        <v>408</v>
      </c>
      <c r="G99" t="str">
        <f>VLOOKUP(VLOOKUP(order_details[[#This Row],[ProductID]], products[], 4, FALSE), categories[], 2, FALSE)</f>
        <v>Dairy Products</v>
      </c>
      <c r="H99">
        <f>VLOOKUP(order_details[[#This Row],[ProductID]], products[], 4, FALSE)</f>
        <v>4</v>
      </c>
      <c r="I99" t="str">
        <f>VLOOKUP(order_details[[#This Row],[OrderID]], orders[[OrderID]:[ShipCountry]], 14, FALSE)</f>
        <v>Germany</v>
      </c>
      <c r="J99" s="1">
        <f>_xlfn.XLOOKUP(order_details[[#This Row],[OrderID]], orders[OrderID], orders[Month])</f>
        <v>9</v>
      </c>
    </row>
    <row r="100" spans="1:10" x14ac:dyDescent="0.35">
      <c r="A100">
        <v>10284</v>
      </c>
      <c r="B100">
        <v>67</v>
      </c>
      <c r="C100">
        <v>11.2</v>
      </c>
      <c r="D100">
        <v>5</v>
      </c>
      <c r="E100">
        <v>0.25</v>
      </c>
      <c r="F100">
        <v>42</v>
      </c>
      <c r="G100" t="str">
        <f>VLOOKUP(VLOOKUP(order_details[[#This Row],[ProductID]], products[], 4, FALSE), categories[], 2, FALSE)</f>
        <v>Beverages</v>
      </c>
      <c r="H100">
        <f>VLOOKUP(order_details[[#This Row],[ProductID]], products[], 4, FALSE)</f>
        <v>1</v>
      </c>
      <c r="I100" t="str">
        <f>VLOOKUP(order_details[[#This Row],[OrderID]], orders[[OrderID]:[ShipCountry]], 14, FALSE)</f>
        <v>Germany</v>
      </c>
      <c r="J100" s="1">
        <f>_xlfn.XLOOKUP(order_details[[#This Row],[OrderID]], orders[OrderID], orders[Month])</f>
        <v>9</v>
      </c>
    </row>
    <row r="101" spans="1:10" x14ac:dyDescent="0.35">
      <c r="A101">
        <v>10285</v>
      </c>
      <c r="B101">
        <v>1</v>
      </c>
      <c r="C101">
        <v>14.4</v>
      </c>
      <c r="D101">
        <v>45</v>
      </c>
      <c r="E101">
        <v>0.2</v>
      </c>
      <c r="F101">
        <v>518.4</v>
      </c>
      <c r="G101" t="str">
        <f>VLOOKUP(VLOOKUP(order_details[[#This Row],[ProductID]], products[], 4, FALSE), categories[], 2, FALSE)</f>
        <v>Beverages</v>
      </c>
      <c r="H101">
        <f>VLOOKUP(order_details[[#This Row],[ProductID]], products[], 4, FALSE)</f>
        <v>1</v>
      </c>
      <c r="I101" t="str">
        <f>VLOOKUP(order_details[[#This Row],[OrderID]], orders[[OrderID]:[ShipCountry]], 14, FALSE)</f>
        <v>Germany</v>
      </c>
      <c r="J101" s="1">
        <f>_xlfn.XLOOKUP(order_details[[#This Row],[OrderID]], orders[OrderID], orders[Month])</f>
        <v>9</v>
      </c>
    </row>
    <row r="102" spans="1:10" x14ac:dyDescent="0.35">
      <c r="A102">
        <v>10285</v>
      </c>
      <c r="B102">
        <v>40</v>
      </c>
      <c r="C102">
        <v>14.7</v>
      </c>
      <c r="D102">
        <v>40</v>
      </c>
      <c r="E102">
        <v>0.2</v>
      </c>
      <c r="F102">
        <v>470.40000000000003</v>
      </c>
      <c r="G102" t="str">
        <f>VLOOKUP(VLOOKUP(order_details[[#This Row],[ProductID]], products[], 4, FALSE), categories[], 2, FALSE)</f>
        <v>Seafood</v>
      </c>
      <c r="H102">
        <f>VLOOKUP(order_details[[#This Row],[ProductID]], products[], 4, FALSE)</f>
        <v>8</v>
      </c>
      <c r="I102" t="str">
        <f>VLOOKUP(order_details[[#This Row],[OrderID]], orders[[OrderID]:[ShipCountry]], 14, FALSE)</f>
        <v>Germany</v>
      </c>
      <c r="J102" s="1">
        <f>_xlfn.XLOOKUP(order_details[[#This Row],[OrderID]], orders[OrderID], orders[Month])</f>
        <v>9</v>
      </c>
    </row>
    <row r="103" spans="1:10" x14ac:dyDescent="0.35">
      <c r="A103">
        <v>10285</v>
      </c>
      <c r="B103">
        <v>53</v>
      </c>
      <c r="C103">
        <v>26.2</v>
      </c>
      <c r="D103">
        <v>36</v>
      </c>
      <c r="E103">
        <v>0.2</v>
      </c>
      <c r="F103">
        <v>754.56</v>
      </c>
      <c r="G103" t="str">
        <f>VLOOKUP(VLOOKUP(order_details[[#This Row],[ProductID]], products[], 4, FALSE), categories[], 2, FALSE)</f>
        <v>Meat/Poultry</v>
      </c>
      <c r="H103">
        <f>VLOOKUP(order_details[[#This Row],[ProductID]], products[], 4, FALSE)</f>
        <v>6</v>
      </c>
      <c r="I103" t="str">
        <f>VLOOKUP(order_details[[#This Row],[OrderID]], orders[[OrderID]:[ShipCountry]], 14, FALSE)</f>
        <v>Germany</v>
      </c>
      <c r="J103" s="1">
        <f>_xlfn.XLOOKUP(order_details[[#This Row],[OrderID]], orders[OrderID], orders[Month])</f>
        <v>9</v>
      </c>
    </row>
    <row r="104" spans="1:10" x14ac:dyDescent="0.35">
      <c r="A104">
        <v>10286</v>
      </c>
      <c r="B104">
        <v>35</v>
      </c>
      <c r="C104">
        <v>14.4</v>
      </c>
      <c r="D104">
        <v>100</v>
      </c>
      <c r="E104">
        <v>0</v>
      </c>
      <c r="F104">
        <v>1440</v>
      </c>
      <c r="G104" t="str">
        <f>VLOOKUP(VLOOKUP(order_details[[#This Row],[ProductID]], products[], 4, FALSE), categories[], 2, FALSE)</f>
        <v>Beverages</v>
      </c>
      <c r="H104">
        <f>VLOOKUP(order_details[[#This Row],[ProductID]], products[], 4, FALSE)</f>
        <v>1</v>
      </c>
      <c r="I104" t="str">
        <f>VLOOKUP(order_details[[#This Row],[OrderID]], orders[[OrderID]:[ShipCountry]], 14, FALSE)</f>
        <v>Germany</v>
      </c>
      <c r="J104" s="1">
        <f>_xlfn.XLOOKUP(order_details[[#This Row],[OrderID]], orders[OrderID], orders[Month])</f>
        <v>9</v>
      </c>
    </row>
    <row r="105" spans="1:10" x14ac:dyDescent="0.35">
      <c r="A105">
        <v>10286</v>
      </c>
      <c r="B105">
        <v>62</v>
      </c>
      <c r="C105">
        <v>39.4</v>
      </c>
      <c r="D105">
        <v>40</v>
      </c>
      <c r="E105">
        <v>0</v>
      </c>
      <c r="F105">
        <v>1576</v>
      </c>
      <c r="G105" t="str">
        <f>VLOOKUP(VLOOKUP(order_details[[#This Row],[ProductID]], products[], 4, FALSE), categories[], 2, FALSE)</f>
        <v>Confections</v>
      </c>
      <c r="H105">
        <f>VLOOKUP(order_details[[#This Row],[ProductID]], products[], 4, FALSE)</f>
        <v>3</v>
      </c>
      <c r="I105" t="str">
        <f>VLOOKUP(order_details[[#This Row],[OrderID]], orders[[OrderID]:[ShipCountry]], 14, FALSE)</f>
        <v>Germany</v>
      </c>
      <c r="J105" s="1">
        <f>_xlfn.XLOOKUP(order_details[[#This Row],[OrderID]], orders[OrderID], orders[Month])</f>
        <v>9</v>
      </c>
    </row>
    <row r="106" spans="1:10" x14ac:dyDescent="0.35">
      <c r="A106">
        <v>10287</v>
      </c>
      <c r="B106">
        <v>16</v>
      </c>
      <c r="C106">
        <v>13.9</v>
      </c>
      <c r="D106">
        <v>40</v>
      </c>
      <c r="E106">
        <v>0.15</v>
      </c>
      <c r="F106">
        <v>472.59999999999997</v>
      </c>
      <c r="G106" t="str">
        <f>VLOOKUP(VLOOKUP(order_details[[#This Row],[ProductID]], products[], 4, FALSE), categories[], 2, FALSE)</f>
        <v>Confections</v>
      </c>
      <c r="H106">
        <f>VLOOKUP(order_details[[#This Row],[ProductID]], products[], 4, FALSE)</f>
        <v>3</v>
      </c>
      <c r="I106" t="str">
        <f>VLOOKUP(order_details[[#This Row],[OrderID]], orders[[OrderID]:[ShipCountry]], 14, FALSE)</f>
        <v>Brazil</v>
      </c>
      <c r="J106" s="1">
        <f>_xlfn.XLOOKUP(order_details[[#This Row],[OrderID]], orders[OrderID], orders[Month])</f>
        <v>9</v>
      </c>
    </row>
    <row r="107" spans="1:10" x14ac:dyDescent="0.35">
      <c r="A107">
        <v>10287</v>
      </c>
      <c r="B107">
        <v>34</v>
      </c>
      <c r="C107">
        <v>11.2</v>
      </c>
      <c r="D107">
        <v>20</v>
      </c>
      <c r="E107">
        <v>0</v>
      </c>
      <c r="F107">
        <v>224</v>
      </c>
      <c r="G107" t="str">
        <f>VLOOKUP(VLOOKUP(order_details[[#This Row],[ProductID]], products[], 4, FALSE), categories[], 2, FALSE)</f>
        <v>Beverages</v>
      </c>
      <c r="H107">
        <f>VLOOKUP(order_details[[#This Row],[ProductID]], products[], 4, FALSE)</f>
        <v>1</v>
      </c>
      <c r="I107" t="str">
        <f>VLOOKUP(order_details[[#This Row],[OrderID]], orders[[OrderID]:[ShipCountry]], 14, FALSE)</f>
        <v>Brazil</v>
      </c>
      <c r="J107" s="1">
        <f>_xlfn.XLOOKUP(order_details[[#This Row],[OrderID]], orders[OrderID], orders[Month])</f>
        <v>9</v>
      </c>
    </row>
    <row r="108" spans="1:10" x14ac:dyDescent="0.35">
      <c r="A108">
        <v>10287</v>
      </c>
      <c r="B108">
        <v>46</v>
      </c>
      <c r="C108">
        <v>9.6</v>
      </c>
      <c r="D108">
        <v>15</v>
      </c>
      <c r="E108">
        <v>0.15</v>
      </c>
      <c r="F108">
        <v>122.39999999999999</v>
      </c>
      <c r="G108" t="str">
        <f>VLOOKUP(VLOOKUP(order_details[[#This Row],[ProductID]], products[], 4, FALSE), categories[], 2, FALSE)</f>
        <v>Seafood</v>
      </c>
      <c r="H108">
        <f>VLOOKUP(order_details[[#This Row],[ProductID]], products[], 4, FALSE)</f>
        <v>8</v>
      </c>
      <c r="I108" t="str">
        <f>VLOOKUP(order_details[[#This Row],[OrderID]], orders[[OrderID]:[ShipCountry]], 14, FALSE)</f>
        <v>Brazil</v>
      </c>
      <c r="J108" s="1">
        <f>_xlfn.XLOOKUP(order_details[[#This Row],[OrderID]], orders[OrderID], orders[Month])</f>
        <v>9</v>
      </c>
    </row>
    <row r="109" spans="1:10" x14ac:dyDescent="0.35">
      <c r="A109">
        <v>10288</v>
      </c>
      <c r="B109">
        <v>54</v>
      </c>
      <c r="C109">
        <v>5.9</v>
      </c>
      <c r="D109">
        <v>10</v>
      </c>
      <c r="E109">
        <v>0.1</v>
      </c>
      <c r="F109">
        <v>53.1</v>
      </c>
      <c r="G109" t="str">
        <f>VLOOKUP(VLOOKUP(order_details[[#This Row],[ProductID]], products[], 4, FALSE), categories[], 2, FALSE)</f>
        <v>Meat/Poultry</v>
      </c>
      <c r="H109">
        <f>VLOOKUP(order_details[[#This Row],[ProductID]], products[], 4, FALSE)</f>
        <v>6</v>
      </c>
      <c r="I109" t="str">
        <f>VLOOKUP(order_details[[#This Row],[OrderID]], orders[[OrderID]:[ShipCountry]], 14, FALSE)</f>
        <v>Italy</v>
      </c>
      <c r="J109" s="1">
        <f>_xlfn.XLOOKUP(order_details[[#This Row],[OrderID]], orders[OrderID], orders[Month])</f>
        <v>9</v>
      </c>
    </row>
    <row r="110" spans="1:10" x14ac:dyDescent="0.35">
      <c r="A110">
        <v>10288</v>
      </c>
      <c r="B110">
        <v>68</v>
      </c>
      <c r="C110">
        <v>10</v>
      </c>
      <c r="D110">
        <v>3</v>
      </c>
      <c r="E110">
        <v>0.1</v>
      </c>
      <c r="F110">
        <v>27</v>
      </c>
      <c r="G110" t="str">
        <f>VLOOKUP(VLOOKUP(order_details[[#This Row],[ProductID]], products[], 4, FALSE), categories[], 2, FALSE)</f>
        <v>Confections</v>
      </c>
      <c r="H110">
        <f>VLOOKUP(order_details[[#This Row],[ProductID]], products[], 4, FALSE)</f>
        <v>3</v>
      </c>
      <c r="I110" t="str">
        <f>VLOOKUP(order_details[[#This Row],[OrderID]], orders[[OrderID]:[ShipCountry]], 14, FALSE)</f>
        <v>Italy</v>
      </c>
      <c r="J110" s="1">
        <f>_xlfn.XLOOKUP(order_details[[#This Row],[OrderID]], orders[OrderID], orders[Month])</f>
        <v>9</v>
      </c>
    </row>
    <row r="111" spans="1:10" x14ac:dyDescent="0.35">
      <c r="A111">
        <v>10289</v>
      </c>
      <c r="B111">
        <v>3</v>
      </c>
      <c r="C111">
        <v>8</v>
      </c>
      <c r="D111">
        <v>30</v>
      </c>
      <c r="E111">
        <v>0</v>
      </c>
      <c r="F111">
        <v>240</v>
      </c>
      <c r="G111" t="str">
        <f>VLOOKUP(VLOOKUP(order_details[[#This Row],[ProductID]], products[], 4, FALSE), categories[], 2, FALSE)</f>
        <v>Condiments</v>
      </c>
      <c r="H111">
        <f>VLOOKUP(order_details[[#This Row],[ProductID]], products[], 4, FALSE)</f>
        <v>2</v>
      </c>
      <c r="I111" t="str">
        <f>VLOOKUP(order_details[[#This Row],[OrderID]], orders[[OrderID]:[ShipCountry]], 14, FALSE)</f>
        <v>UK</v>
      </c>
      <c r="J111" s="1">
        <f>_xlfn.XLOOKUP(order_details[[#This Row],[OrderID]], orders[OrderID], orders[Month])</f>
        <v>9</v>
      </c>
    </row>
    <row r="112" spans="1:10" x14ac:dyDescent="0.35">
      <c r="A112">
        <v>10289</v>
      </c>
      <c r="B112">
        <v>64</v>
      </c>
      <c r="C112">
        <v>26.6</v>
      </c>
      <c r="D112">
        <v>9</v>
      </c>
      <c r="E112">
        <v>0</v>
      </c>
      <c r="F112">
        <v>239.4</v>
      </c>
      <c r="G112" t="str">
        <f>VLOOKUP(VLOOKUP(order_details[[#This Row],[ProductID]], products[], 4, FALSE), categories[], 2, FALSE)</f>
        <v>Grains/Cereals</v>
      </c>
      <c r="H112">
        <f>VLOOKUP(order_details[[#This Row],[ProductID]], products[], 4, FALSE)</f>
        <v>5</v>
      </c>
      <c r="I112" t="str">
        <f>VLOOKUP(order_details[[#This Row],[OrderID]], orders[[OrderID]:[ShipCountry]], 14, FALSE)</f>
        <v>UK</v>
      </c>
      <c r="J112" s="1">
        <f>_xlfn.XLOOKUP(order_details[[#This Row],[OrderID]], orders[OrderID], orders[Month])</f>
        <v>9</v>
      </c>
    </row>
    <row r="113" spans="1:10" x14ac:dyDescent="0.35">
      <c r="A113">
        <v>10290</v>
      </c>
      <c r="B113">
        <v>5</v>
      </c>
      <c r="C113">
        <v>17</v>
      </c>
      <c r="D113">
        <v>20</v>
      </c>
      <c r="E113">
        <v>0</v>
      </c>
      <c r="F113">
        <v>340</v>
      </c>
      <c r="G113" t="str">
        <f>VLOOKUP(VLOOKUP(order_details[[#This Row],[ProductID]], products[], 4, FALSE), categories[], 2, FALSE)</f>
        <v>Condiments</v>
      </c>
      <c r="H113">
        <f>VLOOKUP(order_details[[#This Row],[ProductID]], products[], 4, FALSE)</f>
        <v>2</v>
      </c>
      <c r="I113" t="str">
        <f>VLOOKUP(order_details[[#This Row],[OrderID]], orders[[OrderID]:[ShipCountry]], 14, FALSE)</f>
        <v>Brazil</v>
      </c>
      <c r="J113" s="1">
        <f>_xlfn.XLOOKUP(order_details[[#This Row],[OrderID]], orders[OrderID], orders[Month])</f>
        <v>9</v>
      </c>
    </row>
    <row r="114" spans="1:10" x14ac:dyDescent="0.35">
      <c r="A114">
        <v>10290</v>
      </c>
      <c r="B114">
        <v>29</v>
      </c>
      <c r="C114">
        <v>99</v>
      </c>
      <c r="D114">
        <v>15</v>
      </c>
      <c r="E114">
        <v>0</v>
      </c>
      <c r="F114">
        <v>1485</v>
      </c>
      <c r="G114" t="str">
        <f>VLOOKUP(VLOOKUP(order_details[[#This Row],[ProductID]], products[], 4, FALSE), categories[], 2, FALSE)</f>
        <v>Meat/Poultry</v>
      </c>
      <c r="H114">
        <f>VLOOKUP(order_details[[#This Row],[ProductID]], products[], 4, FALSE)</f>
        <v>6</v>
      </c>
      <c r="I114" t="str">
        <f>VLOOKUP(order_details[[#This Row],[OrderID]], orders[[OrderID]:[ShipCountry]], 14, FALSE)</f>
        <v>Brazil</v>
      </c>
      <c r="J114" s="1">
        <f>_xlfn.XLOOKUP(order_details[[#This Row],[OrderID]], orders[OrderID], orders[Month])</f>
        <v>9</v>
      </c>
    </row>
    <row r="115" spans="1:10" x14ac:dyDescent="0.35">
      <c r="A115">
        <v>10290</v>
      </c>
      <c r="B115">
        <v>49</v>
      </c>
      <c r="C115">
        <v>16</v>
      </c>
      <c r="D115">
        <v>15</v>
      </c>
      <c r="E115">
        <v>0</v>
      </c>
      <c r="F115">
        <v>240</v>
      </c>
      <c r="G115" t="str">
        <f>VLOOKUP(VLOOKUP(order_details[[#This Row],[ProductID]], products[], 4, FALSE), categories[], 2, FALSE)</f>
        <v>Confections</v>
      </c>
      <c r="H115">
        <f>VLOOKUP(order_details[[#This Row],[ProductID]], products[], 4, FALSE)</f>
        <v>3</v>
      </c>
      <c r="I115" t="str">
        <f>VLOOKUP(order_details[[#This Row],[OrderID]], orders[[OrderID]:[ShipCountry]], 14, FALSE)</f>
        <v>Brazil</v>
      </c>
      <c r="J115" s="1">
        <f>_xlfn.XLOOKUP(order_details[[#This Row],[OrderID]], orders[OrderID], orders[Month])</f>
        <v>9</v>
      </c>
    </row>
    <row r="116" spans="1:10" x14ac:dyDescent="0.35">
      <c r="A116">
        <v>10290</v>
      </c>
      <c r="B116">
        <v>77</v>
      </c>
      <c r="C116">
        <v>10.4</v>
      </c>
      <c r="D116">
        <v>10</v>
      </c>
      <c r="E116">
        <v>0</v>
      </c>
      <c r="F116">
        <v>104</v>
      </c>
      <c r="G116" t="str">
        <f>VLOOKUP(VLOOKUP(order_details[[#This Row],[ProductID]], products[], 4, FALSE), categories[], 2, FALSE)</f>
        <v>Condiments</v>
      </c>
      <c r="H116">
        <f>VLOOKUP(order_details[[#This Row],[ProductID]], products[], 4, FALSE)</f>
        <v>2</v>
      </c>
      <c r="I116" t="str">
        <f>VLOOKUP(order_details[[#This Row],[OrderID]], orders[[OrderID]:[ShipCountry]], 14, FALSE)</f>
        <v>Brazil</v>
      </c>
      <c r="J116" s="1">
        <f>_xlfn.XLOOKUP(order_details[[#This Row],[OrderID]], orders[OrderID], orders[Month])</f>
        <v>9</v>
      </c>
    </row>
    <row r="117" spans="1:10" x14ac:dyDescent="0.35">
      <c r="A117">
        <v>10291</v>
      </c>
      <c r="B117">
        <v>13</v>
      </c>
      <c r="C117">
        <v>4.8</v>
      </c>
      <c r="D117">
        <v>20</v>
      </c>
      <c r="E117">
        <v>0.1</v>
      </c>
      <c r="F117">
        <v>86.4</v>
      </c>
      <c r="G117" t="str">
        <f>VLOOKUP(VLOOKUP(order_details[[#This Row],[ProductID]], products[], 4, FALSE), categories[], 2, FALSE)</f>
        <v>Seafood</v>
      </c>
      <c r="H117">
        <f>VLOOKUP(order_details[[#This Row],[ProductID]], products[], 4, FALSE)</f>
        <v>8</v>
      </c>
      <c r="I117" t="str">
        <f>VLOOKUP(order_details[[#This Row],[OrderID]], orders[[OrderID]:[ShipCountry]], 14, FALSE)</f>
        <v>Brazil</v>
      </c>
      <c r="J117" s="1">
        <f>_xlfn.XLOOKUP(order_details[[#This Row],[OrderID]], orders[OrderID], orders[Month])</f>
        <v>9</v>
      </c>
    </row>
    <row r="118" spans="1:10" x14ac:dyDescent="0.35">
      <c r="A118">
        <v>10291</v>
      </c>
      <c r="B118">
        <v>44</v>
      </c>
      <c r="C118">
        <v>15.5</v>
      </c>
      <c r="D118">
        <v>24</v>
      </c>
      <c r="E118">
        <v>0.1</v>
      </c>
      <c r="F118">
        <v>334.8</v>
      </c>
      <c r="G118" t="str">
        <f>VLOOKUP(VLOOKUP(order_details[[#This Row],[ProductID]], products[], 4, FALSE), categories[], 2, FALSE)</f>
        <v>Condiments</v>
      </c>
      <c r="H118">
        <f>VLOOKUP(order_details[[#This Row],[ProductID]], products[], 4, FALSE)</f>
        <v>2</v>
      </c>
      <c r="I118" t="str">
        <f>VLOOKUP(order_details[[#This Row],[OrderID]], orders[[OrderID]:[ShipCountry]], 14, FALSE)</f>
        <v>Brazil</v>
      </c>
      <c r="J118" s="1">
        <f>_xlfn.XLOOKUP(order_details[[#This Row],[OrderID]], orders[OrderID], orders[Month])</f>
        <v>9</v>
      </c>
    </row>
    <row r="119" spans="1:10" x14ac:dyDescent="0.35">
      <c r="A119">
        <v>10291</v>
      </c>
      <c r="B119">
        <v>51</v>
      </c>
      <c r="C119">
        <v>42.4</v>
      </c>
      <c r="D119">
        <v>2</v>
      </c>
      <c r="E119">
        <v>0.1</v>
      </c>
      <c r="F119">
        <v>76.319999999999993</v>
      </c>
      <c r="G119" t="str">
        <f>VLOOKUP(VLOOKUP(order_details[[#This Row],[ProductID]], products[], 4, FALSE), categories[], 2, FALSE)</f>
        <v>Produce</v>
      </c>
      <c r="H119">
        <f>VLOOKUP(order_details[[#This Row],[ProductID]], products[], 4, FALSE)</f>
        <v>7</v>
      </c>
      <c r="I119" t="str">
        <f>VLOOKUP(order_details[[#This Row],[OrderID]], orders[[OrderID]:[ShipCountry]], 14, FALSE)</f>
        <v>Brazil</v>
      </c>
      <c r="J119" s="1">
        <f>_xlfn.XLOOKUP(order_details[[#This Row],[OrderID]], orders[OrderID], orders[Month])</f>
        <v>9</v>
      </c>
    </row>
    <row r="120" spans="1:10" x14ac:dyDescent="0.35">
      <c r="A120">
        <v>10292</v>
      </c>
      <c r="B120">
        <v>20</v>
      </c>
      <c r="C120">
        <v>64.8</v>
      </c>
      <c r="D120">
        <v>20</v>
      </c>
      <c r="E120">
        <v>0</v>
      </c>
      <c r="F120">
        <v>1296</v>
      </c>
      <c r="G120" t="str">
        <f>VLOOKUP(VLOOKUP(order_details[[#This Row],[ProductID]], products[], 4, FALSE), categories[], 2, FALSE)</f>
        <v>Confections</v>
      </c>
      <c r="H120">
        <f>VLOOKUP(order_details[[#This Row],[ProductID]], products[], 4, FALSE)</f>
        <v>3</v>
      </c>
      <c r="I120" t="str">
        <f>VLOOKUP(order_details[[#This Row],[OrderID]], orders[[OrderID]:[ShipCountry]], 14, FALSE)</f>
        <v>Brazil</v>
      </c>
      <c r="J120" s="1">
        <f>_xlfn.XLOOKUP(order_details[[#This Row],[OrderID]], orders[OrderID], orders[Month])</f>
        <v>9</v>
      </c>
    </row>
    <row r="121" spans="1:10" x14ac:dyDescent="0.35">
      <c r="A121">
        <v>10293</v>
      </c>
      <c r="B121">
        <v>18</v>
      </c>
      <c r="C121">
        <v>50</v>
      </c>
      <c r="D121">
        <v>12</v>
      </c>
      <c r="E121">
        <v>0</v>
      </c>
      <c r="F121">
        <v>600</v>
      </c>
      <c r="G121" t="str">
        <f>VLOOKUP(VLOOKUP(order_details[[#This Row],[ProductID]], products[], 4, FALSE), categories[], 2, FALSE)</f>
        <v>Seafood</v>
      </c>
      <c r="H121">
        <f>VLOOKUP(order_details[[#This Row],[ProductID]], products[], 4, FALSE)</f>
        <v>8</v>
      </c>
      <c r="I121" t="str">
        <f>VLOOKUP(order_details[[#This Row],[OrderID]], orders[[OrderID]:[ShipCountry]], 14, FALSE)</f>
        <v>Mexico</v>
      </c>
      <c r="J121" s="1">
        <f>_xlfn.XLOOKUP(order_details[[#This Row],[OrderID]], orders[OrderID], orders[Month])</f>
        <v>9</v>
      </c>
    </row>
    <row r="122" spans="1:10" x14ac:dyDescent="0.35">
      <c r="A122">
        <v>10293</v>
      </c>
      <c r="B122">
        <v>24</v>
      </c>
      <c r="C122">
        <v>3.6</v>
      </c>
      <c r="D122">
        <v>10</v>
      </c>
      <c r="E122">
        <v>0</v>
      </c>
      <c r="F122">
        <v>36</v>
      </c>
      <c r="G122" t="str">
        <f>VLOOKUP(VLOOKUP(order_details[[#This Row],[ProductID]], products[], 4, FALSE), categories[], 2, FALSE)</f>
        <v>Beverages</v>
      </c>
      <c r="H122">
        <f>VLOOKUP(order_details[[#This Row],[ProductID]], products[], 4, FALSE)</f>
        <v>1</v>
      </c>
      <c r="I122" t="str">
        <f>VLOOKUP(order_details[[#This Row],[OrderID]], orders[[OrderID]:[ShipCountry]], 14, FALSE)</f>
        <v>Mexico</v>
      </c>
      <c r="J122" s="1">
        <f>_xlfn.XLOOKUP(order_details[[#This Row],[OrderID]], orders[OrderID], orders[Month])</f>
        <v>9</v>
      </c>
    </row>
    <row r="123" spans="1:10" x14ac:dyDescent="0.35">
      <c r="A123">
        <v>10293</v>
      </c>
      <c r="B123">
        <v>63</v>
      </c>
      <c r="C123">
        <v>35.1</v>
      </c>
      <c r="D123">
        <v>5</v>
      </c>
      <c r="E123">
        <v>0</v>
      </c>
      <c r="F123">
        <v>175.5</v>
      </c>
      <c r="G123" t="str">
        <f>VLOOKUP(VLOOKUP(order_details[[#This Row],[ProductID]], products[], 4, FALSE), categories[], 2, FALSE)</f>
        <v>Condiments</v>
      </c>
      <c r="H123">
        <f>VLOOKUP(order_details[[#This Row],[ProductID]], products[], 4, FALSE)</f>
        <v>2</v>
      </c>
      <c r="I123" t="str">
        <f>VLOOKUP(order_details[[#This Row],[OrderID]], orders[[OrderID]:[ShipCountry]], 14, FALSE)</f>
        <v>Mexico</v>
      </c>
      <c r="J123" s="1">
        <f>_xlfn.XLOOKUP(order_details[[#This Row],[OrderID]], orders[OrderID], orders[Month])</f>
        <v>9</v>
      </c>
    </row>
    <row r="124" spans="1:10" x14ac:dyDescent="0.35">
      <c r="A124">
        <v>10293</v>
      </c>
      <c r="B124">
        <v>75</v>
      </c>
      <c r="C124">
        <v>6.2</v>
      </c>
      <c r="D124">
        <v>6</v>
      </c>
      <c r="E124">
        <v>0</v>
      </c>
      <c r="F124">
        <v>37.200000000000003</v>
      </c>
      <c r="G124" t="str">
        <f>VLOOKUP(VLOOKUP(order_details[[#This Row],[ProductID]], products[], 4, FALSE), categories[], 2, FALSE)</f>
        <v>Beverages</v>
      </c>
      <c r="H124">
        <f>VLOOKUP(order_details[[#This Row],[ProductID]], products[], 4, FALSE)</f>
        <v>1</v>
      </c>
      <c r="I124" t="str">
        <f>VLOOKUP(order_details[[#This Row],[OrderID]], orders[[OrderID]:[ShipCountry]], 14, FALSE)</f>
        <v>Mexico</v>
      </c>
      <c r="J124" s="1">
        <f>_xlfn.XLOOKUP(order_details[[#This Row],[OrderID]], orders[OrderID], orders[Month])</f>
        <v>9</v>
      </c>
    </row>
    <row r="125" spans="1:10" x14ac:dyDescent="0.35">
      <c r="A125">
        <v>10294</v>
      </c>
      <c r="B125">
        <v>1</v>
      </c>
      <c r="C125">
        <v>14.4</v>
      </c>
      <c r="D125">
        <v>18</v>
      </c>
      <c r="E125">
        <v>0</v>
      </c>
      <c r="F125">
        <v>259.2</v>
      </c>
      <c r="G125" t="str">
        <f>VLOOKUP(VLOOKUP(order_details[[#This Row],[ProductID]], products[], 4, FALSE), categories[], 2, FALSE)</f>
        <v>Beverages</v>
      </c>
      <c r="H125">
        <f>VLOOKUP(order_details[[#This Row],[ProductID]], products[], 4, FALSE)</f>
        <v>1</v>
      </c>
      <c r="I125" t="str">
        <f>VLOOKUP(order_details[[#This Row],[OrderID]], orders[[OrderID]:[ShipCountry]], 14, FALSE)</f>
        <v>USA</v>
      </c>
      <c r="J125" s="1">
        <f>_xlfn.XLOOKUP(order_details[[#This Row],[OrderID]], orders[OrderID], orders[Month])</f>
        <v>9</v>
      </c>
    </row>
    <row r="126" spans="1:10" x14ac:dyDescent="0.35">
      <c r="A126">
        <v>10294</v>
      </c>
      <c r="B126">
        <v>17</v>
      </c>
      <c r="C126">
        <v>31.2</v>
      </c>
      <c r="D126">
        <v>15</v>
      </c>
      <c r="E126">
        <v>0</v>
      </c>
      <c r="F126">
        <v>468</v>
      </c>
      <c r="G126" t="str">
        <f>VLOOKUP(VLOOKUP(order_details[[#This Row],[ProductID]], products[], 4, FALSE), categories[], 2, FALSE)</f>
        <v>Meat/Poultry</v>
      </c>
      <c r="H126">
        <f>VLOOKUP(order_details[[#This Row],[ProductID]], products[], 4, FALSE)</f>
        <v>6</v>
      </c>
      <c r="I126" t="str">
        <f>VLOOKUP(order_details[[#This Row],[OrderID]], orders[[OrderID]:[ShipCountry]], 14, FALSE)</f>
        <v>USA</v>
      </c>
      <c r="J126" s="1">
        <f>_xlfn.XLOOKUP(order_details[[#This Row],[OrderID]], orders[OrderID], orders[Month])</f>
        <v>9</v>
      </c>
    </row>
    <row r="127" spans="1:10" x14ac:dyDescent="0.35">
      <c r="A127">
        <v>10294</v>
      </c>
      <c r="B127">
        <v>43</v>
      </c>
      <c r="C127">
        <v>36.799999999999997</v>
      </c>
      <c r="D127">
        <v>15</v>
      </c>
      <c r="E127">
        <v>0</v>
      </c>
      <c r="F127">
        <v>552</v>
      </c>
      <c r="G127" t="str">
        <f>VLOOKUP(VLOOKUP(order_details[[#This Row],[ProductID]], products[], 4, FALSE), categories[], 2, FALSE)</f>
        <v>Beverages</v>
      </c>
      <c r="H127">
        <f>VLOOKUP(order_details[[#This Row],[ProductID]], products[], 4, FALSE)</f>
        <v>1</v>
      </c>
      <c r="I127" t="str">
        <f>VLOOKUP(order_details[[#This Row],[OrderID]], orders[[OrderID]:[ShipCountry]], 14, FALSE)</f>
        <v>USA</v>
      </c>
      <c r="J127" s="1">
        <f>_xlfn.XLOOKUP(order_details[[#This Row],[OrderID]], orders[OrderID], orders[Month])</f>
        <v>9</v>
      </c>
    </row>
    <row r="128" spans="1:10" x14ac:dyDescent="0.35">
      <c r="A128">
        <v>10294</v>
      </c>
      <c r="B128">
        <v>60</v>
      </c>
      <c r="C128">
        <v>27.2</v>
      </c>
      <c r="D128">
        <v>21</v>
      </c>
      <c r="E128">
        <v>0</v>
      </c>
      <c r="F128">
        <v>571.19999999999993</v>
      </c>
      <c r="G128" t="str">
        <f>VLOOKUP(VLOOKUP(order_details[[#This Row],[ProductID]], products[], 4, FALSE), categories[], 2, FALSE)</f>
        <v>Dairy Products</v>
      </c>
      <c r="H128">
        <f>VLOOKUP(order_details[[#This Row],[ProductID]], products[], 4, FALSE)</f>
        <v>4</v>
      </c>
      <c r="I128" t="str">
        <f>VLOOKUP(order_details[[#This Row],[OrderID]], orders[[OrderID]:[ShipCountry]], 14, FALSE)</f>
        <v>USA</v>
      </c>
      <c r="J128" s="1">
        <f>_xlfn.XLOOKUP(order_details[[#This Row],[OrderID]], orders[OrderID], orders[Month])</f>
        <v>9</v>
      </c>
    </row>
    <row r="129" spans="1:10" x14ac:dyDescent="0.35">
      <c r="A129">
        <v>10294</v>
      </c>
      <c r="B129">
        <v>75</v>
      </c>
      <c r="C129">
        <v>6.2</v>
      </c>
      <c r="D129">
        <v>6</v>
      </c>
      <c r="E129">
        <v>0</v>
      </c>
      <c r="F129">
        <v>37.200000000000003</v>
      </c>
      <c r="G129" t="str">
        <f>VLOOKUP(VLOOKUP(order_details[[#This Row],[ProductID]], products[], 4, FALSE), categories[], 2, FALSE)</f>
        <v>Beverages</v>
      </c>
      <c r="H129">
        <f>VLOOKUP(order_details[[#This Row],[ProductID]], products[], 4, FALSE)</f>
        <v>1</v>
      </c>
      <c r="I129" t="str">
        <f>VLOOKUP(order_details[[#This Row],[OrderID]], orders[[OrderID]:[ShipCountry]], 14, FALSE)</f>
        <v>USA</v>
      </c>
      <c r="J129" s="1">
        <f>_xlfn.XLOOKUP(order_details[[#This Row],[OrderID]], orders[OrderID], orders[Month])</f>
        <v>9</v>
      </c>
    </row>
    <row r="130" spans="1:10" x14ac:dyDescent="0.35">
      <c r="A130">
        <v>10295</v>
      </c>
      <c r="B130">
        <v>56</v>
      </c>
      <c r="C130">
        <v>30.4</v>
      </c>
      <c r="D130">
        <v>4</v>
      </c>
      <c r="E130">
        <v>0</v>
      </c>
      <c r="F130">
        <v>121.6</v>
      </c>
      <c r="G130" t="str">
        <f>VLOOKUP(VLOOKUP(order_details[[#This Row],[ProductID]], products[], 4, FALSE), categories[], 2, FALSE)</f>
        <v>Grains/Cereals</v>
      </c>
      <c r="H130">
        <f>VLOOKUP(order_details[[#This Row],[ProductID]], products[], 4, FALSE)</f>
        <v>5</v>
      </c>
      <c r="I130" t="str">
        <f>VLOOKUP(order_details[[#This Row],[OrderID]], orders[[OrderID]:[ShipCountry]], 14, FALSE)</f>
        <v>France</v>
      </c>
      <c r="J130" s="1">
        <f>_xlfn.XLOOKUP(order_details[[#This Row],[OrderID]], orders[OrderID], orders[Month])</f>
        <v>10</v>
      </c>
    </row>
    <row r="131" spans="1:10" x14ac:dyDescent="0.35">
      <c r="A131">
        <v>10296</v>
      </c>
      <c r="B131">
        <v>11</v>
      </c>
      <c r="C131">
        <v>16.8</v>
      </c>
      <c r="D131">
        <v>12</v>
      </c>
      <c r="E131">
        <v>0</v>
      </c>
      <c r="F131">
        <v>201.60000000000002</v>
      </c>
      <c r="G131" t="str">
        <f>VLOOKUP(VLOOKUP(order_details[[#This Row],[ProductID]], products[], 4, FALSE), categories[], 2, FALSE)</f>
        <v>Dairy Products</v>
      </c>
      <c r="H131">
        <f>VLOOKUP(order_details[[#This Row],[ProductID]], products[], 4, FALSE)</f>
        <v>4</v>
      </c>
      <c r="I131" t="str">
        <f>VLOOKUP(order_details[[#This Row],[OrderID]], orders[[OrderID]:[ShipCountry]], 14, FALSE)</f>
        <v>Venezuela</v>
      </c>
      <c r="J131" s="1">
        <f>_xlfn.XLOOKUP(order_details[[#This Row],[OrderID]], orders[OrderID], orders[Month])</f>
        <v>10</v>
      </c>
    </row>
    <row r="132" spans="1:10" x14ac:dyDescent="0.35">
      <c r="A132">
        <v>10296</v>
      </c>
      <c r="B132">
        <v>16</v>
      </c>
      <c r="C132">
        <v>13.9</v>
      </c>
      <c r="D132">
        <v>30</v>
      </c>
      <c r="E132">
        <v>0</v>
      </c>
      <c r="F132">
        <v>417</v>
      </c>
      <c r="G132" t="str">
        <f>VLOOKUP(VLOOKUP(order_details[[#This Row],[ProductID]], products[], 4, FALSE), categories[], 2, FALSE)</f>
        <v>Confections</v>
      </c>
      <c r="H132">
        <f>VLOOKUP(order_details[[#This Row],[ProductID]], products[], 4, FALSE)</f>
        <v>3</v>
      </c>
      <c r="I132" t="str">
        <f>VLOOKUP(order_details[[#This Row],[OrderID]], orders[[OrderID]:[ShipCountry]], 14, FALSE)</f>
        <v>Venezuela</v>
      </c>
      <c r="J132" s="1">
        <f>_xlfn.XLOOKUP(order_details[[#This Row],[OrderID]], orders[OrderID], orders[Month])</f>
        <v>10</v>
      </c>
    </row>
    <row r="133" spans="1:10" x14ac:dyDescent="0.35">
      <c r="A133">
        <v>10296</v>
      </c>
      <c r="B133">
        <v>69</v>
      </c>
      <c r="C133">
        <v>28.8</v>
      </c>
      <c r="D133">
        <v>15</v>
      </c>
      <c r="E133">
        <v>0</v>
      </c>
      <c r="F133">
        <v>432</v>
      </c>
      <c r="G133" t="str">
        <f>VLOOKUP(VLOOKUP(order_details[[#This Row],[ProductID]], products[], 4, FALSE), categories[], 2, FALSE)</f>
        <v>Dairy Products</v>
      </c>
      <c r="H133">
        <f>VLOOKUP(order_details[[#This Row],[ProductID]], products[], 4, FALSE)</f>
        <v>4</v>
      </c>
      <c r="I133" t="str">
        <f>VLOOKUP(order_details[[#This Row],[OrderID]], orders[[OrderID]:[ShipCountry]], 14, FALSE)</f>
        <v>Venezuela</v>
      </c>
      <c r="J133" s="1">
        <f>_xlfn.XLOOKUP(order_details[[#This Row],[OrderID]], orders[OrderID], orders[Month])</f>
        <v>10</v>
      </c>
    </row>
    <row r="134" spans="1:10" x14ac:dyDescent="0.35">
      <c r="A134">
        <v>10297</v>
      </c>
      <c r="B134">
        <v>39</v>
      </c>
      <c r="C134">
        <v>14.4</v>
      </c>
      <c r="D134">
        <v>60</v>
      </c>
      <c r="E134">
        <v>0</v>
      </c>
      <c r="F134">
        <v>864</v>
      </c>
      <c r="G134" t="str">
        <f>VLOOKUP(VLOOKUP(order_details[[#This Row],[ProductID]], products[], 4, FALSE), categories[], 2, FALSE)</f>
        <v>Beverages</v>
      </c>
      <c r="H134">
        <f>VLOOKUP(order_details[[#This Row],[ProductID]], products[], 4, FALSE)</f>
        <v>1</v>
      </c>
      <c r="I134" t="str">
        <f>VLOOKUP(order_details[[#This Row],[OrderID]], orders[[OrderID]:[ShipCountry]], 14, FALSE)</f>
        <v>France</v>
      </c>
      <c r="J134" s="1">
        <f>_xlfn.XLOOKUP(order_details[[#This Row],[OrderID]], orders[OrderID], orders[Month])</f>
        <v>10</v>
      </c>
    </row>
    <row r="135" spans="1:10" x14ac:dyDescent="0.35">
      <c r="A135">
        <v>10297</v>
      </c>
      <c r="B135">
        <v>72</v>
      </c>
      <c r="C135">
        <v>27.8</v>
      </c>
      <c r="D135">
        <v>20</v>
      </c>
      <c r="E135">
        <v>0</v>
      </c>
      <c r="F135">
        <v>556</v>
      </c>
      <c r="G135" t="str">
        <f>VLOOKUP(VLOOKUP(order_details[[#This Row],[ProductID]], products[], 4, FALSE), categories[], 2, FALSE)</f>
        <v>Dairy Products</v>
      </c>
      <c r="H135">
        <f>VLOOKUP(order_details[[#This Row],[ProductID]], products[], 4, FALSE)</f>
        <v>4</v>
      </c>
      <c r="I135" t="str">
        <f>VLOOKUP(order_details[[#This Row],[OrderID]], orders[[OrderID]:[ShipCountry]], 14, FALSE)</f>
        <v>France</v>
      </c>
      <c r="J135" s="1">
        <f>_xlfn.XLOOKUP(order_details[[#This Row],[OrderID]], orders[OrderID], orders[Month])</f>
        <v>10</v>
      </c>
    </row>
    <row r="136" spans="1:10" x14ac:dyDescent="0.35">
      <c r="A136">
        <v>10298</v>
      </c>
      <c r="B136">
        <v>2</v>
      </c>
      <c r="C136">
        <v>15.2</v>
      </c>
      <c r="D136">
        <v>40</v>
      </c>
      <c r="E136">
        <v>0</v>
      </c>
      <c r="F136">
        <v>608</v>
      </c>
      <c r="G136" t="str">
        <f>VLOOKUP(VLOOKUP(order_details[[#This Row],[ProductID]], products[], 4, FALSE), categories[], 2, FALSE)</f>
        <v>Beverages</v>
      </c>
      <c r="H136">
        <f>VLOOKUP(order_details[[#This Row],[ProductID]], products[], 4, FALSE)</f>
        <v>1</v>
      </c>
      <c r="I136" t="str">
        <f>VLOOKUP(order_details[[#This Row],[OrderID]], orders[[OrderID]:[ShipCountry]], 14, FALSE)</f>
        <v>Ireland</v>
      </c>
      <c r="J136" s="1">
        <f>_xlfn.XLOOKUP(order_details[[#This Row],[OrderID]], orders[OrderID], orders[Month])</f>
        <v>10</v>
      </c>
    </row>
    <row r="137" spans="1:10" x14ac:dyDescent="0.35">
      <c r="A137">
        <v>10298</v>
      </c>
      <c r="B137">
        <v>36</v>
      </c>
      <c r="C137">
        <v>15.2</v>
      </c>
      <c r="D137">
        <v>40</v>
      </c>
      <c r="E137">
        <v>0.25</v>
      </c>
      <c r="F137">
        <v>456</v>
      </c>
      <c r="G137" t="str">
        <f>VLOOKUP(VLOOKUP(order_details[[#This Row],[ProductID]], products[], 4, FALSE), categories[], 2, FALSE)</f>
        <v>Seafood</v>
      </c>
      <c r="H137">
        <f>VLOOKUP(order_details[[#This Row],[ProductID]], products[], 4, FALSE)</f>
        <v>8</v>
      </c>
      <c r="I137" t="str">
        <f>VLOOKUP(order_details[[#This Row],[OrderID]], orders[[OrderID]:[ShipCountry]], 14, FALSE)</f>
        <v>Ireland</v>
      </c>
      <c r="J137" s="1">
        <f>_xlfn.XLOOKUP(order_details[[#This Row],[OrderID]], orders[OrderID], orders[Month])</f>
        <v>10</v>
      </c>
    </row>
    <row r="138" spans="1:10" x14ac:dyDescent="0.35">
      <c r="A138">
        <v>10298</v>
      </c>
      <c r="B138">
        <v>59</v>
      </c>
      <c r="C138">
        <v>44</v>
      </c>
      <c r="D138">
        <v>30</v>
      </c>
      <c r="E138">
        <v>0.25</v>
      </c>
      <c r="F138">
        <v>990</v>
      </c>
      <c r="G138" t="str">
        <f>VLOOKUP(VLOOKUP(order_details[[#This Row],[ProductID]], products[], 4, FALSE), categories[], 2, FALSE)</f>
        <v>Dairy Products</v>
      </c>
      <c r="H138">
        <f>VLOOKUP(order_details[[#This Row],[ProductID]], products[], 4, FALSE)</f>
        <v>4</v>
      </c>
      <c r="I138" t="str">
        <f>VLOOKUP(order_details[[#This Row],[OrderID]], orders[[OrderID]:[ShipCountry]], 14, FALSE)</f>
        <v>Ireland</v>
      </c>
      <c r="J138" s="1">
        <f>_xlfn.XLOOKUP(order_details[[#This Row],[OrderID]], orders[OrderID], orders[Month])</f>
        <v>10</v>
      </c>
    </row>
    <row r="139" spans="1:10" x14ac:dyDescent="0.35">
      <c r="A139">
        <v>10298</v>
      </c>
      <c r="B139">
        <v>62</v>
      </c>
      <c r="C139">
        <v>39.4</v>
      </c>
      <c r="D139">
        <v>15</v>
      </c>
      <c r="E139">
        <v>0</v>
      </c>
      <c r="F139">
        <v>591</v>
      </c>
      <c r="G139" t="str">
        <f>VLOOKUP(VLOOKUP(order_details[[#This Row],[ProductID]], products[], 4, FALSE), categories[], 2, FALSE)</f>
        <v>Confections</v>
      </c>
      <c r="H139">
        <f>VLOOKUP(order_details[[#This Row],[ProductID]], products[], 4, FALSE)</f>
        <v>3</v>
      </c>
      <c r="I139" t="str">
        <f>VLOOKUP(order_details[[#This Row],[OrderID]], orders[[OrderID]:[ShipCountry]], 14, FALSE)</f>
        <v>Ireland</v>
      </c>
      <c r="J139" s="1">
        <f>_xlfn.XLOOKUP(order_details[[#This Row],[OrderID]], orders[OrderID], orders[Month])</f>
        <v>10</v>
      </c>
    </row>
    <row r="140" spans="1:10" x14ac:dyDescent="0.35">
      <c r="A140">
        <v>10299</v>
      </c>
      <c r="B140">
        <v>19</v>
      </c>
      <c r="C140">
        <v>7.3</v>
      </c>
      <c r="D140">
        <v>15</v>
      </c>
      <c r="E140">
        <v>0</v>
      </c>
      <c r="F140">
        <v>109.5</v>
      </c>
      <c r="G140" t="str">
        <f>VLOOKUP(VLOOKUP(order_details[[#This Row],[ProductID]], products[], 4, FALSE), categories[], 2, FALSE)</f>
        <v>Confections</v>
      </c>
      <c r="H140">
        <f>VLOOKUP(order_details[[#This Row],[ProductID]], products[], 4, FALSE)</f>
        <v>3</v>
      </c>
      <c r="I140" t="str">
        <f>VLOOKUP(order_details[[#This Row],[OrderID]], orders[[OrderID]:[ShipCountry]], 14, FALSE)</f>
        <v>Brazil</v>
      </c>
      <c r="J140" s="1">
        <f>_xlfn.XLOOKUP(order_details[[#This Row],[OrderID]], orders[OrderID], orders[Month])</f>
        <v>10</v>
      </c>
    </row>
    <row r="141" spans="1:10" x14ac:dyDescent="0.35">
      <c r="A141">
        <v>10299</v>
      </c>
      <c r="B141">
        <v>70</v>
      </c>
      <c r="C141">
        <v>12</v>
      </c>
      <c r="D141">
        <v>20</v>
      </c>
      <c r="E141">
        <v>0</v>
      </c>
      <c r="F141">
        <v>240</v>
      </c>
      <c r="G141" t="str">
        <f>VLOOKUP(VLOOKUP(order_details[[#This Row],[ProductID]], products[], 4, FALSE), categories[], 2, FALSE)</f>
        <v>Beverages</v>
      </c>
      <c r="H141">
        <f>VLOOKUP(order_details[[#This Row],[ProductID]], products[], 4, FALSE)</f>
        <v>1</v>
      </c>
      <c r="I141" t="str">
        <f>VLOOKUP(order_details[[#This Row],[OrderID]], orders[[OrderID]:[ShipCountry]], 14, FALSE)</f>
        <v>Brazil</v>
      </c>
      <c r="J141" s="1">
        <f>_xlfn.XLOOKUP(order_details[[#This Row],[OrderID]], orders[OrderID], orders[Month])</f>
        <v>10</v>
      </c>
    </row>
    <row r="142" spans="1:10" x14ac:dyDescent="0.35">
      <c r="A142">
        <v>10300</v>
      </c>
      <c r="B142">
        <v>66</v>
      </c>
      <c r="C142">
        <v>13.6</v>
      </c>
      <c r="D142">
        <v>30</v>
      </c>
      <c r="E142">
        <v>0</v>
      </c>
      <c r="F142">
        <v>408</v>
      </c>
      <c r="G142" t="str">
        <f>VLOOKUP(VLOOKUP(order_details[[#This Row],[ProductID]], products[], 4, FALSE), categories[], 2, FALSE)</f>
        <v>Condiments</v>
      </c>
      <c r="H142">
        <f>VLOOKUP(order_details[[#This Row],[ProductID]], products[], 4, FALSE)</f>
        <v>2</v>
      </c>
      <c r="I142" t="str">
        <f>VLOOKUP(order_details[[#This Row],[OrderID]], orders[[OrderID]:[ShipCountry]], 14, FALSE)</f>
        <v>Italy</v>
      </c>
      <c r="J142" s="1">
        <f>_xlfn.XLOOKUP(order_details[[#This Row],[OrderID]], orders[OrderID], orders[Month])</f>
        <v>10</v>
      </c>
    </row>
    <row r="143" spans="1:10" x14ac:dyDescent="0.35">
      <c r="A143">
        <v>10300</v>
      </c>
      <c r="B143">
        <v>68</v>
      </c>
      <c r="C143">
        <v>10</v>
      </c>
      <c r="D143">
        <v>20</v>
      </c>
      <c r="E143">
        <v>0</v>
      </c>
      <c r="F143">
        <v>200</v>
      </c>
      <c r="G143" t="str">
        <f>VLOOKUP(VLOOKUP(order_details[[#This Row],[ProductID]], products[], 4, FALSE), categories[], 2, FALSE)</f>
        <v>Confections</v>
      </c>
      <c r="H143">
        <f>VLOOKUP(order_details[[#This Row],[ProductID]], products[], 4, FALSE)</f>
        <v>3</v>
      </c>
      <c r="I143" t="str">
        <f>VLOOKUP(order_details[[#This Row],[OrderID]], orders[[OrderID]:[ShipCountry]], 14, FALSE)</f>
        <v>Italy</v>
      </c>
      <c r="J143" s="1">
        <f>_xlfn.XLOOKUP(order_details[[#This Row],[OrderID]], orders[OrderID], orders[Month])</f>
        <v>10</v>
      </c>
    </row>
    <row r="144" spans="1:10" x14ac:dyDescent="0.35">
      <c r="A144">
        <v>10301</v>
      </c>
      <c r="B144">
        <v>40</v>
      </c>
      <c r="C144">
        <v>14.7</v>
      </c>
      <c r="D144">
        <v>10</v>
      </c>
      <c r="E144">
        <v>0</v>
      </c>
      <c r="F144">
        <v>147</v>
      </c>
      <c r="G144" t="str">
        <f>VLOOKUP(VLOOKUP(order_details[[#This Row],[ProductID]], products[], 4, FALSE), categories[], 2, FALSE)</f>
        <v>Seafood</v>
      </c>
      <c r="H144">
        <f>VLOOKUP(order_details[[#This Row],[ProductID]], products[], 4, FALSE)</f>
        <v>8</v>
      </c>
      <c r="I144" t="str">
        <f>VLOOKUP(order_details[[#This Row],[OrderID]], orders[[OrderID]:[ShipCountry]], 14, FALSE)</f>
        <v>Germany</v>
      </c>
      <c r="J144" s="1">
        <f>_xlfn.XLOOKUP(order_details[[#This Row],[OrderID]], orders[OrderID], orders[Month])</f>
        <v>10</v>
      </c>
    </row>
    <row r="145" spans="1:10" x14ac:dyDescent="0.35">
      <c r="A145">
        <v>10301</v>
      </c>
      <c r="B145">
        <v>56</v>
      </c>
      <c r="C145">
        <v>30.4</v>
      </c>
      <c r="D145">
        <v>20</v>
      </c>
      <c r="E145">
        <v>0</v>
      </c>
      <c r="F145">
        <v>608</v>
      </c>
      <c r="G145" t="str">
        <f>VLOOKUP(VLOOKUP(order_details[[#This Row],[ProductID]], products[], 4, FALSE), categories[], 2, FALSE)</f>
        <v>Grains/Cereals</v>
      </c>
      <c r="H145">
        <f>VLOOKUP(order_details[[#This Row],[ProductID]], products[], 4, FALSE)</f>
        <v>5</v>
      </c>
      <c r="I145" t="str">
        <f>VLOOKUP(order_details[[#This Row],[OrderID]], orders[[OrderID]:[ShipCountry]], 14, FALSE)</f>
        <v>Germany</v>
      </c>
      <c r="J145" s="1">
        <f>_xlfn.XLOOKUP(order_details[[#This Row],[OrderID]], orders[OrderID], orders[Month])</f>
        <v>10</v>
      </c>
    </row>
    <row r="146" spans="1:10" x14ac:dyDescent="0.35">
      <c r="A146">
        <v>10302</v>
      </c>
      <c r="B146">
        <v>17</v>
      </c>
      <c r="C146">
        <v>31.2</v>
      </c>
      <c r="D146">
        <v>40</v>
      </c>
      <c r="E146">
        <v>0</v>
      </c>
      <c r="F146">
        <v>1248</v>
      </c>
      <c r="G146" t="str">
        <f>VLOOKUP(VLOOKUP(order_details[[#This Row],[ProductID]], products[], 4, FALSE), categories[], 2, FALSE)</f>
        <v>Meat/Poultry</v>
      </c>
      <c r="H146">
        <f>VLOOKUP(order_details[[#This Row],[ProductID]], products[], 4, FALSE)</f>
        <v>6</v>
      </c>
      <c r="I146" t="str">
        <f>VLOOKUP(order_details[[#This Row],[OrderID]], orders[[OrderID]:[ShipCountry]], 14, FALSE)</f>
        <v>Belgium</v>
      </c>
      <c r="J146" s="1">
        <f>_xlfn.XLOOKUP(order_details[[#This Row],[OrderID]], orders[OrderID], orders[Month])</f>
        <v>10</v>
      </c>
    </row>
    <row r="147" spans="1:10" x14ac:dyDescent="0.35">
      <c r="A147">
        <v>10302</v>
      </c>
      <c r="B147">
        <v>28</v>
      </c>
      <c r="C147">
        <v>36.4</v>
      </c>
      <c r="D147">
        <v>28</v>
      </c>
      <c r="E147">
        <v>0</v>
      </c>
      <c r="F147">
        <v>1019.1999999999999</v>
      </c>
      <c r="G147" t="str">
        <f>VLOOKUP(VLOOKUP(order_details[[#This Row],[ProductID]], products[], 4, FALSE), categories[], 2, FALSE)</f>
        <v>Produce</v>
      </c>
      <c r="H147">
        <f>VLOOKUP(order_details[[#This Row],[ProductID]], products[], 4, FALSE)</f>
        <v>7</v>
      </c>
      <c r="I147" t="str">
        <f>VLOOKUP(order_details[[#This Row],[OrderID]], orders[[OrderID]:[ShipCountry]], 14, FALSE)</f>
        <v>Belgium</v>
      </c>
      <c r="J147" s="1">
        <f>_xlfn.XLOOKUP(order_details[[#This Row],[OrderID]], orders[OrderID], orders[Month])</f>
        <v>10</v>
      </c>
    </row>
    <row r="148" spans="1:10" x14ac:dyDescent="0.35">
      <c r="A148">
        <v>10302</v>
      </c>
      <c r="B148">
        <v>43</v>
      </c>
      <c r="C148">
        <v>36.799999999999997</v>
      </c>
      <c r="D148">
        <v>12</v>
      </c>
      <c r="E148">
        <v>0</v>
      </c>
      <c r="F148">
        <v>441.59999999999997</v>
      </c>
      <c r="G148" t="str">
        <f>VLOOKUP(VLOOKUP(order_details[[#This Row],[ProductID]], products[], 4, FALSE), categories[], 2, FALSE)</f>
        <v>Beverages</v>
      </c>
      <c r="H148">
        <f>VLOOKUP(order_details[[#This Row],[ProductID]], products[], 4, FALSE)</f>
        <v>1</v>
      </c>
      <c r="I148" t="str">
        <f>VLOOKUP(order_details[[#This Row],[OrderID]], orders[[OrderID]:[ShipCountry]], 14, FALSE)</f>
        <v>Belgium</v>
      </c>
      <c r="J148" s="1">
        <f>_xlfn.XLOOKUP(order_details[[#This Row],[OrderID]], orders[OrderID], orders[Month])</f>
        <v>10</v>
      </c>
    </row>
    <row r="149" spans="1:10" x14ac:dyDescent="0.35">
      <c r="A149">
        <v>10303</v>
      </c>
      <c r="B149">
        <v>40</v>
      </c>
      <c r="C149">
        <v>14.7</v>
      </c>
      <c r="D149">
        <v>40</v>
      </c>
      <c r="E149">
        <v>0.1</v>
      </c>
      <c r="F149">
        <v>529.20000000000005</v>
      </c>
      <c r="G149" t="str">
        <f>VLOOKUP(VLOOKUP(order_details[[#This Row],[ProductID]], products[], 4, FALSE), categories[], 2, FALSE)</f>
        <v>Seafood</v>
      </c>
      <c r="H149">
        <f>VLOOKUP(order_details[[#This Row],[ProductID]], products[], 4, FALSE)</f>
        <v>8</v>
      </c>
      <c r="I149" t="str">
        <f>VLOOKUP(order_details[[#This Row],[OrderID]], orders[[OrderID]:[ShipCountry]], 14, FALSE)</f>
        <v>Spain</v>
      </c>
      <c r="J149" s="1">
        <f>_xlfn.XLOOKUP(order_details[[#This Row],[OrderID]], orders[OrderID], orders[Month])</f>
        <v>10</v>
      </c>
    </row>
    <row r="150" spans="1:10" x14ac:dyDescent="0.35">
      <c r="A150">
        <v>10303</v>
      </c>
      <c r="B150">
        <v>65</v>
      </c>
      <c r="C150">
        <v>16.8</v>
      </c>
      <c r="D150">
        <v>30</v>
      </c>
      <c r="E150">
        <v>0.1</v>
      </c>
      <c r="F150">
        <v>453.6</v>
      </c>
      <c r="G150" t="str">
        <f>VLOOKUP(VLOOKUP(order_details[[#This Row],[ProductID]], products[], 4, FALSE), categories[], 2, FALSE)</f>
        <v>Condiments</v>
      </c>
      <c r="H150">
        <f>VLOOKUP(order_details[[#This Row],[ProductID]], products[], 4, FALSE)</f>
        <v>2</v>
      </c>
      <c r="I150" t="str">
        <f>VLOOKUP(order_details[[#This Row],[OrderID]], orders[[OrderID]:[ShipCountry]], 14, FALSE)</f>
        <v>Spain</v>
      </c>
      <c r="J150" s="1">
        <f>_xlfn.XLOOKUP(order_details[[#This Row],[OrderID]], orders[OrderID], orders[Month])</f>
        <v>10</v>
      </c>
    </row>
    <row r="151" spans="1:10" x14ac:dyDescent="0.35">
      <c r="A151">
        <v>10303</v>
      </c>
      <c r="B151">
        <v>68</v>
      </c>
      <c r="C151">
        <v>10</v>
      </c>
      <c r="D151">
        <v>15</v>
      </c>
      <c r="E151">
        <v>0.1</v>
      </c>
      <c r="F151">
        <v>135</v>
      </c>
      <c r="G151" t="str">
        <f>VLOOKUP(VLOOKUP(order_details[[#This Row],[ProductID]], products[], 4, FALSE), categories[], 2, FALSE)</f>
        <v>Confections</v>
      </c>
      <c r="H151">
        <f>VLOOKUP(order_details[[#This Row],[ProductID]], products[], 4, FALSE)</f>
        <v>3</v>
      </c>
      <c r="I151" t="str">
        <f>VLOOKUP(order_details[[#This Row],[OrderID]], orders[[OrderID]:[ShipCountry]], 14, FALSE)</f>
        <v>Spain</v>
      </c>
      <c r="J151" s="1">
        <f>_xlfn.XLOOKUP(order_details[[#This Row],[OrderID]], orders[OrderID], orders[Month])</f>
        <v>10</v>
      </c>
    </row>
    <row r="152" spans="1:10" x14ac:dyDescent="0.35">
      <c r="A152">
        <v>10304</v>
      </c>
      <c r="B152">
        <v>49</v>
      </c>
      <c r="C152">
        <v>16</v>
      </c>
      <c r="D152">
        <v>30</v>
      </c>
      <c r="E152">
        <v>0</v>
      </c>
      <c r="F152">
        <v>480</v>
      </c>
      <c r="G152" t="str">
        <f>VLOOKUP(VLOOKUP(order_details[[#This Row],[ProductID]], products[], 4, FALSE), categories[], 2, FALSE)</f>
        <v>Confections</v>
      </c>
      <c r="H152">
        <f>VLOOKUP(order_details[[#This Row],[ProductID]], products[], 4, FALSE)</f>
        <v>3</v>
      </c>
      <c r="I152" t="str">
        <f>VLOOKUP(order_details[[#This Row],[OrderID]], orders[[OrderID]:[ShipCountry]], 14, FALSE)</f>
        <v>Mexico</v>
      </c>
      <c r="J152" s="1">
        <f>_xlfn.XLOOKUP(order_details[[#This Row],[OrderID]], orders[OrderID], orders[Month])</f>
        <v>10</v>
      </c>
    </row>
    <row r="153" spans="1:10" x14ac:dyDescent="0.35">
      <c r="A153">
        <v>10304</v>
      </c>
      <c r="B153">
        <v>59</v>
      </c>
      <c r="C153">
        <v>44</v>
      </c>
      <c r="D153">
        <v>10</v>
      </c>
      <c r="E153">
        <v>0</v>
      </c>
      <c r="F153">
        <v>440</v>
      </c>
      <c r="G153" t="str">
        <f>VLOOKUP(VLOOKUP(order_details[[#This Row],[ProductID]], products[], 4, FALSE), categories[], 2, FALSE)</f>
        <v>Dairy Products</v>
      </c>
      <c r="H153">
        <f>VLOOKUP(order_details[[#This Row],[ProductID]], products[], 4, FALSE)</f>
        <v>4</v>
      </c>
      <c r="I153" t="str">
        <f>VLOOKUP(order_details[[#This Row],[OrderID]], orders[[OrderID]:[ShipCountry]], 14, FALSE)</f>
        <v>Mexico</v>
      </c>
      <c r="J153" s="1">
        <f>_xlfn.XLOOKUP(order_details[[#This Row],[OrderID]], orders[OrderID], orders[Month])</f>
        <v>10</v>
      </c>
    </row>
    <row r="154" spans="1:10" x14ac:dyDescent="0.35">
      <c r="A154">
        <v>10304</v>
      </c>
      <c r="B154">
        <v>71</v>
      </c>
      <c r="C154">
        <v>17.2</v>
      </c>
      <c r="D154">
        <v>2</v>
      </c>
      <c r="E154">
        <v>0</v>
      </c>
      <c r="F154">
        <v>34.4</v>
      </c>
      <c r="G154" t="str">
        <f>VLOOKUP(VLOOKUP(order_details[[#This Row],[ProductID]], products[], 4, FALSE), categories[], 2, FALSE)</f>
        <v>Dairy Products</v>
      </c>
      <c r="H154">
        <f>VLOOKUP(order_details[[#This Row],[ProductID]], products[], 4, FALSE)</f>
        <v>4</v>
      </c>
      <c r="I154" t="str">
        <f>VLOOKUP(order_details[[#This Row],[OrderID]], orders[[OrderID]:[ShipCountry]], 14, FALSE)</f>
        <v>Mexico</v>
      </c>
      <c r="J154" s="1">
        <f>_xlfn.XLOOKUP(order_details[[#This Row],[OrderID]], orders[OrderID], orders[Month])</f>
        <v>10</v>
      </c>
    </row>
    <row r="155" spans="1:10" x14ac:dyDescent="0.35">
      <c r="A155">
        <v>10305</v>
      </c>
      <c r="B155">
        <v>18</v>
      </c>
      <c r="C155">
        <v>50</v>
      </c>
      <c r="D155">
        <v>25</v>
      </c>
      <c r="E155">
        <v>0.1</v>
      </c>
      <c r="F155">
        <v>1125</v>
      </c>
      <c r="G155" t="str">
        <f>VLOOKUP(VLOOKUP(order_details[[#This Row],[ProductID]], products[], 4, FALSE), categories[], 2, FALSE)</f>
        <v>Seafood</v>
      </c>
      <c r="H155">
        <f>VLOOKUP(order_details[[#This Row],[ProductID]], products[], 4, FALSE)</f>
        <v>8</v>
      </c>
      <c r="I155" t="str">
        <f>VLOOKUP(order_details[[#This Row],[OrderID]], orders[[OrderID]:[ShipCountry]], 14, FALSE)</f>
        <v>USA</v>
      </c>
      <c r="J155" s="1">
        <f>_xlfn.XLOOKUP(order_details[[#This Row],[OrderID]], orders[OrderID], orders[Month])</f>
        <v>10</v>
      </c>
    </row>
    <row r="156" spans="1:10" x14ac:dyDescent="0.35">
      <c r="A156">
        <v>10305</v>
      </c>
      <c r="B156">
        <v>29</v>
      </c>
      <c r="C156">
        <v>99</v>
      </c>
      <c r="D156">
        <v>25</v>
      </c>
      <c r="E156">
        <v>0.1</v>
      </c>
      <c r="F156">
        <v>2227.5</v>
      </c>
      <c r="G156" t="str">
        <f>VLOOKUP(VLOOKUP(order_details[[#This Row],[ProductID]], products[], 4, FALSE), categories[], 2, FALSE)</f>
        <v>Meat/Poultry</v>
      </c>
      <c r="H156">
        <f>VLOOKUP(order_details[[#This Row],[ProductID]], products[], 4, FALSE)</f>
        <v>6</v>
      </c>
      <c r="I156" t="str">
        <f>VLOOKUP(order_details[[#This Row],[OrderID]], orders[[OrderID]:[ShipCountry]], 14, FALSE)</f>
        <v>USA</v>
      </c>
      <c r="J156" s="1">
        <f>_xlfn.XLOOKUP(order_details[[#This Row],[OrderID]], orders[OrderID], orders[Month])</f>
        <v>10</v>
      </c>
    </row>
    <row r="157" spans="1:10" x14ac:dyDescent="0.35">
      <c r="A157">
        <v>10305</v>
      </c>
      <c r="B157">
        <v>39</v>
      </c>
      <c r="C157">
        <v>14.4</v>
      </c>
      <c r="D157">
        <v>30</v>
      </c>
      <c r="E157">
        <v>0.1</v>
      </c>
      <c r="F157">
        <v>388.8</v>
      </c>
      <c r="G157" t="str">
        <f>VLOOKUP(VLOOKUP(order_details[[#This Row],[ProductID]], products[], 4, FALSE), categories[], 2, FALSE)</f>
        <v>Beverages</v>
      </c>
      <c r="H157">
        <f>VLOOKUP(order_details[[#This Row],[ProductID]], products[], 4, FALSE)</f>
        <v>1</v>
      </c>
      <c r="I157" t="str">
        <f>VLOOKUP(order_details[[#This Row],[OrderID]], orders[[OrderID]:[ShipCountry]], 14, FALSE)</f>
        <v>USA</v>
      </c>
      <c r="J157" s="1">
        <f>_xlfn.XLOOKUP(order_details[[#This Row],[OrderID]], orders[OrderID], orders[Month])</f>
        <v>10</v>
      </c>
    </row>
    <row r="158" spans="1:10" x14ac:dyDescent="0.35">
      <c r="A158">
        <v>10306</v>
      </c>
      <c r="B158">
        <v>30</v>
      </c>
      <c r="C158">
        <v>20.7</v>
      </c>
      <c r="D158">
        <v>10</v>
      </c>
      <c r="E158">
        <v>0</v>
      </c>
      <c r="F158">
        <v>207</v>
      </c>
      <c r="G158" t="str">
        <f>VLOOKUP(VLOOKUP(order_details[[#This Row],[ProductID]], products[], 4, FALSE), categories[], 2, FALSE)</f>
        <v>Seafood</v>
      </c>
      <c r="H158">
        <f>VLOOKUP(order_details[[#This Row],[ProductID]], products[], 4, FALSE)</f>
        <v>8</v>
      </c>
      <c r="I158" t="str">
        <f>VLOOKUP(order_details[[#This Row],[OrderID]], orders[[OrderID]:[ShipCountry]], 14, FALSE)</f>
        <v>Spain</v>
      </c>
      <c r="J158" s="1">
        <f>_xlfn.XLOOKUP(order_details[[#This Row],[OrderID]], orders[OrderID], orders[Month])</f>
        <v>10</v>
      </c>
    </row>
    <row r="159" spans="1:10" x14ac:dyDescent="0.35">
      <c r="A159">
        <v>10306</v>
      </c>
      <c r="B159">
        <v>53</v>
      </c>
      <c r="C159">
        <v>26.2</v>
      </c>
      <c r="D159">
        <v>10</v>
      </c>
      <c r="E159">
        <v>0</v>
      </c>
      <c r="F159">
        <v>262</v>
      </c>
      <c r="G159" t="str">
        <f>VLOOKUP(VLOOKUP(order_details[[#This Row],[ProductID]], products[], 4, FALSE), categories[], 2, FALSE)</f>
        <v>Meat/Poultry</v>
      </c>
      <c r="H159">
        <f>VLOOKUP(order_details[[#This Row],[ProductID]], products[], 4, FALSE)</f>
        <v>6</v>
      </c>
      <c r="I159" t="str">
        <f>VLOOKUP(order_details[[#This Row],[OrderID]], orders[[OrderID]:[ShipCountry]], 14, FALSE)</f>
        <v>Spain</v>
      </c>
      <c r="J159" s="1">
        <f>_xlfn.XLOOKUP(order_details[[#This Row],[OrderID]], orders[OrderID], orders[Month])</f>
        <v>10</v>
      </c>
    </row>
    <row r="160" spans="1:10" x14ac:dyDescent="0.35">
      <c r="A160">
        <v>10306</v>
      </c>
      <c r="B160">
        <v>54</v>
      </c>
      <c r="C160">
        <v>5.9</v>
      </c>
      <c r="D160">
        <v>5</v>
      </c>
      <c r="E160">
        <v>0</v>
      </c>
      <c r="F160">
        <v>29.5</v>
      </c>
      <c r="G160" t="str">
        <f>VLOOKUP(VLOOKUP(order_details[[#This Row],[ProductID]], products[], 4, FALSE), categories[], 2, FALSE)</f>
        <v>Meat/Poultry</v>
      </c>
      <c r="H160">
        <f>VLOOKUP(order_details[[#This Row],[ProductID]], products[], 4, FALSE)</f>
        <v>6</v>
      </c>
      <c r="I160" t="str">
        <f>VLOOKUP(order_details[[#This Row],[OrderID]], orders[[OrderID]:[ShipCountry]], 14, FALSE)</f>
        <v>Spain</v>
      </c>
      <c r="J160" s="1">
        <f>_xlfn.XLOOKUP(order_details[[#This Row],[OrderID]], orders[OrderID], orders[Month])</f>
        <v>10</v>
      </c>
    </row>
    <row r="161" spans="1:10" x14ac:dyDescent="0.35">
      <c r="A161">
        <v>10307</v>
      </c>
      <c r="B161">
        <v>62</v>
      </c>
      <c r="C161">
        <v>39.4</v>
      </c>
      <c r="D161">
        <v>10</v>
      </c>
      <c r="E161">
        <v>0</v>
      </c>
      <c r="F161">
        <v>394</v>
      </c>
      <c r="G161" t="str">
        <f>VLOOKUP(VLOOKUP(order_details[[#This Row],[ProductID]], products[], 4, FALSE), categories[], 2, FALSE)</f>
        <v>Confections</v>
      </c>
      <c r="H161">
        <f>VLOOKUP(order_details[[#This Row],[ProductID]], products[], 4, FALSE)</f>
        <v>3</v>
      </c>
      <c r="I161" t="str">
        <f>VLOOKUP(order_details[[#This Row],[OrderID]], orders[[OrderID]:[ShipCountry]], 14, FALSE)</f>
        <v>USA</v>
      </c>
      <c r="J161" s="1">
        <f>_xlfn.XLOOKUP(order_details[[#This Row],[OrderID]], orders[OrderID], orders[Month])</f>
        <v>10</v>
      </c>
    </row>
    <row r="162" spans="1:10" x14ac:dyDescent="0.35">
      <c r="A162">
        <v>10307</v>
      </c>
      <c r="B162">
        <v>68</v>
      </c>
      <c r="C162">
        <v>10</v>
      </c>
      <c r="D162">
        <v>3</v>
      </c>
      <c r="E162">
        <v>0</v>
      </c>
      <c r="F162">
        <v>30</v>
      </c>
      <c r="G162" t="str">
        <f>VLOOKUP(VLOOKUP(order_details[[#This Row],[ProductID]], products[], 4, FALSE), categories[], 2, FALSE)</f>
        <v>Confections</v>
      </c>
      <c r="H162">
        <f>VLOOKUP(order_details[[#This Row],[ProductID]], products[], 4, FALSE)</f>
        <v>3</v>
      </c>
      <c r="I162" t="str">
        <f>VLOOKUP(order_details[[#This Row],[OrderID]], orders[[OrderID]:[ShipCountry]], 14, FALSE)</f>
        <v>USA</v>
      </c>
      <c r="J162" s="1">
        <f>_xlfn.XLOOKUP(order_details[[#This Row],[OrderID]], orders[OrderID], orders[Month])</f>
        <v>10</v>
      </c>
    </row>
    <row r="163" spans="1:10" x14ac:dyDescent="0.35">
      <c r="A163">
        <v>10308</v>
      </c>
      <c r="B163">
        <v>69</v>
      </c>
      <c r="C163">
        <v>28.8</v>
      </c>
      <c r="D163">
        <v>1</v>
      </c>
      <c r="E163">
        <v>0</v>
      </c>
      <c r="F163">
        <v>28.8</v>
      </c>
      <c r="G163" t="str">
        <f>VLOOKUP(VLOOKUP(order_details[[#This Row],[ProductID]], products[], 4, FALSE), categories[], 2, FALSE)</f>
        <v>Dairy Products</v>
      </c>
      <c r="H163">
        <f>VLOOKUP(order_details[[#This Row],[ProductID]], products[], 4, FALSE)</f>
        <v>4</v>
      </c>
      <c r="I163" t="str">
        <f>VLOOKUP(order_details[[#This Row],[OrderID]], orders[[OrderID]:[ShipCountry]], 14, FALSE)</f>
        <v>Mexico</v>
      </c>
      <c r="J163" s="1">
        <f>_xlfn.XLOOKUP(order_details[[#This Row],[OrderID]], orders[OrderID], orders[Month])</f>
        <v>10</v>
      </c>
    </row>
    <row r="164" spans="1:10" x14ac:dyDescent="0.35">
      <c r="A164">
        <v>10308</v>
      </c>
      <c r="B164">
        <v>70</v>
      </c>
      <c r="C164">
        <v>12</v>
      </c>
      <c r="D164">
        <v>5</v>
      </c>
      <c r="E164">
        <v>0</v>
      </c>
      <c r="F164">
        <v>60</v>
      </c>
      <c r="G164" t="str">
        <f>VLOOKUP(VLOOKUP(order_details[[#This Row],[ProductID]], products[], 4, FALSE), categories[], 2, FALSE)</f>
        <v>Beverages</v>
      </c>
      <c r="H164">
        <f>VLOOKUP(order_details[[#This Row],[ProductID]], products[], 4, FALSE)</f>
        <v>1</v>
      </c>
      <c r="I164" t="str">
        <f>VLOOKUP(order_details[[#This Row],[OrderID]], orders[[OrderID]:[ShipCountry]], 14, FALSE)</f>
        <v>Mexico</v>
      </c>
      <c r="J164" s="1">
        <f>_xlfn.XLOOKUP(order_details[[#This Row],[OrderID]], orders[OrderID], orders[Month])</f>
        <v>10</v>
      </c>
    </row>
    <row r="165" spans="1:10" x14ac:dyDescent="0.35">
      <c r="A165">
        <v>10309</v>
      </c>
      <c r="B165">
        <v>4</v>
      </c>
      <c r="C165">
        <v>17.600000000000001</v>
      </c>
      <c r="D165">
        <v>20</v>
      </c>
      <c r="E165">
        <v>0</v>
      </c>
      <c r="F165">
        <v>352</v>
      </c>
      <c r="G165" t="str">
        <f>VLOOKUP(VLOOKUP(order_details[[#This Row],[ProductID]], products[], 4, FALSE), categories[], 2, FALSE)</f>
        <v>Condiments</v>
      </c>
      <c r="H165">
        <f>VLOOKUP(order_details[[#This Row],[ProductID]], products[], 4, FALSE)</f>
        <v>2</v>
      </c>
      <c r="I165" t="str">
        <f>VLOOKUP(order_details[[#This Row],[OrderID]], orders[[OrderID]:[ShipCountry]], 14, FALSE)</f>
        <v>Ireland</v>
      </c>
      <c r="J165" s="1">
        <f>_xlfn.XLOOKUP(order_details[[#This Row],[OrderID]], orders[OrderID], orders[Month])</f>
        <v>10</v>
      </c>
    </row>
    <row r="166" spans="1:10" x14ac:dyDescent="0.35">
      <c r="A166">
        <v>10309</v>
      </c>
      <c r="B166">
        <v>6</v>
      </c>
      <c r="C166">
        <v>20</v>
      </c>
      <c r="D166">
        <v>30</v>
      </c>
      <c r="E166">
        <v>0</v>
      </c>
      <c r="F166">
        <v>600</v>
      </c>
      <c r="G166" t="str">
        <f>VLOOKUP(VLOOKUP(order_details[[#This Row],[ProductID]], products[], 4, FALSE), categories[], 2, FALSE)</f>
        <v>Condiments</v>
      </c>
      <c r="H166">
        <f>VLOOKUP(order_details[[#This Row],[ProductID]], products[], 4, FALSE)</f>
        <v>2</v>
      </c>
      <c r="I166" t="str">
        <f>VLOOKUP(order_details[[#This Row],[OrderID]], orders[[OrderID]:[ShipCountry]], 14, FALSE)</f>
        <v>Ireland</v>
      </c>
      <c r="J166" s="1">
        <f>_xlfn.XLOOKUP(order_details[[#This Row],[OrderID]], orders[OrderID], orders[Month])</f>
        <v>10</v>
      </c>
    </row>
    <row r="167" spans="1:10" x14ac:dyDescent="0.35">
      <c r="A167">
        <v>10309</v>
      </c>
      <c r="B167">
        <v>42</v>
      </c>
      <c r="C167">
        <v>11.2</v>
      </c>
      <c r="D167">
        <v>2</v>
      </c>
      <c r="E167">
        <v>0</v>
      </c>
      <c r="F167">
        <v>22.4</v>
      </c>
      <c r="G167" t="str">
        <f>VLOOKUP(VLOOKUP(order_details[[#This Row],[ProductID]], products[], 4, FALSE), categories[], 2, FALSE)</f>
        <v>Grains/Cereals</v>
      </c>
      <c r="H167">
        <f>VLOOKUP(order_details[[#This Row],[ProductID]], products[], 4, FALSE)</f>
        <v>5</v>
      </c>
      <c r="I167" t="str">
        <f>VLOOKUP(order_details[[#This Row],[OrderID]], orders[[OrderID]:[ShipCountry]], 14, FALSE)</f>
        <v>Ireland</v>
      </c>
      <c r="J167" s="1">
        <f>_xlfn.XLOOKUP(order_details[[#This Row],[OrderID]], orders[OrderID], orders[Month])</f>
        <v>10</v>
      </c>
    </row>
    <row r="168" spans="1:10" x14ac:dyDescent="0.35">
      <c r="A168">
        <v>10309</v>
      </c>
      <c r="B168">
        <v>43</v>
      </c>
      <c r="C168">
        <v>36.799999999999997</v>
      </c>
      <c r="D168">
        <v>20</v>
      </c>
      <c r="E168">
        <v>0</v>
      </c>
      <c r="F168">
        <v>736</v>
      </c>
      <c r="G168" t="str">
        <f>VLOOKUP(VLOOKUP(order_details[[#This Row],[ProductID]], products[], 4, FALSE), categories[], 2, FALSE)</f>
        <v>Beverages</v>
      </c>
      <c r="H168">
        <f>VLOOKUP(order_details[[#This Row],[ProductID]], products[], 4, FALSE)</f>
        <v>1</v>
      </c>
      <c r="I168" t="str">
        <f>VLOOKUP(order_details[[#This Row],[OrderID]], orders[[OrderID]:[ShipCountry]], 14, FALSE)</f>
        <v>Ireland</v>
      </c>
      <c r="J168" s="1">
        <f>_xlfn.XLOOKUP(order_details[[#This Row],[OrderID]], orders[OrderID], orders[Month])</f>
        <v>10</v>
      </c>
    </row>
    <row r="169" spans="1:10" x14ac:dyDescent="0.35">
      <c r="A169">
        <v>10309</v>
      </c>
      <c r="B169">
        <v>71</v>
      </c>
      <c r="C169">
        <v>17.2</v>
      </c>
      <c r="D169">
        <v>3</v>
      </c>
      <c r="E169">
        <v>0</v>
      </c>
      <c r="F169">
        <v>51.599999999999994</v>
      </c>
      <c r="G169" t="str">
        <f>VLOOKUP(VLOOKUP(order_details[[#This Row],[ProductID]], products[], 4, FALSE), categories[], 2, FALSE)</f>
        <v>Dairy Products</v>
      </c>
      <c r="H169">
        <f>VLOOKUP(order_details[[#This Row],[ProductID]], products[], 4, FALSE)</f>
        <v>4</v>
      </c>
      <c r="I169" t="str">
        <f>VLOOKUP(order_details[[#This Row],[OrderID]], orders[[OrderID]:[ShipCountry]], 14, FALSE)</f>
        <v>Ireland</v>
      </c>
      <c r="J169" s="1">
        <f>_xlfn.XLOOKUP(order_details[[#This Row],[OrderID]], orders[OrderID], orders[Month])</f>
        <v>10</v>
      </c>
    </row>
    <row r="170" spans="1:10" x14ac:dyDescent="0.35">
      <c r="A170">
        <v>10310</v>
      </c>
      <c r="B170">
        <v>16</v>
      </c>
      <c r="C170">
        <v>13.9</v>
      </c>
      <c r="D170">
        <v>10</v>
      </c>
      <c r="E170">
        <v>0</v>
      </c>
      <c r="F170">
        <v>139</v>
      </c>
      <c r="G170" t="str">
        <f>VLOOKUP(VLOOKUP(order_details[[#This Row],[ProductID]], products[], 4, FALSE), categories[], 2, FALSE)</f>
        <v>Confections</v>
      </c>
      <c r="H170">
        <f>VLOOKUP(order_details[[#This Row],[ProductID]], products[], 4, FALSE)</f>
        <v>3</v>
      </c>
      <c r="I170" t="str">
        <f>VLOOKUP(order_details[[#This Row],[OrderID]], orders[[OrderID]:[ShipCountry]], 14, FALSE)</f>
        <v>USA</v>
      </c>
      <c r="J170" s="1">
        <f>_xlfn.XLOOKUP(order_details[[#This Row],[OrderID]], orders[OrderID], orders[Month])</f>
        <v>10</v>
      </c>
    </row>
    <row r="171" spans="1:10" x14ac:dyDescent="0.35">
      <c r="A171">
        <v>10310</v>
      </c>
      <c r="B171">
        <v>62</v>
      </c>
      <c r="C171">
        <v>39.4</v>
      </c>
      <c r="D171">
        <v>5</v>
      </c>
      <c r="E171">
        <v>0</v>
      </c>
      <c r="F171">
        <v>197</v>
      </c>
      <c r="G171" t="str">
        <f>VLOOKUP(VLOOKUP(order_details[[#This Row],[ProductID]], products[], 4, FALSE), categories[], 2, FALSE)</f>
        <v>Confections</v>
      </c>
      <c r="H171">
        <f>VLOOKUP(order_details[[#This Row],[ProductID]], products[], 4, FALSE)</f>
        <v>3</v>
      </c>
      <c r="I171" t="str">
        <f>VLOOKUP(order_details[[#This Row],[OrderID]], orders[[OrderID]:[ShipCountry]], 14, FALSE)</f>
        <v>USA</v>
      </c>
      <c r="J171" s="1">
        <f>_xlfn.XLOOKUP(order_details[[#This Row],[OrderID]], orders[OrderID], orders[Month])</f>
        <v>10</v>
      </c>
    </row>
    <row r="172" spans="1:10" x14ac:dyDescent="0.35">
      <c r="A172">
        <v>10311</v>
      </c>
      <c r="B172">
        <v>42</v>
      </c>
      <c r="C172">
        <v>11.2</v>
      </c>
      <c r="D172">
        <v>6</v>
      </c>
      <c r="E172">
        <v>0</v>
      </c>
      <c r="F172">
        <v>67.199999999999989</v>
      </c>
      <c r="G172" t="str">
        <f>VLOOKUP(VLOOKUP(order_details[[#This Row],[ProductID]], products[], 4, FALSE), categories[], 2, FALSE)</f>
        <v>Grains/Cereals</v>
      </c>
      <c r="H172">
        <f>VLOOKUP(order_details[[#This Row],[ProductID]], products[], 4, FALSE)</f>
        <v>5</v>
      </c>
      <c r="I172" t="str">
        <f>VLOOKUP(order_details[[#This Row],[OrderID]], orders[[OrderID]:[ShipCountry]], 14, FALSE)</f>
        <v>France</v>
      </c>
      <c r="J172" s="1">
        <f>_xlfn.XLOOKUP(order_details[[#This Row],[OrderID]], orders[OrderID], orders[Month])</f>
        <v>10</v>
      </c>
    </row>
    <row r="173" spans="1:10" x14ac:dyDescent="0.35">
      <c r="A173">
        <v>10311</v>
      </c>
      <c r="B173">
        <v>69</v>
      </c>
      <c r="C173">
        <v>28.8</v>
      </c>
      <c r="D173">
        <v>7</v>
      </c>
      <c r="E173">
        <v>0</v>
      </c>
      <c r="F173">
        <v>201.6</v>
      </c>
      <c r="G173" t="str">
        <f>VLOOKUP(VLOOKUP(order_details[[#This Row],[ProductID]], products[], 4, FALSE), categories[], 2, FALSE)</f>
        <v>Dairy Products</v>
      </c>
      <c r="H173">
        <f>VLOOKUP(order_details[[#This Row],[ProductID]], products[], 4, FALSE)</f>
        <v>4</v>
      </c>
      <c r="I173" t="str">
        <f>VLOOKUP(order_details[[#This Row],[OrderID]], orders[[OrderID]:[ShipCountry]], 14, FALSE)</f>
        <v>France</v>
      </c>
      <c r="J173" s="1">
        <f>_xlfn.XLOOKUP(order_details[[#This Row],[OrderID]], orders[OrderID], orders[Month])</f>
        <v>10</v>
      </c>
    </row>
    <row r="174" spans="1:10" x14ac:dyDescent="0.35">
      <c r="A174">
        <v>10312</v>
      </c>
      <c r="B174">
        <v>28</v>
      </c>
      <c r="C174">
        <v>36.4</v>
      </c>
      <c r="D174">
        <v>4</v>
      </c>
      <c r="E174">
        <v>0</v>
      </c>
      <c r="F174">
        <v>145.6</v>
      </c>
      <c r="G174" t="str">
        <f>VLOOKUP(VLOOKUP(order_details[[#This Row],[ProductID]], products[], 4, FALSE), categories[], 2, FALSE)</f>
        <v>Produce</v>
      </c>
      <c r="H174">
        <f>VLOOKUP(order_details[[#This Row],[ProductID]], products[], 4, FALSE)</f>
        <v>7</v>
      </c>
      <c r="I174" t="str">
        <f>VLOOKUP(order_details[[#This Row],[OrderID]], orders[[OrderID]:[ShipCountry]], 14, FALSE)</f>
        <v>Germany</v>
      </c>
      <c r="J174" s="1">
        <f>_xlfn.XLOOKUP(order_details[[#This Row],[OrderID]], orders[OrderID], orders[Month])</f>
        <v>10</v>
      </c>
    </row>
    <row r="175" spans="1:10" x14ac:dyDescent="0.35">
      <c r="A175">
        <v>10312</v>
      </c>
      <c r="B175">
        <v>43</v>
      </c>
      <c r="C175">
        <v>36.799999999999997</v>
      </c>
      <c r="D175">
        <v>24</v>
      </c>
      <c r="E175">
        <v>0</v>
      </c>
      <c r="F175">
        <v>883.19999999999993</v>
      </c>
      <c r="G175" t="str">
        <f>VLOOKUP(VLOOKUP(order_details[[#This Row],[ProductID]], products[], 4, FALSE), categories[], 2, FALSE)</f>
        <v>Beverages</v>
      </c>
      <c r="H175">
        <f>VLOOKUP(order_details[[#This Row],[ProductID]], products[], 4, FALSE)</f>
        <v>1</v>
      </c>
      <c r="I175" t="str">
        <f>VLOOKUP(order_details[[#This Row],[OrderID]], orders[[OrderID]:[ShipCountry]], 14, FALSE)</f>
        <v>Germany</v>
      </c>
      <c r="J175" s="1">
        <f>_xlfn.XLOOKUP(order_details[[#This Row],[OrderID]], orders[OrderID], orders[Month])</f>
        <v>10</v>
      </c>
    </row>
    <row r="176" spans="1:10" x14ac:dyDescent="0.35">
      <c r="A176">
        <v>10312</v>
      </c>
      <c r="B176">
        <v>53</v>
      </c>
      <c r="C176">
        <v>26.2</v>
      </c>
      <c r="D176">
        <v>20</v>
      </c>
      <c r="E176">
        <v>0</v>
      </c>
      <c r="F176">
        <v>524</v>
      </c>
      <c r="G176" t="str">
        <f>VLOOKUP(VLOOKUP(order_details[[#This Row],[ProductID]], products[], 4, FALSE), categories[], 2, FALSE)</f>
        <v>Meat/Poultry</v>
      </c>
      <c r="H176">
        <f>VLOOKUP(order_details[[#This Row],[ProductID]], products[], 4, FALSE)</f>
        <v>6</v>
      </c>
      <c r="I176" t="str">
        <f>VLOOKUP(order_details[[#This Row],[OrderID]], orders[[OrderID]:[ShipCountry]], 14, FALSE)</f>
        <v>Germany</v>
      </c>
      <c r="J176" s="1">
        <f>_xlfn.XLOOKUP(order_details[[#This Row],[OrderID]], orders[OrderID], orders[Month])</f>
        <v>10</v>
      </c>
    </row>
    <row r="177" spans="1:10" x14ac:dyDescent="0.35">
      <c r="A177">
        <v>10312</v>
      </c>
      <c r="B177">
        <v>75</v>
      </c>
      <c r="C177">
        <v>6.2</v>
      </c>
      <c r="D177">
        <v>10</v>
      </c>
      <c r="E177">
        <v>0</v>
      </c>
      <c r="F177">
        <v>62</v>
      </c>
      <c r="G177" t="str">
        <f>VLOOKUP(VLOOKUP(order_details[[#This Row],[ProductID]], products[], 4, FALSE), categories[], 2, FALSE)</f>
        <v>Beverages</v>
      </c>
      <c r="H177">
        <f>VLOOKUP(order_details[[#This Row],[ProductID]], products[], 4, FALSE)</f>
        <v>1</v>
      </c>
      <c r="I177" t="str">
        <f>VLOOKUP(order_details[[#This Row],[OrderID]], orders[[OrderID]:[ShipCountry]], 14, FALSE)</f>
        <v>Germany</v>
      </c>
      <c r="J177" s="1">
        <f>_xlfn.XLOOKUP(order_details[[#This Row],[OrderID]], orders[OrderID], orders[Month])</f>
        <v>10</v>
      </c>
    </row>
    <row r="178" spans="1:10" x14ac:dyDescent="0.35">
      <c r="A178">
        <v>10313</v>
      </c>
      <c r="B178">
        <v>36</v>
      </c>
      <c r="C178">
        <v>15.2</v>
      </c>
      <c r="D178">
        <v>12</v>
      </c>
      <c r="E178">
        <v>0</v>
      </c>
      <c r="F178">
        <v>182.39999999999998</v>
      </c>
      <c r="G178" t="str">
        <f>VLOOKUP(VLOOKUP(order_details[[#This Row],[ProductID]], products[], 4, FALSE), categories[], 2, FALSE)</f>
        <v>Seafood</v>
      </c>
      <c r="H178">
        <f>VLOOKUP(order_details[[#This Row],[ProductID]], products[], 4, FALSE)</f>
        <v>8</v>
      </c>
      <c r="I178" t="str">
        <f>VLOOKUP(order_details[[#This Row],[OrderID]], orders[[OrderID]:[ShipCountry]], 14, FALSE)</f>
        <v>Germany</v>
      </c>
      <c r="J178" s="1">
        <f>_xlfn.XLOOKUP(order_details[[#This Row],[OrderID]], orders[OrderID], orders[Month])</f>
        <v>10</v>
      </c>
    </row>
    <row r="179" spans="1:10" x14ac:dyDescent="0.35">
      <c r="A179">
        <v>10314</v>
      </c>
      <c r="B179">
        <v>32</v>
      </c>
      <c r="C179">
        <v>25.6</v>
      </c>
      <c r="D179">
        <v>40</v>
      </c>
      <c r="E179">
        <v>0.1</v>
      </c>
      <c r="F179">
        <v>921.6</v>
      </c>
      <c r="G179" t="str">
        <f>VLOOKUP(VLOOKUP(order_details[[#This Row],[ProductID]], products[], 4, FALSE), categories[], 2, FALSE)</f>
        <v>Dairy Products</v>
      </c>
      <c r="H179">
        <f>VLOOKUP(order_details[[#This Row],[ProductID]], products[], 4, FALSE)</f>
        <v>4</v>
      </c>
      <c r="I179" t="str">
        <f>VLOOKUP(order_details[[#This Row],[OrderID]], orders[[OrderID]:[ShipCountry]], 14, FALSE)</f>
        <v>USA</v>
      </c>
      <c r="J179" s="1">
        <f>_xlfn.XLOOKUP(order_details[[#This Row],[OrderID]], orders[OrderID], orders[Month])</f>
        <v>10</v>
      </c>
    </row>
    <row r="180" spans="1:10" x14ac:dyDescent="0.35">
      <c r="A180">
        <v>10314</v>
      </c>
      <c r="B180">
        <v>58</v>
      </c>
      <c r="C180">
        <v>10.6</v>
      </c>
      <c r="D180">
        <v>30</v>
      </c>
      <c r="E180">
        <v>0.1</v>
      </c>
      <c r="F180">
        <v>286.2</v>
      </c>
      <c r="G180" t="str">
        <f>VLOOKUP(VLOOKUP(order_details[[#This Row],[ProductID]], products[], 4, FALSE), categories[], 2, FALSE)</f>
        <v>Seafood</v>
      </c>
      <c r="H180">
        <f>VLOOKUP(order_details[[#This Row],[ProductID]], products[], 4, FALSE)</f>
        <v>8</v>
      </c>
      <c r="I180" t="str">
        <f>VLOOKUP(order_details[[#This Row],[OrderID]], orders[[OrderID]:[ShipCountry]], 14, FALSE)</f>
        <v>USA</v>
      </c>
      <c r="J180" s="1">
        <f>_xlfn.XLOOKUP(order_details[[#This Row],[OrderID]], orders[OrderID], orders[Month])</f>
        <v>10</v>
      </c>
    </row>
    <row r="181" spans="1:10" x14ac:dyDescent="0.35">
      <c r="A181">
        <v>10314</v>
      </c>
      <c r="B181">
        <v>62</v>
      </c>
      <c r="C181">
        <v>39.4</v>
      </c>
      <c r="D181">
        <v>25</v>
      </c>
      <c r="E181">
        <v>0.1</v>
      </c>
      <c r="F181">
        <v>886.5</v>
      </c>
      <c r="G181" t="str">
        <f>VLOOKUP(VLOOKUP(order_details[[#This Row],[ProductID]], products[], 4, FALSE), categories[], 2, FALSE)</f>
        <v>Confections</v>
      </c>
      <c r="H181">
        <f>VLOOKUP(order_details[[#This Row],[ProductID]], products[], 4, FALSE)</f>
        <v>3</v>
      </c>
      <c r="I181" t="str">
        <f>VLOOKUP(order_details[[#This Row],[OrderID]], orders[[OrderID]:[ShipCountry]], 14, FALSE)</f>
        <v>USA</v>
      </c>
      <c r="J181" s="1">
        <f>_xlfn.XLOOKUP(order_details[[#This Row],[OrderID]], orders[OrderID], orders[Month])</f>
        <v>10</v>
      </c>
    </row>
    <row r="182" spans="1:10" x14ac:dyDescent="0.35">
      <c r="A182">
        <v>10315</v>
      </c>
      <c r="B182">
        <v>34</v>
      </c>
      <c r="C182">
        <v>11.2</v>
      </c>
      <c r="D182">
        <v>14</v>
      </c>
      <c r="E182">
        <v>0</v>
      </c>
      <c r="F182">
        <v>156.79999999999998</v>
      </c>
      <c r="G182" t="str">
        <f>VLOOKUP(VLOOKUP(order_details[[#This Row],[ProductID]], products[], 4, FALSE), categories[], 2, FALSE)</f>
        <v>Beverages</v>
      </c>
      <c r="H182">
        <f>VLOOKUP(order_details[[#This Row],[ProductID]], products[], 4, FALSE)</f>
        <v>1</v>
      </c>
      <c r="I182" t="str">
        <f>VLOOKUP(order_details[[#This Row],[OrderID]], orders[[OrderID]:[ShipCountry]], 14, FALSE)</f>
        <v>UK</v>
      </c>
      <c r="J182" s="1">
        <f>_xlfn.XLOOKUP(order_details[[#This Row],[OrderID]], orders[OrderID], orders[Month])</f>
        <v>10</v>
      </c>
    </row>
    <row r="183" spans="1:10" x14ac:dyDescent="0.35">
      <c r="A183">
        <v>10315</v>
      </c>
      <c r="B183">
        <v>70</v>
      </c>
      <c r="C183">
        <v>12</v>
      </c>
      <c r="D183">
        <v>30</v>
      </c>
      <c r="E183">
        <v>0</v>
      </c>
      <c r="F183">
        <v>360</v>
      </c>
      <c r="G183" t="str">
        <f>VLOOKUP(VLOOKUP(order_details[[#This Row],[ProductID]], products[], 4, FALSE), categories[], 2, FALSE)</f>
        <v>Beverages</v>
      </c>
      <c r="H183">
        <f>VLOOKUP(order_details[[#This Row],[ProductID]], products[], 4, FALSE)</f>
        <v>1</v>
      </c>
      <c r="I183" t="str">
        <f>VLOOKUP(order_details[[#This Row],[OrderID]], orders[[OrderID]:[ShipCountry]], 14, FALSE)</f>
        <v>UK</v>
      </c>
      <c r="J183" s="1">
        <f>_xlfn.XLOOKUP(order_details[[#This Row],[OrderID]], orders[OrderID], orders[Month])</f>
        <v>10</v>
      </c>
    </row>
    <row r="184" spans="1:10" x14ac:dyDescent="0.35">
      <c r="A184">
        <v>10316</v>
      </c>
      <c r="B184">
        <v>41</v>
      </c>
      <c r="C184">
        <v>7.7</v>
      </c>
      <c r="D184">
        <v>10</v>
      </c>
      <c r="E184">
        <v>0</v>
      </c>
      <c r="F184">
        <v>77</v>
      </c>
      <c r="G184" t="str">
        <f>VLOOKUP(VLOOKUP(order_details[[#This Row],[ProductID]], products[], 4, FALSE), categories[], 2, FALSE)</f>
        <v>Seafood</v>
      </c>
      <c r="H184">
        <f>VLOOKUP(order_details[[#This Row],[ProductID]], products[], 4, FALSE)</f>
        <v>8</v>
      </c>
      <c r="I184" t="str">
        <f>VLOOKUP(order_details[[#This Row],[OrderID]], orders[[OrderID]:[ShipCountry]], 14, FALSE)</f>
        <v>USA</v>
      </c>
      <c r="J184" s="1">
        <f>_xlfn.XLOOKUP(order_details[[#This Row],[OrderID]], orders[OrderID], orders[Month])</f>
        <v>10</v>
      </c>
    </row>
    <row r="185" spans="1:10" x14ac:dyDescent="0.35">
      <c r="A185">
        <v>10316</v>
      </c>
      <c r="B185">
        <v>62</v>
      </c>
      <c r="C185">
        <v>39.4</v>
      </c>
      <c r="D185">
        <v>70</v>
      </c>
      <c r="E185">
        <v>0</v>
      </c>
      <c r="F185">
        <v>2758</v>
      </c>
      <c r="G185" t="str">
        <f>VLOOKUP(VLOOKUP(order_details[[#This Row],[ProductID]], products[], 4, FALSE), categories[], 2, FALSE)</f>
        <v>Confections</v>
      </c>
      <c r="H185">
        <f>VLOOKUP(order_details[[#This Row],[ProductID]], products[], 4, FALSE)</f>
        <v>3</v>
      </c>
      <c r="I185" t="str">
        <f>VLOOKUP(order_details[[#This Row],[OrderID]], orders[[OrderID]:[ShipCountry]], 14, FALSE)</f>
        <v>USA</v>
      </c>
      <c r="J185" s="1">
        <f>_xlfn.XLOOKUP(order_details[[#This Row],[OrderID]], orders[OrderID], orders[Month])</f>
        <v>10</v>
      </c>
    </row>
    <row r="186" spans="1:10" x14ac:dyDescent="0.35">
      <c r="A186">
        <v>10317</v>
      </c>
      <c r="B186">
        <v>1</v>
      </c>
      <c r="C186">
        <v>14.4</v>
      </c>
      <c r="D186">
        <v>20</v>
      </c>
      <c r="E186">
        <v>0</v>
      </c>
      <c r="F186">
        <v>288</v>
      </c>
      <c r="G186" t="str">
        <f>VLOOKUP(VLOOKUP(order_details[[#This Row],[ProductID]], products[], 4, FALSE), categories[], 2, FALSE)</f>
        <v>Beverages</v>
      </c>
      <c r="H186">
        <f>VLOOKUP(order_details[[#This Row],[ProductID]], products[], 4, FALSE)</f>
        <v>1</v>
      </c>
      <c r="I186" t="str">
        <f>VLOOKUP(order_details[[#This Row],[OrderID]], orders[[OrderID]:[ShipCountry]], 14, FALSE)</f>
        <v>USA</v>
      </c>
      <c r="J186" s="1">
        <f>_xlfn.XLOOKUP(order_details[[#This Row],[OrderID]], orders[OrderID], orders[Month])</f>
        <v>10</v>
      </c>
    </row>
    <row r="187" spans="1:10" x14ac:dyDescent="0.35">
      <c r="A187">
        <v>10318</v>
      </c>
      <c r="B187">
        <v>41</v>
      </c>
      <c r="C187">
        <v>7.7</v>
      </c>
      <c r="D187">
        <v>20</v>
      </c>
      <c r="E187">
        <v>0</v>
      </c>
      <c r="F187">
        <v>154</v>
      </c>
      <c r="G187" t="str">
        <f>VLOOKUP(VLOOKUP(order_details[[#This Row],[ProductID]], products[], 4, FALSE), categories[], 2, FALSE)</f>
        <v>Seafood</v>
      </c>
      <c r="H187">
        <f>VLOOKUP(order_details[[#This Row],[ProductID]], products[], 4, FALSE)</f>
        <v>8</v>
      </c>
      <c r="I187" t="str">
        <f>VLOOKUP(order_details[[#This Row],[OrderID]], orders[[OrderID]:[ShipCountry]], 14, FALSE)</f>
        <v>UK</v>
      </c>
      <c r="J187" s="1">
        <f>_xlfn.XLOOKUP(order_details[[#This Row],[OrderID]], orders[OrderID], orders[Month])</f>
        <v>11</v>
      </c>
    </row>
    <row r="188" spans="1:10" x14ac:dyDescent="0.35">
      <c r="A188">
        <v>10318</v>
      </c>
      <c r="B188">
        <v>76</v>
      </c>
      <c r="C188">
        <v>14.4</v>
      </c>
      <c r="D188">
        <v>6</v>
      </c>
      <c r="E188">
        <v>0</v>
      </c>
      <c r="F188">
        <v>86.4</v>
      </c>
      <c r="G188" t="str">
        <f>VLOOKUP(VLOOKUP(order_details[[#This Row],[ProductID]], products[], 4, FALSE), categories[], 2, FALSE)</f>
        <v>Beverages</v>
      </c>
      <c r="H188">
        <f>VLOOKUP(order_details[[#This Row],[ProductID]], products[], 4, FALSE)</f>
        <v>1</v>
      </c>
      <c r="I188" t="str">
        <f>VLOOKUP(order_details[[#This Row],[OrderID]], orders[[OrderID]:[ShipCountry]], 14, FALSE)</f>
        <v>UK</v>
      </c>
      <c r="J188" s="1">
        <f>_xlfn.XLOOKUP(order_details[[#This Row],[OrderID]], orders[OrderID], orders[Month])</f>
        <v>11</v>
      </c>
    </row>
    <row r="189" spans="1:10" x14ac:dyDescent="0.35">
      <c r="A189">
        <v>10319</v>
      </c>
      <c r="B189">
        <v>17</v>
      </c>
      <c r="C189">
        <v>31.2</v>
      </c>
      <c r="D189">
        <v>8</v>
      </c>
      <c r="E189">
        <v>0</v>
      </c>
      <c r="F189">
        <v>249.6</v>
      </c>
      <c r="G189" t="str">
        <f>VLOOKUP(VLOOKUP(order_details[[#This Row],[ProductID]], products[], 4, FALSE), categories[], 2, FALSE)</f>
        <v>Meat/Poultry</v>
      </c>
      <c r="H189">
        <f>VLOOKUP(order_details[[#This Row],[ProductID]], products[], 4, FALSE)</f>
        <v>6</v>
      </c>
      <c r="I189" t="str">
        <f>VLOOKUP(order_details[[#This Row],[OrderID]], orders[[OrderID]:[ShipCountry]], 14, FALSE)</f>
        <v>Mexico</v>
      </c>
      <c r="J189" s="1">
        <f>_xlfn.XLOOKUP(order_details[[#This Row],[OrderID]], orders[OrderID], orders[Month])</f>
        <v>11</v>
      </c>
    </row>
    <row r="190" spans="1:10" x14ac:dyDescent="0.35">
      <c r="A190">
        <v>10319</v>
      </c>
      <c r="B190">
        <v>28</v>
      </c>
      <c r="C190">
        <v>36.4</v>
      </c>
      <c r="D190">
        <v>14</v>
      </c>
      <c r="E190">
        <v>0</v>
      </c>
      <c r="F190">
        <v>509.59999999999997</v>
      </c>
      <c r="G190" t="str">
        <f>VLOOKUP(VLOOKUP(order_details[[#This Row],[ProductID]], products[], 4, FALSE), categories[], 2, FALSE)</f>
        <v>Produce</v>
      </c>
      <c r="H190">
        <f>VLOOKUP(order_details[[#This Row],[ProductID]], products[], 4, FALSE)</f>
        <v>7</v>
      </c>
      <c r="I190" t="str">
        <f>VLOOKUP(order_details[[#This Row],[OrderID]], orders[[OrderID]:[ShipCountry]], 14, FALSE)</f>
        <v>Mexico</v>
      </c>
      <c r="J190" s="1">
        <f>_xlfn.XLOOKUP(order_details[[#This Row],[OrderID]], orders[OrderID], orders[Month])</f>
        <v>11</v>
      </c>
    </row>
    <row r="191" spans="1:10" x14ac:dyDescent="0.35">
      <c r="A191">
        <v>10319</v>
      </c>
      <c r="B191">
        <v>76</v>
      </c>
      <c r="C191">
        <v>14.4</v>
      </c>
      <c r="D191">
        <v>30</v>
      </c>
      <c r="E191">
        <v>0</v>
      </c>
      <c r="F191">
        <v>432</v>
      </c>
      <c r="G191" t="str">
        <f>VLOOKUP(VLOOKUP(order_details[[#This Row],[ProductID]], products[], 4, FALSE), categories[], 2, FALSE)</f>
        <v>Beverages</v>
      </c>
      <c r="H191">
        <f>VLOOKUP(order_details[[#This Row],[ProductID]], products[], 4, FALSE)</f>
        <v>1</v>
      </c>
      <c r="I191" t="str">
        <f>VLOOKUP(order_details[[#This Row],[OrderID]], orders[[OrderID]:[ShipCountry]], 14, FALSE)</f>
        <v>Mexico</v>
      </c>
      <c r="J191" s="1">
        <f>_xlfn.XLOOKUP(order_details[[#This Row],[OrderID]], orders[OrderID], orders[Month])</f>
        <v>11</v>
      </c>
    </row>
    <row r="192" spans="1:10" x14ac:dyDescent="0.35">
      <c r="A192">
        <v>10320</v>
      </c>
      <c r="B192">
        <v>71</v>
      </c>
      <c r="C192">
        <v>17.2</v>
      </c>
      <c r="D192">
        <v>30</v>
      </c>
      <c r="E192">
        <v>0</v>
      </c>
      <c r="F192">
        <v>516</v>
      </c>
      <c r="G192" t="str">
        <f>VLOOKUP(VLOOKUP(order_details[[#This Row],[ProductID]], products[], 4, FALSE), categories[], 2, FALSE)</f>
        <v>Dairy Products</v>
      </c>
      <c r="H192">
        <f>VLOOKUP(order_details[[#This Row],[ProductID]], products[], 4, FALSE)</f>
        <v>4</v>
      </c>
      <c r="I192" t="str">
        <f>VLOOKUP(order_details[[#This Row],[OrderID]], orders[[OrderID]:[ShipCountry]], 14, FALSE)</f>
        <v>Finland</v>
      </c>
      <c r="J192" s="1">
        <f>_xlfn.XLOOKUP(order_details[[#This Row],[OrderID]], orders[OrderID], orders[Month])</f>
        <v>11</v>
      </c>
    </row>
    <row r="193" spans="1:10" x14ac:dyDescent="0.35">
      <c r="A193">
        <v>10321</v>
      </c>
      <c r="B193">
        <v>35</v>
      </c>
      <c r="C193">
        <v>14.4</v>
      </c>
      <c r="D193">
        <v>10</v>
      </c>
      <c r="E193">
        <v>0</v>
      </c>
      <c r="F193">
        <v>144</v>
      </c>
      <c r="G193" t="str">
        <f>VLOOKUP(VLOOKUP(order_details[[#This Row],[ProductID]], products[], 4, FALSE), categories[], 2, FALSE)</f>
        <v>Beverages</v>
      </c>
      <c r="H193">
        <f>VLOOKUP(order_details[[#This Row],[ProductID]], products[], 4, FALSE)</f>
        <v>1</v>
      </c>
      <c r="I193" t="str">
        <f>VLOOKUP(order_details[[#This Row],[OrderID]], orders[[OrderID]:[ShipCountry]], 14, FALSE)</f>
        <v>UK</v>
      </c>
      <c r="J193" s="1">
        <f>_xlfn.XLOOKUP(order_details[[#This Row],[OrderID]], orders[OrderID], orders[Month])</f>
        <v>11</v>
      </c>
    </row>
    <row r="194" spans="1:10" x14ac:dyDescent="0.35">
      <c r="A194">
        <v>10322</v>
      </c>
      <c r="B194">
        <v>52</v>
      </c>
      <c r="C194">
        <v>5.6</v>
      </c>
      <c r="D194">
        <v>20</v>
      </c>
      <c r="E194">
        <v>0</v>
      </c>
      <c r="F194">
        <v>112</v>
      </c>
      <c r="G194" t="str">
        <f>VLOOKUP(VLOOKUP(order_details[[#This Row],[ProductID]], products[], 4, FALSE), categories[], 2, FALSE)</f>
        <v>Grains/Cereals</v>
      </c>
      <c r="H194">
        <f>VLOOKUP(order_details[[#This Row],[ProductID]], products[], 4, FALSE)</f>
        <v>5</v>
      </c>
      <c r="I194" t="str">
        <f>VLOOKUP(order_details[[#This Row],[OrderID]], orders[[OrderID]:[ShipCountry]], 14, FALSE)</f>
        <v>Mexico</v>
      </c>
      <c r="J194" s="1">
        <f>_xlfn.XLOOKUP(order_details[[#This Row],[OrderID]], orders[OrderID], orders[Month])</f>
        <v>11</v>
      </c>
    </row>
    <row r="195" spans="1:10" x14ac:dyDescent="0.35">
      <c r="A195">
        <v>10323</v>
      </c>
      <c r="B195">
        <v>15</v>
      </c>
      <c r="C195">
        <v>12.4</v>
      </c>
      <c r="D195">
        <v>5</v>
      </c>
      <c r="E195">
        <v>0</v>
      </c>
      <c r="F195">
        <v>62</v>
      </c>
      <c r="G195" t="str">
        <f>VLOOKUP(VLOOKUP(order_details[[#This Row],[ProductID]], products[], 4, FALSE), categories[], 2, FALSE)</f>
        <v>Condiments</v>
      </c>
      <c r="H195">
        <f>VLOOKUP(order_details[[#This Row],[ProductID]], products[], 4, FALSE)</f>
        <v>2</v>
      </c>
      <c r="I195" t="str">
        <f>VLOOKUP(order_details[[#This Row],[OrderID]], orders[[OrderID]:[ShipCountry]], 14, FALSE)</f>
        <v>Germany</v>
      </c>
      <c r="J195" s="1">
        <f>_xlfn.XLOOKUP(order_details[[#This Row],[OrderID]], orders[OrderID], orders[Month])</f>
        <v>11</v>
      </c>
    </row>
    <row r="196" spans="1:10" x14ac:dyDescent="0.35">
      <c r="A196">
        <v>10323</v>
      </c>
      <c r="B196">
        <v>25</v>
      </c>
      <c r="C196">
        <v>11.2</v>
      </c>
      <c r="D196">
        <v>4</v>
      </c>
      <c r="E196">
        <v>0</v>
      </c>
      <c r="F196">
        <v>44.8</v>
      </c>
      <c r="G196" t="str">
        <f>VLOOKUP(VLOOKUP(order_details[[#This Row],[ProductID]], products[], 4, FALSE), categories[], 2, FALSE)</f>
        <v>Confections</v>
      </c>
      <c r="H196">
        <f>VLOOKUP(order_details[[#This Row],[ProductID]], products[], 4, FALSE)</f>
        <v>3</v>
      </c>
      <c r="I196" t="str">
        <f>VLOOKUP(order_details[[#This Row],[OrderID]], orders[[OrderID]:[ShipCountry]], 14, FALSE)</f>
        <v>Germany</v>
      </c>
      <c r="J196" s="1">
        <f>_xlfn.XLOOKUP(order_details[[#This Row],[OrderID]], orders[OrderID], orders[Month])</f>
        <v>11</v>
      </c>
    </row>
    <row r="197" spans="1:10" x14ac:dyDescent="0.35">
      <c r="A197">
        <v>10323</v>
      </c>
      <c r="B197">
        <v>39</v>
      </c>
      <c r="C197">
        <v>14.4</v>
      </c>
      <c r="D197">
        <v>4</v>
      </c>
      <c r="E197">
        <v>0</v>
      </c>
      <c r="F197">
        <v>57.6</v>
      </c>
      <c r="G197" t="str">
        <f>VLOOKUP(VLOOKUP(order_details[[#This Row],[ProductID]], products[], 4, FALSE), categories[], 2, FALSE)</f>
        <v>Beverages</v>
      </c>
      <c r="H197">
        <f>VLOOKUP(order_details[[#This Row],[ProductID]], products[], 4, FALSE)</f>
        <v>1</v>
      </c>
      <c r="I197" t="str">
        <f>VLOOKUP(order_details[[#This Row],[OrderID]], orders[[OrderID]:[ShipCountry]], 14, FALSE)</f>
        <v>Germany</v>
      </c>
      <c r="J197" s="1">
        <f>_xlfn.XLOOKUP(order_details[[#This Row],[OrderID]], orders[OrderID], orders[Month])</f>
        <v>11</v>
      </c>
    </row>
    <row r="198" spans="1:10" x14ac:dyDescent="0.35">
      <c r="A198">
        <v>10324</v>
      </c>
      <c r="B198">
        <v>16</v>
      </c>
      <c r="C198">
        <v>13.9</v>
      </c>
      <c r="D198">
        <v>21</v>
      </c>
      <c r="E198">
        <v>0.15</v>
      </c>
      <c r="F198">
        <v>248.11500000000001</v>
      </c>
      <c r="G198" t="str">
        <f>VLOOKUP(VLOOKUP(order_details[[#This Row],[ProductID]], products[], 4, FALSE), categories[], 2, FALSE)</f>
        <v>Confections</v>
      </c>
      <c r="H198">
        <f>VLOOKUP(order_details[[#This Row],[ProductID]], products[], 4, FALSE)</f>
        <v>3</v>
      </c>
      <c r="I198" t="str">
        <f>VLOOKUP(order_details[[#This Row],[OrderID]], orders[[OrderID]:[ShipCountry]], 14, FALSE)</f>
        <v>USA</v>
      </c>
      <c r="J198" s="1">
        <f>_xlfn.XLOOKUP(order_details[[#This Row],[OrderID]], orders[OrderID], orders[Month])</f>
        <v>11</v>
      </c>
    </row>
    <row r="199" spans="1:10" x14ac:dyDescent="0.35">
      <c r="A199">
        <v>10324</v>
      </c>
      <c r="B199">
        <v>35</v>
      </c>
      <c r="C199">
        <v>14.4</v>
      </c>
      <c r="D199">
        <v>70</v>
      </c>
      <c r="E199">
        <v>0.15</v>
      </c>
      <c r="F199">
        <v>856.8</v>
      </c>
      <c r="G199" t="str">
        <f>VLOOKUP(VLOOKUP(order_details[[#This Row],[ProductID]], products[], 4, FALSE), categories[], 2, FALSE)</f>
        <v>Beverages</v>
      </c>
      <c r="H199">
        <f>VLOOKUP(order_details[[#This Row],[ProductID]], products[], 4, FALSE)</f>
        <v>1</v>
      </c>
      <c r="I199" t="str">
        <f>VLOOKUP(order_details[[#This Row],[OrderID]], orders[[OrderID]:[ShipCountry]], 14, FALSE)</f>
        <v>USA</v>
      </c>
      <c r="J199" s="1">
        <f>_xlfn.XLOOKUP(order_details[[#This Row],[OrderID]], orders[OrderID], orders[Month])</f>
        <v>11</v>
      </c>
    </row>
    <row r="200" spans="1:10" x14ac:dyDescent="0.35">
      <c r="A200">
        <v>10324</v>
      </c>
      <c r="B200">
        <v>46</v>
      </c>
      <c r="C200">
        <v>9.6</v>
      </c>
      <c r="D200">
        <v>30</v>
      </c>
      <c r="E200">
        <v>0</v>
      </c>
      <c r="F200">
        <v>288</v>
      </c>
      <c r="G200" t="str">
        <f>VLOOKUP(VLOOKUP(order_details[[#This Row],[ProductID]], products[], 4, FALSE), categories[], 2, FALSE)</f>
        <v>Seafood</v>
      </c>
      <c r="H200">
        <f>VLOOKUP(order_details[[#This Row],[ProductID]], products[], 4, FALSE)</f>
        <v>8</v>
      </c>
      <c r="I200" t="str">
        <f>VLOOKUP(order_details[[#This Row],[OrderID]], orders[[OrderID]:[ShipCountry]], 14, FALSE)</f>
        <v>USA</v>
      </c>
      <c r="J200" s="1">
        <f>_xlfn.XLOOKUP(order_details[[#This Row],[OrderID]], orders[OrderID], orders[Month])</f>
        <v>11</v>
      </c>
    </row>
    <row r="201" spans="1:10" x14ac:dyDescent="0.35">
      <c r="A201">
        <v>10324</v>
      </c>
      <c r="B201">
        <v>59</v>
      </c>
      <c r="C201">
        <v>44</v>
      </c>
      <c r="D201">
        <v>40</v>
      </c>
      <c r="E201">
        <v>0.15</v>
      </c>
      <c r="F201">
        <v>1496</v>
      </c>
      <c r="G201" t="str">
        <f>VLOOKUP(VLOOKUP(order_details[[#This Row],[ProductID]], products[], 4, FALSE), categories[], 2, FALSE)</f>
        <v>Dairy Products</v>
      </c>
      <c r="H201">
        <f>VLOOKUP(order_details[[#This Row],[ProductID]], products[], 4, FALSE)</f>
        <v>4</v>
      </c>
      <c r="I201" t="str">
        <f>VLOOKUP(order_details[[#This Row],[OrderID]], orders[[OrderID]:[ShipCountry]], 14, FALSE)</f>
        <v>USA</v>
      </c>
      <c r="J201" s="1">
        <f>_xlfn.XLOOKUP(order_details[[#This Row],[OrderID]], orders[OrderID], orders[Month])</f>
        <v>11</v>
      </c>
    </row>
    <row r="202" spans="1:10" x14ac:dyDescent="0.35">
      <c r="A202">
        <v>10324</v>
      </c>
      <c r="B202">
        <v>63</v>
      </c>
      <c r="C202">
        <v>35.1</v>
      </c>
      <c r="D202">
        <v>80</v>
      </c>
      <c r="E202">
        <v>0.15</v>
      </c>
      <c r="F202">
        <v>2386.7999999999997</v>
      </c>
      <c r="G202" t="str">
        <f>VLOOKUP(VLOOKUP(order_details[[#This Row],[ProductID]], products[], 4, FALSE), categories[], 2, FALSE)</f>
        <v>Condiments</v>
      </c>
      <c r="H202">
        <f>VLOOKUP(order_details[[#This Row],[ProductID]], products[], 4, FALSE)</f>
        <v>2</v>
      </c>
      <c r="I202" t="str">
        <f>VLOOKUP(order_details[[#This Row],[OrderID]], orders[[OrderID]:[ShipCountry]], 14, FALSE)</f>
        <v>USA</v>
      </c>
      <c r="J202" s="1">
        <f>_xlfn.XLOOKUP(order_details[[#This Row],[OrderID]], orders[OrderID], orders[Month])</f>
        <v>11</v>
      </c>
    </row>
    <row r="203" spans="1:10" x14ac:dyDescent="0.35">
      <c r="A203">
        <v>10325</v>
      </c>
      <c r="B203">
        <v>6</v>
      </c>
      <c r="C203">
        <v>20</v>
      </c>
      <c r="D203">
        <v>6</v>
      </c>
      <c r="E203">
        <v>0</v>
      </c>
      <c r="F203">
        <v>120</v>
      </c>
      <c r="G203" t="str">
        <f>VLOOKUP(VLOOKUP(order_details[[#This Row],[ProductID]], products[], 4, FALSE), categories[], 2, FALSE)</f>
        <v>Condiments</v>
      </c>
      <c r="H203">
        <f>VLOOKUP(order_details[[#This Row],[ProductID]], products[], 4, FALSE)</f>
        <v>2</v>
      </c>
      <c r="I203" t="str">
        <f>VLOOKUP(order_details[[#This Row],[OrderID]], orders[[OrderID]:[ShipCountry]], 14, FALSE)</f>
        <v>Germany</v>
      </c>
      <c r="J203" s="1">
        <f>_xlfn.XLOOKUP(order_details[[#This Row],[OrderID]], orders[OrderID], orders[Month])</f>
        <v>11</v>
      </c>
    </row>
    <row r="204" spans="1:10" x14ac:dyDescent="0.35">
      <c r="A204">
        <v>10325</v>
      </c>
      <c r="B204">
        <v>13</v>
      </c>
      <c r="C204">
        <v>4.8</v>
      </c>
      <c r="D204">
        <v>12</v>
      </c>
      <c r="E204">
        <v>0</v>
      </c>
      <c r="F204">
        <v>57.599999999999994</v>
      </c>
      <c r="G204" t="str">
        <f>VLOOKUP(VLOOKUP(order_details[[#This Row],[ProductID]], products[], 4, FALSE), categories[], 2, FALSE)</f>
        <v>Seafood</v>
      </c>
      <c r="H204">
        <f>VLOOKUP(order_details[[#This Row],[ProductID]], products[], 4, FALSE)</f>
        <v>8</v>
      </c>
      <c r="I204" t="str">
        <f>VLOOKUP(order_details[[#This Row],[OrderID]], orders[[OrderID]:[ShipCountry]], 14, FALSE)</f>
        <v>Germany</v>
      </c>
      <c r="J204" s="1">
        <f>_xlfn.XLOOKUP(order_details[[#This Row],[OrderID]], orders[OrderID], orders[Month])</f>
        <v>11</v>
      </c>
    </row>
    <row r="205" spans="1:10" x14ac:dyDescent="0.35">
      <c r="A205">
        <v>10325</v>
      </c>
      <c r="B205">
        <v>14</v>
      </c>
      <c r="C205">
        <v>18.600000000000001</v>
      </c>
      <c r="D205">
        <v>9</v>
      </c>
      <c r="E205">
        <v>0</v>
      </c>
      <c r="F205">
        <v>167.4</v>
      </c>
      <c r="G205" t="str">
        <f>VLOOKUP(VLOOKUP(order_details[[#This Row],[ProductID]], products[], 4, FALSE), categories[], 2, FALSE)</f>
        <v>Produce</v>
      </c>
      <c r="H205">
        <f>VLOOKUP(order_details[[#This Row],[ProductID]], products[], 4, FALSE)</f>
        <v>7</v>
      </c>
      <c r="I205" t="str">
        <f>VLOOKUP(order_details[[#This Row],[OrderID]], orders[[OrderID]:[ShipCountry]], 14, FALSE)</f>
        <v>Germany</v>
      </c>
      <c r="J205" s="1">
        <f>_xlfn.XLOOKUP(order_details[[#This Row],[OrderID]], orders[OrderID], orders[Month])</f>
        <v>11</v>
      </c>
    </row>
    <row r="206" spans="1:10" x14ac:dyDescent="0.35">
      <c r="A206">
        <v>10325</v>
      </c>
      <c r="B206">
        <v>31</v>
      </c>
      <c r="C206">
        <v>10</v>
      </c>
      <c r="D206">
        <v>4</v>
      </c>
      <c r="E206">
        <v>0</v>
      </c>
      <c r="F206">
        <v>40</v>
      </c>
      <c r="G206" t="str">
        <f>VLOOKUP(VLOOKUP(order_details[[#This Row],[ProductID]], products[], 4, FALSE), categories[], 2, FALSE)</f>
        <v>Dairy Products</v>
      </c>
      <c r="H206">
        <f>VLOOKUP(order_details[[#This Row],[ProductID]], products[], 4, FALSE)</f>
        <v>4</v>
      </c>
      <c r="I206" t="str">
        <f>VLOOKUP(order_details[[#This Row],[OrderID]], orders[[OrderID]:[ShipCountry]], 14, FALSE)</f>
        <v>Germany</v>
      </c>
      <c r="J206" s="1">
        <f>_xlfn.XLOOKUP(order_details[[#This Row],[OrderID]], orders[OrderID], orders[Month])</f>
        <v>11</v>
      </c>
    </row>
    <row r="207" spans="1:10" x14ac:dyDescent="0.35">
      <c r="A207">
        <v>10325</v>
      </c>
      <c r="B207">
        <v>72</v>
      </c>
      <c r="C207">
        <v>27.8</v>
      </c>
      <c r="D207">
        <v>40</v>
      </c>
      <c r="E207">
        <v>0</v>
      </c>
      <c r="F207">
        <v>1112</v>
      </c>
      <c r="G207" t="str">
        <f>VLOOKUP(VLOOKUP(order_details[[#This Row],[ProductID]], products[], 4, FALSE), categories[], 2, FALSE)</f>
        <v>Dairy Products</v>
      </c>
      <c r="H207">
        <f>VLOOKUP(order_details[[#This Row],[ProductID]], products[], 4, FALSE)</f>
        <v>4</v>
      </c>
      <c r="I207" t="str">
        <f>VLOOKUP(order_details[[#This Row],[OrderID]], orders[[OrderID]:[ShipCountry]], 14, FALSE)</f>
        <v>Germany</v>
      </c>
      <c r="J207" s="1">
        <f>_xlfn.XLOOKUP(order_details[[#This Row],[OrderID]], orders[OrderID], orders[Month])</f>
        <v>11</v>
      </c>
    </row>
    <row r="208" spans="1:10" x14ac:dyDescent="0.35">
      <c r="A208">
        <v>10326</v>
      </c>
      <c r="B208">
        <v>4</v>
      </c>
      <c r="C208">
        <v>17.600000000000001</v>
      </c>
      <c r="D208">
        <v>24</v>
      </c>
      <c r="E208">
        <v>0</v>
      </c>
      <c r="F208">
        <v>422.40000000000003</v>
      </c>
      <c r="G208" t="str">
        <f>VLOOKUP(VLOOKUP(order_details[[#This Row],[ProductID]], products[], 4, FALSE), categories[], 2, FALSE)</f>
        <v>Condiments</v>
      </c>
      <c r="H208">
        <f>VLOOKUP(order_details[[#This Row],[ProductID]], products[], 4, FALSE)</f>
        <v>2</v>
      </c>
      <c r="I208" t="str">
        <f>VLOOKUP(order_details[[#This Row],[OrderID]], orders[[OrderID]:[ShipCountry]], 14, FALSE)</f>
        <v>Spain</v>
      </c>
      <c r="J208" s="1">
        <f>_xlfn.XLOOKUP(order_details[[#This Row],[OrderID]], orders[OrderID], orders[Month])</f>
        <v>11</v>
      </c>
    </row>
    <row r="209" spans="1:10" x14ac:dyDescent="0.35">
      <c r="A209">
        <v>10326</v>
      </c>
      <c r="B209">
        <v>57</v>
      </c>
      <c r="C209">
        <v>15.6</v>
      </c>
      <c r="D209">
        <v>16</v>
      </c>
      <c r="E209">
        <v>0</v>
      </c>
      <c r="F209">
        <v>249.6</v>
      </c>
      <c r="G209" t="str">
        <f>VLOOKUP(VLOOKUP(order_details[[#This Row],[ProductID]], products[], 4, FALSE), categories[], 2, FALSE)</f>
        <v>Grains/Cereals</v>
      </c>
      <c r="H209">
        <f>VLOOKUP(order_details[[#This Row],[ProductID]], products[], 4, FALSE)</f>
        <v>5</v>
      </c>
      <c r="I209" t="str">
        <f>VLOOKUP(order_details[[#This Row],[OrderID]], orders[[OrderID]:[ShipCountry]], 14, FALSE)</f>
        <v>Spain</v>
      </c>
      <c r="J209" s="1">
        <f>_xlfn.XLOOKUP(order_details[[#This Row],[OrderID]], orders[OrderID], orders[Month])</f>
        <v>11</v>
      </c>
    </row>
    <row r="210" spans="1:10" x14ac:dyDescent="0.35">
      <c r="A210">
        <v>10326</v>
      </c>
      <c r="B210">
        <v>75</v>
      </c>
      <c r="C210">
        <v>6.2</v>
      </c>
      <c r="D210">
        <v>50</v>
      </c>
      <c r="E210">
        <v>0</v>
      </c>
      <c r="F210">
        <v>310</v>
      </c>
      <c r="G210" t="str">
        <f>VLOOKUP(VLOOKUP(order_details[[#This Row],[ProductID]], products[], 4, FALSE), categories[], 2, FALSE)</f>
        <v>Beverages</v>
      </c>
      <c r="H210">
        <f>VLOOKUP(order_details[[#This Row],[ProductID]], products[], 4, FALSE)</f>
        <v>1</v>
      </c>
      <c r="I210" t="str">
        <f>VLOOKUP(order_details[[#This Row],[OrderID]], orders[[OrderID]:[ShipCountry]], 14, FALSE)</f>
        <v>Spain</v>
      </c>
      <c r="J210" s="1">
        <f>_xlfn.XLOOKUP(order_details[[#This Row],[OrderID]], orders[OrderID], orders[Month])</f>
        <v>11</v>
      </c>
    </row>
    <row r="211" spans="1:10" x14ac:dyDescent="0.35">
      <c r="A211">
        <v>10327</v>
      </c>
      <c r="B211">
        <v>2</v>
      </c>
      <c r="C211">
        <v>15.2</v>
      </c>
      <c r="D211">
        <v>25</v>
      </c>
      <c r="E211">
        <v>0.2</v>
      </c>
      <c r="F211">
        <v>304</v>
      </c>
      <c r="G211" t="str">
        <f>VLOOKUP(VLOOKUP(order_details[[#This Row],[ProductID]], products[], 4, FALSE), categories[], 2, FALSE)</f>
        <v>Beverages</v>
      </c>
      <c r="H211">
        <f>VLOOKUP(order_details[[#This Row],[ProductID]], products[], 4, FALSE)</f>
        <v>1</v>
      </c>
      <c r="I211" t="str">
        <f>VLOOKUP(order_details[[#This Row],[OrderID]], orders[[OrderID]:[ShipCountry]], 14, FALSE)</f>
        <v>Sweden</v>
      </c>
      <c r="J211" s="1">
        <f>_xlfn.XLOOKUP(order_details[[#This Row],[OrderID]], orders[OrderID], orders[Month])</f>
        <v>11</v>
      </c>
    </row>
    <row r="212" spans="1:10" x14ac:dyDescent="0.35">
      <c r="A212">
        <v>10327</v>
      </c>
      <c r="B212">
        <v>11</v>
      </c>
      <c r="C212">
        <v>16.8</v>
      </c>
      <c r="D212">
        <v>50</v>
      </c>
      <c r="E212">
        <v>0.2</v>
      </c>
      <c r="F212">
        <v>672</v>
      </c>
      <c r="G212" t="str">
        <f>VLOOKUP(VLOOKUP(order_details[[#This Row],[ProductID]], products[], 4, FALSE), categories[], 2, FALSE)</f>
        <v>Dairy Products</v>
      </c>
      <c r="H212">
        <f>VLOOKUP(order_details[[#This Row],[ProductID]], products[], 4, FALSE)</f>
        <v>4</v>
      </c>
      <c r="I212" t="str">
        <f>VLOOKUP(order_details[[#This Row],[OrderID]], orders[[OrderID]:[ShipCountry]], 14, FALSE)</f>
        <v>Sweden</v>
      </c>
      <c r="J212" s="1">
        <f>_xlfn.XLOOKUP(order_details[[#This Row],[OrderID]], orders[OrderID], orders[Month])</f>
        <v>11</v>
      </c>
    </row>
    <row r="213" spans="1:10" x14ac:dyDescent="0.35">
      <c r="A213">
        <v>10327</v>
      </c>
      <c r="B213">
        <v>30</v>
      </c>
      <c r="C213">
        <v>20.7</v>
      </c>
      <c r="D213">
        <v>35</v>
      </c>
      <c r="E213">
        <v>0.2</v>
      </c>
      <c r="F213">
        <v>579.6</v>
      </c>
      <c r="G213" t="str">
        <f>VLOOKUP(VLOOKUP(order_details[[#This Row],[ProductID]], products[], 4, FALSE), categories[], 2, FALSE)</f>
        <v>Seafood</v>
      </c>
      <c r="H213">
        <f>VLOOKUP(order_details[[#This Row],[ProductID]], products[], 4, FALSE)</f>
        <v>8</v>
      </c>
      <c r="I213" t="str">
        <f>VLOOKUP(order_details[[#This Row],[OrderID]], orders[[OrderID]:[ShipCountry]], 14, FALSE)</f>
        <v>Sweden</v>
      </c>
      <c r="J213" s="1">
        <f>_xlfn.XLOOKUP(order_details[[#This Row],[OrderID]], orders[OrderID], orders[Month])</f>
        <v>11</v>
      </c>
    </row>
    <row r="214" spans="1:10" x14ac:dyDescent="0.35">
      <c r="A214">
        <v>10327</v>
      </c>
      <c r="B214">
        <v>58</v>
      </c>
      <c r="C214">
        <v>10.6</v>
      </c>
      <c r="D214">
        <v>30</v>
      </c>
      <c r="E214">
        <v>0.2</v>
      </c>
      <c r="F214">
        <v>254.4</v>
      </c>
      <c r="G214" t="str">
        <f>VLOOKUP(VLOOKUP(order_details[[#This Row],[ProductID]], products[], 4, FALSE), categories[], 2, FALSE)</f>
        <v>Seafood</v>
      </c>
      <c r="H214">
        <f>VLOOKUP(order_details[[#This Row],[ProductID]], products[], 4, FALSE)</f>
        <v>8</v>
      </c>
      <c r="I214" t="str">
        <f>VLOOKUP(order_details[[#This Row],[OrderID]], orders[[OrderID]:[ShipCountry]], 14, FALSE)</f>
        <v>Sweden</v>
      </c>
      <c r="J214" s="1">
        <f>_xlfn.XLOOKUP(order_details[[#This Row],[OrderID]], orders[OrderID], orders[Month])</f>
        <v>11</v>
      </c>
    </row>
    <row r="215" spans="1:10" x14ac:dyDescent="0.35">
      <c r="A215">
        <v>10328</v>
      </c>
      <c r="B215">
        <v>59</v>
      </c>
      <c r="C215">
        <v>44</v>
      </c>
      <c r="D215">
        <v>9</v>
      </c>
      <c r="E215">
        <v>0</v>
      </c>
      <c r="F215">
        <v>396</v>
      </c>
      <c r="G215" t="str">
        <f>VLOOKUP(VLOOKUP(order_details[[#This Row],[ProductID]], products[], 4, FALSE), categories[], 2, FALSE)</f>
        <v>Dairy Products</v>
      </c>
      <c r="H215">
        <f>VLOOKUP(order_details[[#This Row],[ProductID]], products[], 4, FALSE)</f>
        <v>4</v>
      </c>
      <c r="I215" t="str">
        <f>VLOOKUP(order_details[[#This Row],[OrderID]], orders[[OrderID]:[ShipCountry]], 14, FALSE)</f>
        <v>Portugal</v>
      </c>
      <c r="J215" s="1">
        <f>_xlfn.XLOOKUP(order_details[[#This Row],[OrderID]], orders[OrderID], orders[Month])</f>
        <v>11</v>
      </c>
    </row>
    <row r="216" spans="1:10" x14ac:dyDescent="0.35">
      <c r="A216">
        <v>10328</v>
      </c>
      <c r="B216">
        <v>65</v>
      </c>
      <c r="C216">
        <v>16.8</v>
      </c>
      <c r="D216">
        <v>40</v>
      </c>
      <c r="E216">
        <v>0</v>
      </c>
      <c r="F216">
        <v>672</v>
      </c>
      <c r="G216" t="str">
        <f>VLOOKUP(VLOOKUP(order_details[[#This Row],[ProductID]], products[], 4, FALSE), categories[], 2, FALSE)</f>
        <v>Condiments</v>
      </c>
      <c r="H216">
        <f>VLOOKUP(order_details[[#This Row],[ProductID]], products[], 4, FALSE)</f>
        <v>2</v>
      </c>
      <c r="I216" t="str">
        <f>VLOOKUP(order_details[[#This Row],[OrderID]], orders[[OrderID]:[ShipCountry]], 14, FALSE)</f>
        <v>Portugal</v>
      </c>
      <c r="J216" s="1">
        <f>_xlfn.XLOOKUP(order_details[[#This Row],[OrderID]], orders[OrderID], orders[Month])</f>
        <v>11</v>
      </c>
    </row>
    <row r="217" spans="1:10" x14ac:dyDescent="0.35">
      <c r="A217">
        <v>10328</v>
      </c>
      <c r="B217">
        <v>68</v>
      </c>
      <c r="C217">
        <v>10</v>
      </c>
      <c r="D217">
        <v>10</v>
      </c>
      <c r="E217">
        <v>0</v>
      </c>
      <c r="F217">
        <v>100</v>
      </c>
      <c r="G217" t="str">
        <f>VLOOKUP(VLOOKUP(order_details[[#This Row],[ProductID]], products[], 4, FALSE), categories[], 2, FALSE)</f>
        <v>Confections</v>
      </c>
      <c r="H217">
        <f>VLOOKUP(order_details[[#This Row],[ProductID]], products[], 4, FALSE)</f>
        <v>3</v>
      </c>
      <c r="I217" t="str">
        <f>VLOOKUP(order_details[[#This Row],[OrderID]], orders[[OrderID]:[ShipCountry]], 14, FALSE)</f>
        <v>Portugal</v>
      </c>
      <c r="J217" s="1">
        <f>_xlfn.XLOOKUP(order_details[[#This Row],[OrderID]], orders[OrderID], orders[Month])</f>
        <v>11</v>
      </c>
    </row>
    <row r="218" spans="1:10" x14ac:dyDescent="0.35">
      <c r="A218">
        <v>10329</v>
      </c>
      <c r="B218">
        <v>19</v>
      </c>
      <c r="C218">
        <v>7.3</v>
      </c>
      <c r="D218">
        <v>10</v>
      </c>
      <c r="E218">
        <v>0.05</v>
      </c>
      <c r="F218">
        <v>69.349999999999994</v>
      </c>
      <c r="G218" t="str">
        <f>VLOOKUP(VLOOKUP(order_details[[#This Row],[ProductID]], products[], 4, FALSE), categories[], 2, FALSE)</f>
        <v>Confections</v>
      </c>
      <c r="H218">
        <f>VLOOKUP(order_details[[#This Row],[ProductID]], products[], 4, FALSE)</f>
        <v>3</v>
      </c>
      <c r="I218" t="str">
        <f>VLOOKUP(order_details[[#This Row],[OrderID]], orders[[OrderID]:[ShipCountry]], 14, FALSE)</f>
        <v>USA</v>
      </c>
      <c r="J218" s="1">
        <f>_xlfn.XLOOKUP(order_details[[#This Row],[OrderID]], orders[OrderID], orders[Month])</f>
        <v>11</v>
      </c>
    </row>
    <row r="219" spans="1:10" x14ac:dyDescent="0.35">
      <c r="A219">
        <v>10329</v>
      </c>
      <c r="B219">
        <v>30</v>
      </c>
      <c r="C219">
        <v>20.7</v>
      </c>
      <c r="D219">
        <v>8</v>
      </c>
      <c r="E219">
        <v>0.05</v>
      </c>
      <c r="F219">
        <v>157.32</v>
      </c>
      <c r="G219" t="str">
        <f>VLOOKUP(VLOOKUP(order_details[[#This Row],[ProductID]], products[], 4, FALSE), categories[], 2, FALSE)</f>
        <v>Seafood</v>
      </c>
      <c r="H219">
        <f>VLOOKUP(order_details[[#This Row],[ProductID]], products[], 4, FALSE)</f>
        <v>8</v>
      </c>
      <c r="I219" t="str">
        <f>VLOOKUP(order_details[[#This Row],[OrderID]], orders[[OrderID]:[ShipCountry]], 14, FALSE)</f>
        <v>USA</v>
      </c>
      <c r="J219" s="1">
        <f>_xlfn.XLOOKUP(order_details[[#This Row],[OrderID]], orders[OrderID], orders[Month])</f>
        <v>11</v>
      </c>
    </row>
    <row r="220" spans="1:10" x14ac:dyDescent="0.35">
      <c r="A220">
        <v>10329</v>
      </c>
      <c r="B220">
        <v>38</v>
      </c>
      <c r="C220">
        <v>210.8</v>
      </c>
      <c r="D220">
        <v>20</v>
      </c>
      <c r="E220">
        <v>0.05</v>
      </c>
      <c r="F220">
        <v>4005.2</v>
      </c>
      <c r="G220" t="str">
        <f>VLOOKUP(VLOOKUP(order_details[[#This Row],[ProductID]], products[], 4, FALSE), categories[], 2, FALSE)</f>
        <v>Beverages</v>
      </c>
      <c r="H220">
        <f>VLOOKUP(order_details[[#This Row],[ProductID]], products[], 4, FALSE)</f>
        <v>1</v>
      </c>
      <c r="I220" t="str">
        <f>VLOOKUP(order_details[[#This Row],[OrderID]], orders[[OrderID]:[ShipCountry]], 14, FALSE)</f>
        <v>USA</v>
      </c>
      <c r="J220" s="1">
        <f>_xlfn.XLOOKUP(order_details[[#This Row],[OrderID]], orders[OrderID], orders[Month])</f>
        <v>11</v>
      </c>
    </row>
    <row r="221" spans="1:10" x14ac:dyDescent="0.35">
      <c r="A221">
        <v>10329</v>
      </c>
      <c r="B221">
        <v>56</v>
      </c>
      <c r="C221">
        <v>30.4</v>
      </c>
      <c r="D221">
        <v>12</v>
      </c>
      <c r="E221">
        <v>0.05</v>
      </c>
      <c r="F221">
        <v>346.55999999999995</v>
      </c>
      <c r="G221" t="str">
        <f>VLOOKUP(VLOOKUP(order_details[[#This Row],[ProductID]], products[], 4, FALSE), categories[], 2, FALSE)</f>
        <v>Grains/Cereals</v>
      </c>
      <c r="H221">
        <f>VLOOKUP(order_details[[#This Row],[ProductID]], products[], 4, FALSE)</f>
        <v>5</v>
      </c>
      <c r="I221" t="str">
        <f>VLOOKUP(order_details[[#This Row],[OrderID]], orders[[OrderID]:[ShipCountry]], 14, FALSE)</f>
        <v>USA</v>
      </c>
      <c r="J221" s="1">
        <f>_xlfn.XLOOKUP(order_details[[#This Row],[OrderID]], orders[OrderID], orders[Month])</f>
        <v>11</v>
      </c>
    </row>
    <row r="222" spans="1:10" x14ac:dyDescent="0.35">
      <c r="A222">
        <v>10330</v>
      </c>
      <c r="B222">
        <v>26</v>
      </c>
      <c r="C222">
        <v>24.9</v>
      </c>
      <c r="D222">
        <v>50</v>
      </c>
      <c r="E222">
        <v>0.15</v>
      </c>
      <c r="F222">
        <v>1058.25</v>
      </c>
      <c r="G222" t="str">
        <f>VLOOKUP(VLOOKUP(order_details[[#This Row],[ProductID]], products[], 4, FALSE), categories[], 2, FALSE)</f>
        <v>Confections</v>
      </c>
      <c r="H222">
        <f>VLOOKUP(order_details[[#This Row],[ProductID]], products[], 4, FALSE)</f>
        <v>3</v>
      </c>
      <c r="I222" t="str">
        <f>VLOOKUP(order_details[[#This Row],[OrderID]], orders[[OrderID]:[ShipCountry]], 14, FALSE)</f>
        <v>Venezuela</v>
      </c>
      <c r="J222" s="1">
        <f>_xlfn.XLOOKUP(order_details[[#This Row],[OrderID]], orders[OrderID], orders[Month])</f>
        <v>11</v>
      </c>
    </row>
    <row r="223" spans="1:10" x14ac:dyDescent="0.35">
      <c r="A223">
        <v>10330</v>
      </c>
      <c r="B223">
        <v>72</v>
      </c>
      <c r="C223">
        <v>27.8</v>
      </c>
      <c r="D223">
        <v>25</v>
      </c>
      <c r="E223">
        <v>0.15</v>
      </c>
      <c r="F223">
        <v>590.75</v>
      </c>
      <c r="G223" t="str">
        <f>VLOOKUP(VLOOKUP(order_details[[#This Row],[ProductID]], products[], 4, FALSE), categories[], 2, FALSE)</f>
        <v>Dairy Products</v>
      </c>
      <c r="H223">
        <f>VLOOKUP(order_details[[#This Row],[ProductID]], products[], 4, FALSE)</f>
        <v>4</v>
      </c>
      <c r="I223" t="str">
        <f>VLOOKUP(order_details[[#This Row],[OrderID]], orders[[OrderID]:[ShipCountry]], 14, FALSE)</f>
        <v>Venezuela</v>
      </c>
      <c r="J223" s="1">
        <f>_xlfn.XLOOKUP(order_details[[#This Row],[OrderID]], orders[OrderID], orders[Month])</f>
        <v>11</v>
      </c>
    </row>
    <row r="224" spans="1:10" x14ac:dyDescent="0.35">
      <c r="A224">
        <v>10331</v>
      </c>
      <c r="B224">
        <v>54</v>
      </c>
      <c r="C224">
        <v>5.9</v>
      </c>
      <c r="D224">
        <v>15</v>
      </c>
      <c r="E224">
        <v>0</v>
      </c>
      <c r="F224">
        <v>88.5</v>
      </c>
      <c r="G224" t="str">
        <f>VLOOKUP(VLOOKUP(order_details[[#This Row],[ProductID]], products[], 4, FALSE), categories[], 2, FALSE)</f>
        <v>Meat/Poultry</v>
      </c>
      <c r="H224">
        <f>VLOOKUP(order_details[[#This Row],[ProductID]], products[], 4, FALSE)</f>
        <v>6</v>
      </c>
      <c r="I224" t="str">
        <f>VLOOKUP(order_details[[#This Row],[OrderID]], orders[[OrderID]:[ShipCountry]], 14, FALSE)</f>
        <v>France</v>
      </c>
      <c r="J224" s="1">
        <f>_xlfn.XLOOKUP(order_details[[#This Row],[OrderID]], orders[OrderID], orders[Month])</f>
        <v>11</v>
      </c>
    </row>
    <row r="225" spans="1:10" x14ac:dyDescent="0.35">
      <c r="A225">
        <v>10332</v>
      </c>
      <c r="B225">
        <v>18</v>
      </c>
      <c r="C225">
        <v>50</v>
      </c>
      <c r="D225">
        <v>40</v>
      </c>
      <c r="E225">
        <v>0.2</v>
      </c>
      <c r="F225">
        <v>1600</v>
      </c>
      <c r="G225" t="str">
        <f>VLOOKUP(VLOOKUP(order_details[[#This Row],[ProductID]], products[], 4, FALSE), categories[], 2, FALSE)</f>
        <v>Seafood</v>
      </c>
      <c r="H225">
        <f>VLOOKUP(order_details[[#This Row],[ProductID]], products[], 4, FALSE)</f>
        <v>8</v>
      </c>
      <c r="I225" t="str">
        <f>VLOOKUP(order_details[[#This Row],[OrderID]], orders[[OrderID]:[ShipCountry]], 14, FALSE)</f>
        <v>Canada</v>
      </c>
      <c r="J225" s="1">
        <f>_xlfn.XLOOKUP(order_details[[#This Row],[OrderID]], orders[OrderID], orders[Month])</f>
        <v>11</v>
      </c>
    </row>
    <row r="226" spans="1:10" x14ac:dyDescent="0.35">
      <c r="A226">
        <v>10332</v>
      </c>
      <c r="B226">
        <v>42</v>
      </c>
      <c r="C226">
        <v>11.2</v>
      </c>
      <c r="D226">
        <v>10</v>
      </c>
      <c r="E226">
        <v>0.2</v>
      </c>
      <c r="F226">
        <v>89.600000000000009</v>
      </c>
      <c r="G226" t="str">
        <f>VLOOKUP(VLOOKUP(order_details[[#This Row],[ProductID]], products[], 4, FALSE), categories[], 2, FALSE)</f>
        <v>Grains/Cereals</v>
      </c>
      <c r="H226">
        <f>VLOOKUP(order_details[[#This Row],[ProductID]], products[], 4, FALSE)</f>
        <v>5</v>
      </c>
      <c r="I226" t="str">
        <f>VLOOKUP(order_details[[#This Row],[OrderID]], orders[[OrderID]:[ShipCountry]], 14, FALSE)</f>
        <v>Canada</v>
      </c>
      <c r="J226" s="1">
        <f>_xlfn.XLOOKUP(order_details[[#This Row],[OrderID]], orders[OrderID], orders[Month])</f>
        <v>11</v>
      </c>
    </row>
    <row r="227" spans="1:10" x14ac:dyDescent="0.35">
      <c r="A227">
        <v>10332</v>
      </c>
      <c r="B227">
        <v>47</v>
      </c>
      <c r="C227">
        <v>7.6</v>
      </c>
      <c r="D227">
        <v>16</v>
      </c>
      <c r="E227">
        <v>0.2</v>
      </c>
      <c r="F227">
        <v>97.28</v>
      </c>
      <c r="G227" t="str">
        <f>VLOOKUP(VLOOKUP(order_details[[#This Row],[ProductID]], products[], 4, FALSE), categories[], 2, FALSE)</f>
        <v>Confections</v>
      </c>
      <c r="H227">
        <f>VLOOKUP(order_details[[#This Row],[ProductID]], products[], 4, FALSE)</f>
        <v>3</v>
      </c>
      <c r="I227" t="str">
        <f>VLOOKUP(order_details[[#This Row],[OrderID]], orders[[OrderID]:[ShipCountry]], 14, FALSE)</f>
        <v>Canada</v>
      </c>
      <c r="J227" s="1">
        <f>_xlfn.XLOOKUP(order_details[[#This Row],[OrderID]], orders[OrderID], orders[Month])</f>
        <v>11</v>
      </c>
    </row>
    <row r="228" spans="1:10" x14ac:dyDescent="0.35">
      <c r="A228">
        <v>10333</v>
      </c>
      <c r="B228">
        <v>14</v>
      </c>
      <c r="C228">
        <v>18.600000000000001</v>
      </c>
      <c r="D228">
        <v>10</v>
      </c>
      <c r="E228">
        <v>0</v>
      </c>
      <c r="F228">
        <v>186</v>
      </c>
      <c r="G228" t="str">
        <f>VLOOKUP(VLOOKUP(order_details[[#This Row],[ProductID]], products[], 4, FALSE), categories[], 2, FALSE)</f>
        <v>Produce</v>
      </c>
      <c r="H228">
        <f>VLOOKUP(order_details[[#This Row],[ProductID]], products[], 4, FALSE)</f>
        <v>7</v>
      </c>
      <c r="I228" t="str">
        <f>VLOOKUP(order_details[[#This Row],[OrderID]], orders[[OrderID]:[ShipCountry]], 14, FALSE)</f>
        <v>Finland</v>
      </c>
      <c r="J228" s="1">
        <f>_xlfn.XLOOKUP(order_details[[#This Row],[OrderID]], orders[OrderID], orders[Month])</f>
        <v>11</v>
      </c>
    </row>
    <row r="229" spans="1:10" x14ac:dyDescent="0.35">
      <c r="A229">
        <v>10333</v>
      </c>
      <c r="B229">
        <v>21</v>
      </c>
      <c r="C229">
        <v>8</v>
      </c>
      <c r="D229">
        <v>10</v>
      </c>
      <c r="E229">
        <v>0.1</v>
      </c>
      <c r="F229">
        <v>72</v>
      </c>
      <c r="G229" t="str">
        <f>VLOOKUP(VLOOKUP(order_details[[#This Row],[ProductID]], products[], 4, FALSE), categories[], 2, FALSE)</f>
        <v>Confections</v>
      </c>
      <c r="H229">
        <f>VLOOKUP(order_details[[#This Row],[ProductID]], products[], 4, FALSE)</f>
        <v>3</v>
      </c>
      <c r="I229" t="str">
        <f>VLOOKUP(order_details[[#This Row],[OrderID]], orders[[OrderID]:[ShipCountry]], 14, FALSE)</f>
        <v>Finland</v>
      </c>
      <c r="J229" s="1">
        <f>_xlfn.XLOOKUP(order_details[[#This Row],[OrderID]], orders[OrderID], orders[Month])</f>
        <v>11</v>
      </c>
    </row>
    <row r="230" spans="1:10" x14ac:dyDescent="0.35">
      <c r="A230">
        <v>10333</v>
      </c>
      <c r="B230">
        <v>71</v>
      </c>
      <c r="C230">
        <v>17.2</v>
      </c>
      <c r="D230">
        <v>40</v>
      </c>
      <c r="E230">
        <v>0.1</v>
      </c>
      <c r="F230">
        <v>619.20000000000005</v>
      </c>
      <c r="G230" t="str">
        <f>VLOOKUP(VLOOKUP(order_details[[#This Row],[ProductID]], products[], 4, FALSE), categories[], 2, FALSE)</f>
        <v>Dairy Products</v>
      </c>
      <c r="H230">
        <f>VLOOKUP(order_details[[#This Row],[ProductID]], products[], 4, FALSE)</f>
        <v>4</v>
      </c>
      <c r="I230" t="str">
        <f>VLOOKUP(order_details[[#This Row],[OrderID]], orders[[OrderID]:[ShipCountry]], 14, FALSE)</f>
        <v>Finland</v>
      </c>
      <c r="J230" s="1">
        <f>_xlfn.XLOOKUP(order_details[[#This Row],[OrderID]], orders[OrderID], orders[Month])</f>
        <v>11</v>
      </c>
    </row>
    <row r="231" spans="1:10" x14ac:dyDescent="0.35">
      <c r="A231">
        <v>10334</v>
      </c>
      <c r="B231">
        <v>52</v>
      </c>
      <c r="C231">
        <v>5.6</v>
      </c>
      <c r="D231">
        <v>8</v>
      </c>
      <c r="E231">
        <v>0</v>
      </c>
      <c r="F231">
        <v>44.8</v>
      </c>
      <c r="G231" t="str">
        <f>VLOOKUP(VLOOKUP(order_details[[#This Row],[ProductID]], products[], 4, FALSE), categories[], 2, FALSE)</f>
        <v>Grains/Cereals</v>
      </c>
      <c r="H231">
        <f>VLOOKUP(order_details[[#This Row],[ProductID]], products[], 4, FALSE)</f>
        <v>5</v>
      </c>
      <c r="I231" t="str">
        <f>VLOOKUP(order_details[[#This Row],[OrderID]], orders[[OrderID]:[ShipCountry]], 14, FALSE)</f>
        <v>France</v>
      </c>
      <c r="J231" s="1">
        <f>_xlfn.XLOOKUP(order_details[[#This Row],[OrderID]], orders[OrderID], orders[Month])</f>
        <v>11</v>
      </c>
    </row>
    <row r="232" spans="1:10" x14ac:dyDescent="0.35">
      <c r="A232">
        <v>10334</v>
      </c>
      <c r="B232">
        <v>68</v>
      </c>
      <c r="C232">
        <v>10</v>
      </c>
      <c r="D232">
        <v>10</v>
      </c>
      <c r="E232">
        <v>0</v>
      </c>
      <c r="F232">
        <v>100</v>
      </c>
      <c r="G232" t="str">
        <f>VLOOKUP(VLOOKUP(order_details[[#This Row],[ProductID]], products[], 4, FALSE), categories[], 2, FALSE)</f>
        <v>Confections</v>
      </c>
      <c r="H232">
        <f>VLOOKUP(order_details[[#This Row],[ProductID]], products[], 4, FALSE)</f>
        <v>3</v>
      </c>
      <c r="I232" t="str">
        <f>VLOOKUP(order_details[[#This Row],[OrderID]], orders[[OrderID]:[ShipCountry]], 14, FALSE)</f>
        <v>France</v>
      </c>
      <c r="J232" s="1">
        <f>_xlfn.XLOOKUP(order_details[[#This Row],[OrderID]], orders[OrderID], orders[Month])</f>
        <v>11</v>
      </c>
    </row>
    <row r="233" spans="1:10" x14ac:dyDescent="0.35">
      <c r="A233">
        <v>10335</v>
      </c>
      <c r="B233">
        <v>2</v>
      </c>
      <c r="C233">
        <v>15.2</v>
      </c>
      <c r="D233">
        <v>7</v>
      </c>
      <c r="E233">
        <v>0.2</v>
      </c>
      <c r="F233">
        <v>85.12</v>
      </c>
      <c r="G233" t="str">
        <f>VLOOKUP(VLOOKUP(order_details[[#This Row],[ProductID]], products[], 4, FALSE), categories[], 2, FALSE)</f>
        <v>Beverages</v>
      </c>
      <c r="H233">
        <f>VLOOKUP(order_details[[#This Row],[ProductID]], products[], 4, FALSE)</f>
        <v>1</v>
      </c>
      <c r="I233" t="str">
        <f>VLOOKUP(order_details[[#This Row],[OrderID]], orders[[OrderID]:[ShipCountry]], 14, FALSE)</f>
        <v>Ireland</v>
      </c>
      <c r="J233" s="1">
        <f>_xlfn.XLOOKUP(order_details[[#This Row],[OrderID]], orders[OrderID], orders[Month])</f>
        <v>11</v>
      </c>
    </row>
    <row r="234" spans="1:10" x14ac:dyDescent="0.35">
      <c r="A234">
        <v>10335</v>
      </c>
      <c r="B234">
        <v>31</v>
      </c>
      <c r="C234">
        <v>10</v>
      </c>
      <c r="D234">
        <v>25</v>
      </c>
      <c r="E234">
        <v>0.2</v>
      </c>
      <c r="F234">
        <v>200</v>
      </c>
      <c r="G234" t="str">
        <f>VLOOKUP(VLOOKUP(order_details[[#This Row],[ProductID]], products[], 4, FALSE), categories[], 2, FALSE)</f>
        <v>Dairy Products</v>
      </c>
      <c r="H234">
        <f>VLOOKUP(order_details[[#This Row],[ProductID]], products[], 4, FALSE)</f>
        <v>4</v>
      </c>
      <c r="I234" t="str">
        <f>VLOOKUP(order_details[[#This Row],[OrderID]], orders[[OrderID]:[ShipCountry]], 14, FALSE)</f>
        <v>Ireland</v>
      </c>
      <c r="J234" s="1">
        <f>_xlfn.XLOOKUP(order_details[[#This Row],[OrderID]], orders[OrderID], orders[Month])</f>
        <v>11</v>
      </c>
    </row>
    <row r="235" spans="1:10" x14ac:dyDescent="0.35">
      <c r="A235">
        <v>10335</v>
      </c>
      <c r="B235">
        <v>32</v>
      </c>
      <c r="C235">
        <v>25.6</v>
      </c>
      <c r="D235">
        <v>6</v>
      </c>
      <c r="E235">
        <v>0.2</v>
      </c>
      <c r="F235">
        <v>122.88000000000002</v>
      </c>
      <c r="G235" t="str">
        <f>VLOOKUP(VLOOKUP(order_details[[#This Row],[ProductID]], products[], 4, FALSE), categories[], 2, FALSE)</f>
        <v>Dairy Products</v>
      </c>
      <c r="H235">
        <f>VLOOKUP(order_details[[#This Row],[ProductID]], products[], 4, FALSE)</f>
        <v>4</v>
      </c>
      <c r="I235" t="str">
        <f>VLOOKUP(order_details[[#This Row],[OrderID]], orders[[OrderID]:[ShipCountry]], 14, FALSE)</f>
        <v>Ireland</v>
      </c>
      <c r="J235" s="1">
        <f>_xlfn.XLOOKUP(order_details[[#This Row],[OrderID]], orders[OrderID], orders[Month])</f>
        <v>11</v>
      </c>
    </row>
    <row r="236" spans="1:10" x14ac:dyDescent="0.35">
      <c r="A236">
        <v>10335</v>
      </c>
      <c r="B236">
        <v>51</v>
      </c>
      <c r="C236">
        <v>42.4</v>
      </c>
      <c r="D236">
        <v>48</v>
      </c>
      <c r="E236">
        <v>0.2</v>
      </c>
      <c r="F236">
        <v>1628.1599999999999</v>
      </c>
      <c r="G236" t="str">
        <f>VLOOKUP(VLOOKUP(order_details[[#This Row],[ProductID]], products[], 4, FALSE), categories[], 2, FALSE)</f>
        <v>Produce</v>
      </c>
      <c r="H236">
        <f>VLOOKUP(order_details[[#This Row],[ProductID]], products[], 4, FALSE)</f>
        <v>7</v>
      </c>
      <c r="I236" t="str">
        <f>VLOOKUP(order_details[[#This Row],[OrderID]], orders[[OrderID]:[ShipCountry]], 14, FALSE)</f>
        <v>Ireland</v>
      </c>
      <c r="J236" s="1">
        <f>_xlfn.XLOOKUP(order_details[[#This Row],[OrderID]], orders[OrderID], orders[Month])</f>
        <v>11</v>
      </c>
    </row>
    <row r="237" spans="1:10" x14ac:dyDescent="0.35">
      <c r="A237">
        <v>10336</v>
      </c>
      <c r="B237">
        <v>4</v>
      </c>
      <c r="C237">
        <v>17.600000000000001</v>
      </c>
      <c r="D237">
        <v>18</v>
      </c>
      <c r="E237">
        <v>0.1</v>
      </c>
      <c r="F237">
        <v>285.12</v>
      </c>
      <c r="G237" t="str">
        <f>VLOOKUP(VLOOKUP(order_details[[#This Row],[ProductID]], products[], 4, FALSE), categories[], 2, FALSE)</f>
        <v>Condiments</v>
      </c>
      <c r="H237">
        <f>VLOOKUP(order_details[[#This Row],[ProductID]], products[], 4, FALSE)</f>
        <v>2</v>
      </c>
      <c r="I237" t="str">
        <f>VLOOKUP(order_details[[#This Row],[OrderID]], orders[[OrderID]:[ShipCountry]], 14, FALSE)</f>
        <v>Portugal</v>
      </c>
      <c r="J237" s="1">
        <f>_xlfn.XLOOKUP(order_details[[#This Row],[OrderID]], orders[OrderID], orders[Month])</f>
        <v>11</v>
      </c>
    </row>
    <row r="238" spans="1:10" x14ac:dyDescent="0.35">
      <c r="A238">
        <v>10337</v>
      </c>
      <c r="B238">
        <v>23</v>
      </c>
      <c r="C238">
        <v>7.2</v>
      </c>
      <c r="D238">
        <v>40</v>
      </c>
      <c r="E238">
        <v>0</v>
      </c>
      <c r="F238">
        <v>288</v>
      </c>
      <c r="G238" t="str">
        <f>VLOOKUP(VLOOKUP(order_details[[#This Row],[ProductID]], products[], 4, FALSE), categories[], 2, FALSE)</f>
        <v>Grains/Cereals</v>
      </c>
      <c r="H238">
        <f>VLOOKUP(order_details[[#This Row],[ProductID]], products[], 4, FALSE)</f>
        <v>5</v>
      </c>
      <c r="I238" t="str">
        <f>VLOOKUP(order_details[[#This Row],[OrderID]], orders[[OrderID]:[ShipCountry]], 14, FALSE)</f>
        <v>Germany</v>
      </c>
      <c r="J238" s="1">
        <f>_xlfn.XLOOKUP(order_details[[#This Row],[OrderID]], orders[OrderID], orders[Month])</f>
        <v>11</v>
      </c>
    </row>
    <row r="239" spans="1:10" x14ac:dyDescent="0.35">
      <c r="A239">
        <v>10337</v>
      </c>
      <c r="B239">
        <v>26</v>
      </c>
      <c r="C239">
        <v>24.9</v>
      </c>
      <c r="D239">
        <v>24</v>
      </c>
      <c r="E239">
        <v>0</v>
      </c>
      <c r="F239">
        <v>597.59999999999991</v>
      </c>
      <c r="G239" t="str">
        <f>VLOOKUP(VLOOKUP(order_details[[#This Row],[ProductID]], products[], 4, FALSE), categories[], 2, FALSE)</f>
        <v>Confections</v>
      </c>
      <c r="H239">
        <f>VLOOKUP(order_details[[#This Row],[ProductID]], products[], 4, FALSE)</f>
        <v>3</v>
      </c>
      <c r="I239" t="str">
        <f>VLOOKUP(order_details[[#This Row],[OrderID]], orders[[OrderID]:[ShipCountry]], 14, FALSE)</f>
        <v>Germany</v>
      </c>
      <c r="J239" s="1">
        <f>_xlfn.XLOOKUP(order_details[[#This Row],[OrderID]], orders[OrderID], orders[Month])</f>
        <v>11</v>
      </c>
    </row>
    <row r="240" spans="1:10" x14ac:dyDescent="0.35">
      <c r="A240">
        <v>10337</v>
      </c>
      <c r="B240">
        <v>36</v>
      </c>
      <c r="C240">
        <v>15.2</v>
      </c>
      <c r="D240">
        <v>20</v>
      </c>
      <c r="E240">
        <v>0</v>
      </c>
      <c r="F240">
        <v>304</v>
      </c>
      <c r="G240" t="str">
        <f>VLOOKUP(VLOOKUP(order_details[[#This Row],[ProductID]], products[], 4, FALSE), categories[], 2, FALSE)</f>
        <v>Seafood</v>
      </c>
      <c r="H240">
        <f>VLOOKUP(order_details[[#This Row],[ProductID]], products[], 4, FALSE)</f>
        <v>8</v>
      </c>
      <c r="I240" t="str">
        <f>VLOOKUP(order_details[[#This Row],[OrderID]], orders[[OrderID]:[ShipCountry]], 14, FALSE)</f>
        <v>Germany</v>
      </c>
      <c r="J240" s="1">
        <f>_xlfn.XLOOKUP(order_details[[#This Row],[OrderID]], orders[OrderID], orders[Month])</f>
        <v>11</v>
      </c>
    </row>
    <row r="241" spans="1:10" x14ac:dyDescent="0.35">
      <c r="A241">
        <v>10337</v>
      </c>
      <c r="B241">
        <v>37</v>
      </c>
      <c r="C241">
        <v>20.8</v>
      </c>
      <c r="D241">
        <v>28</v>
      </c>
      <c r="E241">
        <v>0</v>
      </c>
      <c r="F241">
        <v>582.4</v>
      </c>
      <c r="G241" t="str">
        <f>VLOOKUP(VLOOKUP(order_details[[#This Row],[ProductID]], products[], 4, FALSE), categories[], 2, FALSE)</f>
        <v>Seafood</v>
      </c>
      <c r="H241">
        <f>VLOOKUP(order_details[[#This Row],[ProductID]], products[], 4, FALSE)</f>
        <v>8</v>
      </c>
      <c r="I241" t="str">
        <f>VLOOKUP(order_details[[#This Row],[OrderID]], orders[[OrderID]:[ShipCountry]], 14, FALSE)</f>
        <v>Germany</v>
      </c>
      <c r="J241" s="1">
        <f>_xlfn.XLOOKUP(order_details[[#This Row],[OrderID]], orders[OrderID], orders[Month])</f>
        <v>11</v>
      </c>
    </row>
    <row r="242" spans="1:10" x14ac:dyDescent="0.35">
      <c r="A242">
        <v>10337</v>
      </c>
      <c r="B242">
        <v>72</v>
      </c>
      <c r="C242">
        <v>27.8</v>
      </c>
      <c r="D242">
        <v>25</v>
      </c>
      <c r="E242">
        <v>0</v>
      </c>
      <c r="F242">
        <v>695</v>
      </c>
      <c r="G242" t="str">
        <f>VLOOKUP(VLOOKUP(order_details[[#This Row],[ProductID]], products[], 4, FALSE), categories[], 2, FALSE)</f>
        <v>Dairy Products</v>
      </c>
      <c r="H242">
        <f>VLOOKUP(order_details[[#This Row],[ProductID]], products[], 4, FALSE)</f>
        <v>4</v>
      </c>
      <c r="I242" t="str">
        <f>VLOOKUP(order_details[[#This Row],[OrderID]], orders[[OrderID]:[ShipCountry]], 14, FALSE)</f>
        <v>Germany</v>
      </c>
      <c r="J242" s="1">
        <f>_xlfn.XLOOKUP(order_details[[#This Row],[OrderID]], orders[OrderID], orders[Month])</f>
        <v>11</v>
      </c>
    </row>
    <row r="243" spans="1:10" x14ac:dyDescent="0.35">
      <c r="A243">
        <v>10338</v>
      </c>
      <c r="B243">
        <v>17</v>
      </c>
      <c r="C243">
        <v>31.2</v>
      </c>
      <c r="D243">
        <v>20</v>
      </c>
      <c r="E243">
        <v>0</v>
      </c>
      <c r="F243">
        <v>624</v>
      </c>
      <c r="G243" t="str">
        <f>VLOOKUP(VLOOKUP(order_details[[#This Row],[ProductID]], products[], 4, FALSE), categories[], 2, FALSE)</f>
        <v>Meat/Poultry</v>
      </c>
      <c r="H243">
        <f>VLOOKUP(order_details[[#This Row],[ProductID]], products[], 4, FALSE)</f>
        <v>6</v>
      </c>
      <c r="I243" t="str">
        <f>VLOOKUP(order_details[[#This Row],[OrderID]], orders[[OrderID]:[ShipCountry]], 14, FALSE)</f>
        <v>USA</v>
      </c>
      <c r="J243" s="1">
        <f>_xlfn.XLOOKUP(order_details[[#This Row],[OrderID]], orders[OrderID], orders[Month])</f>
        <v>11</v>
      </c>
    </row>
    <row r="244" spans="1:10" x14ac:dyDescent="0.35">
      <c r="A244">
        <v>10338</v>
      </c>
      <c r="B244">
        <v>30</v>
      </c>
      <c r="C244">
        <v>20.7</v>
      </c>
      <c r="D244">
        <v>15</v>
      </c>
      <c r="E244">
        <v>0</v>
      </c>
      <c r="F244">
        <v>310.5</v>
      </c>
      <c r="G244" t="str">
        <f>VLOOKUP(VLOOKUP(order_details[[#This Row],[ProductID]], products[], 4, FALSE), categories[], 2, FALSE)</f>
        <v>Seafood</v>
      </c>
      <c r="H244">
        <f>VLOOKUP(order_details[[#This Row],[ProductID]], products[], 4, FALSE)</f>
        <v>8</v>
      </c>
      <c r="I244" t="str">
        <f>VLOOKUP(order_details[[#This Row],[OrderID]], orders[[OrderID]:[ShipCountry]], 14, FALSE)</f>
        <v>USA</v>
      </c>
      <c r="J244" s="1">
        <f>_xlfn.XLOOKUP(order_details[[#This Row],[OrderID]], orders[OrderID], orders[Month])</f>
        <v>11</v>
      </c>
    </row>
    <row r="245" spans="1:10" x14ac:dyDescent="0.35">
      <c r="A245">
        <v>10339</v>
      </c>
      <c r="B245">
        <v>4</v>
      </c>
      <c r="C245">
        <v>17.600000000000001</v>
      </c>
      <c r="D245">
        <v>10</v>
      </c>
      <c r="E245">
        <v>0</v>
      </c>
      <c r="F245">
        <v>176</v>
      </c>
      <c r="G245" t="str">
        <f>VLOOKUP(VLOOKUP(order_details[[#This Row],[ProductID]], products[], 4, FALSE), categories[], 2, FALSE)</f>
        <v>Condiments</v>
      </c>
      <c r="H245">
        <f>VLOOKUP(order_details[[#This Row],[ProductID]], products[], 4, FALSE)</f>
        <v>2</v>
      </c>
      <c r="I245" t="str">
        <f>VLOOKUP(order_details[[#This Row],[OrderID]], orders[[OrderID]:[ShipCountry]], 14, FALSE)</f>
        <v>Canada</v>
      </c>
      <c r="J245" s="1">
        <f>_xlfn.XLOOKUP(order_details[[#This Row],[OrderID]], orders[OrderID], orders[Month])</f>
        <v>11</v>
      </c>
    </row>
    <row r="246" spans="1:10" x14ac:dyDescent="0.35">
      <c r="A246">
        <v>10339</v>
      </c>
      <c r="B246">
        <v>17</v>
      </c>
      <c r="C246">
        <v>31.2</v>
      </c>
      <c r="D246">
        <v>70</v>
      </c>
      <c r="E246">
        <v>0.05</v>
      </c>
      <c r="F246">
        <v>2074.7999999999997</v>
      </c>
      <c r="G246" t="str">
        <f>VLOOKUP(VLOOKUP(order_details[[#This Row],[ProductID]], products[], 4, FALSE), categories[], 2, FALSE)</f>
        <v>Meat/Poultry</v>
      </c>
      <c r="H246">
        <f>VLOOKUP(order_details[[#This Row],[ProductID]], products[], 4, FALSE)</f>
        <v>6</v>
      </c>
      <c r="I246" t="str">
        <f>VLOOKUP(order_details[[#This Row],[OrderID]], orders[[OrderID]:[ShipCountry]], 14, FALSE)</f>
        <v>Canada</v>
      </c>
      <c r="J246" s="1">
        <f>_xlfn.XLOOKUP(order_details[[#This Row],[OrderID]], orders[OrderID], orders[Month])</f>
        <v>11</v>
      </c>
    </row>
    <row r="247" spans="1:10" x14ac:dyDescent="0.35">
      <c r="A247">
        <v>10339</v>
      </c>
      <c r="B247">
        <v>62</v>
      </c>
      <c r="C247">
        <v>39.4</v>
      </c>
      <c r="D247">
        <v>28</v>
      </c>
      <c r="E247">
        <v>0</v>
      </c>
      <c r="F247">
        <v>1103.2</v>
      </c>
      <c r="G247" t="str">
        <f>VLOOKUP(VLOOKUP(order_details[[#This Row],[ProductID]], products[], 4, FALSE), categories[], 2, FALSE)</f>
        <v>Confections</v>
      </c>
      <c r="H247">
        <f>VLOOKUP(order_details[[#This Row],[ProductID]], products[], 4, FALSE)</f>
        <v>3</v>
      </c>
      <c r="I247" t="str">
        <f>VLOOKUP(order_details[[#This Row],[OrderID]], orders[[OrderID]:[ShipCountry]], 14, FALSE)</f>
        <v>Canada</v>
      </c>
      <c r="J247" s="1">
        <f>_xlfn.XLOOKUP(order_details[[#This Row],[OrderID]], orders[OrderID], orders[Month])</f>
        <v>11</v>
      </c>
    </row>
    <row r="248" spans="1:10" x14ac:dyDescent="0.35">
      <c r="A248">
        <v>10340</v>
      </c>
      <c r="B248">
        <v>18</v>
      </c>
      <c r="C248">
        <v>50</v>
      </c>
      <c r="D248">
        <v>20</v>
      </c>
      <c r="E248">
        <v>0.05</v>
      </c>
      <c r="F248">
        <v>950</v>
      </c>
      <c r="G248" t="str">
        <f>VLOOKUP(VLOOKUP(order_details[[#This Row],[ProductID]], products[], 4, FALSE), categories[], 2, FALSE)</f>
        <v>Seafood</v>
      </c>
      <c r="H248">
        <f>VLOOKUP(order_details[[#This Row],[ProductID]], products[], 4, FALSE)</f>
        <v>8</v>
      </c>
      <c r="I248" t="str">
        <f>VLOOKUP(order_details[[#This Row],[OrderID]], orders[[OrderID]:[ShipCountry]], 14, FALSE)</f>
        <v>France</v>
      </c>
      <c r="J248" s="1">
        <f>_xlfn.XLOOKUP(order_details[[#This Row],[OrderID]], orders[OrderID], orders[Month])</f>
        <v>11</v>
      </c>
    </row>
    <row r="249" spans="1:10" x14ac:dyDescent="0.35">
      <c r="A249">
        <v>10340</v>
      </c>
      <c r="B249">
        <v>41</v>
      </c>
      <c r="C249">
        <v>7.7</v>
      </c>
      <c r="D249">
        <v>12</v>
      </c>
      <c r="E249">
        <v>0.05</v>
      </c>
      <c r="F249">
        <v>87.78</v>
      </c>
      <c r="G249" t="str">
        <f>VLOOKUP(VLOOKUP(order_details[[#This Row],[ProductID]], products[], 4, FALSE), categories[], 2, FALSE)</f>
        <v>Seafood</v>
      </c>
      <c r="H249">
        <f>VLOOKUP(order_details[[#This Row],[ProductID]], products[], 4, FALSE)</f>
        <v>8</v>
      </c>
      <c r="I249" t="str">
        <f>VLOOKUP(order_details[[#This Row],[OrderID]], orders[[OrderID]:[ShipCountry]], 14, FALSE)</f>
        <v>France</v>
      </c>
      <c r="J249" s="1">
        <f>_xlfn.XLOOKUP(order_details[[#This Row],[OrderID]], orders[OrderID], orders[Month])</f>
        <v>11</v>
      </c>
    </row>
    <row r="250" spans="1:10" x14ac:dyDescent="0.35">
      <c r="A250">
        <v>10340</v>
      </c>
      <c r="B250">
        <v>43</v>
      </c>
      <c r="C250">
        <v>36.799999999999997</v>
      </c>
      <c r="D250">
        <v>40</v>
      </c>
      <c r="E250">
        <v>0.05</v>
      </c>
      <c r="F250">
        <v>1398.3999999999999</v>
      </c>
      <c r="G250" t="str">
        <f>VLOOKUP(VLOOKUP(order_details[[#This Row],[ProductID]], products[], 4, FALSE), categories[], 2, FALSE)</f>
        <v>Beverages</v>
      </c>
      <c r="H250">
        <f>VLOOKUP(order_details[[#This Row],[ProductID]], products[], 4, FALSE)</f>
        <v>1</v>
      </c>
      <c r="I250" t="str">
        <f>VLOOKUP(order_details[[#This Row],[OrderID]], orders[[OrderID]:[ShipCountry]], 14, FALSE)</f>
        <v>France</v>
      </c>
      <c r="J250" s="1">
        <f>_xlfn.XLOOKUP(order_details[[#This Row],[OrderID]], orders[OrderID], orders[Month])</f>
        <v>11</v>
      </c>
    </row>
    <row r="251" spans="1:10" x14ac:dyDescent="0.35">
      <c r="A251">
        <v>10341</v>
      </c>
      <c r="B251">
        <v>33</v>
      </c>
      <c r="C251">
        <v>2</v>
      </c>
      <c r="D251">
        <v>8</v>
      </c>
      <c r="E251">
        <v>0</v>
      </c>
      <c r="F251">
        <v>16</v>
      </c>
      <c r="G251" t="str">
        <f>VLOOKUP(VLOOKUP(order_details[[#This Row],[ProductID]], products[], 4, FALSE), categories[], 2, FALSE)</f>
        <v>Dairy Products</v>
      </c>
      <c r="H251">
        <f>VLOOKUP(order_details[[#This Row],[ProductID]], products[], 4, FALSE)</f>
        <v>4</v>
      </c>
      <c r="I251" t="str">
        <f>VLOOKUP(order_details[[#This Row],[OrderID]], orders[[OrderID]:[ShipCountry]], 14, FALSE)</f>
        <v>Denmark</v>
      </c>
      <c r="J251" s="1">
        <f>_xlfn.XLOOKUP(order_details[[#This Row],[OrderID]], orders[OrderID], orders[Month])</f>
        <v>11</v>
      </c>
    </row>
    <row r="252" spans="1:10" x14ac:dyDescent="0.35">
      <c r="A252">
        <v>10341</v>
      </c>
      <c r="B252">
        <v>59</v>
      </c>
      <c r="C252">
        <v>44</v>
      </c>
      <c r="D252">
        <v>9</v>
      </c>
      <c r="E252">
        <v>0.15</v>
      </c>
      <c r="F252">
        <v>336.59999999999997</v>
      </c>
      <c r="G252" t="str">
        <f>VLOOKUP(VLOOKUP(order_details[[#This Row],[ProductID]], products[], 4, FALSE), categories[], 2, FALSE)</f>
        <v>Dairy Products</v>
      </c>
      <c r="H252">
        <f>VLOOKUP(order_details[[#This Row],[ProductID]], products[], 4, FALSE)</f>
        <v>4</v>
      </c>
      <c r="I252" t="str">
        <f>VLOOKUP(order_details[[#This Row],[OrderID]], orders[[OrderID]:[ShipCountry]], 14, FALSE)</f>
        <v>Denmark</v>
      </c>
      <c r="J252" s="1">
        <f>_xlfn.XLOOKUP(order_details[[#This Row],[OrderID]], orders[OrderID], orders[Month])</f>
        <v>11</v>
      </c>
    </row>
    <row r="253" spans="1:10" x14ac:dyDescent="0.35">
      <c r="A253">
        <v>10342</v>
      </c>
      <c r="B253">
        <v>2</v>
      </c>
      <c r="C253">
        <v>15.2</v>
      </c>
      <c r="D253">
        <v>24</v>
      </c>
      <c r="E253">
        <v>0.2</v>
      </c>
      <c r="F253">
        <v>291.83999999999997</v>
      </c>
      <c r="G253" t="str">
        <f>VLOOKUP(VLOOKUP(order_details[[#This Row],[ProductID]], products[], 4, FALSE), categories[], 2, FALSE)</f>
        <v>Beverages</v>
      </c>
      <c r="H253">
        <f>VLOOKUP(order_details[[#This Row],[ProductID]], products[], 4, FALSE)</f>
        <v>1</v>
      </c>
      <c r="I253" t="str">
        <f>VLOOKUP(order_details[[#This Row],[OrderID]], orders[[OrderID]:[ShipCountry]], 14, FALSE)</f>
        <v>Germany</v>
      </c>
      <c r="J253" s="1">
        <f>_xlfn.XLOOKUP(order_details[[#This Row],[OrderID]], orders[OrderID], orders[Month])</f>
        <v>11</v>
      </c>
    </row>
    <row r="254" spans="1:10" x14ac:dyDescent="0.35">
      <c r="A254">
        <v>10342</v>
      </c>
      <c r="B254">
        <v>31</v>
      </c>
      <c r="C254">
        <v>10</v>
      </c>
      <c r="D254">
        <v>56</v>
      </c>
      <c r="E254">
        <v>0.2</v>
      </c>
      <c r="F254">
        <v>448</v>
      </c>
      <c r="G254" t="str">
        <f>VLOOKUP(VLOOKUP(order_details[[#This Row],[ProductID]], products[], 4, FALSE), categories[], 2, FALSE)</f>
        <v>Dairy Products</v>
      </c>
      <c r="H254">
        <f>VLOOKUP(order_details[[#This Row],[ProductID]], products[], 4, FALSE)</f>
        <v>4</v>
      </c>
      <c r="I254" t="str">
        <f>VLOOKUP(order_details[[#This Row],[OrderID]], orders[[OrderID]:[ShipCountry]], 14, FALSE)</f>
        <v>Germany</v>
      </c>
      <c r="J254" s="1">
        <f>_xlfn.XLOOKUP(order_details[[#This Row],[OrderID]], orders[OrderID], orders[Month])</f>
        <v>11</v>
      </c>
    </row>
    <row r="255" spans="1:10" x14ac:dyDescent="0.35">
      <c r="A255">
        <v>10342</v>
      </c>
      <c r="B255">
        <v>36</v>
      </c>
      <c r="C255">
        <v>15.2</v>
      </c>
      <c r="D255">
        <v>40</v>
      </c>
      <c r="E255">
        <v>0.2</v>
      </c>
      <c r="F255">
        <v>486.40000000000003</v>
      </c>
      <c r="G255" t="str">
        <f>VLOOKUP(VLOOKUP(order_details[[#This Row],[ProductID]], products[], 4, FALSE), categories[], 2, FALSE)</f>
        <v>Seafood</v>
      </c>
      <c r="H255">
        <f>VLOOKUP(order_details[[#This Row],[ProductID]], products[], 4, FALSE)</f>
        <v>8</v>
      </c>
      <c r="I255" t="str">
        <f>VLOOKUP(order_details[[#This Row],[OrderID]], orders[[OrderID]:[ShipCountry]], 14, FALSE)</f>
        <v>Germany</v>
      </c>
      <c r="J255" s="1">
        <f>_xlfn.XLOOKUP(order_details[[#This Row],[OrderID]], orders[OrderID], orders[Month])</f>
        <v>11</v>
      </c>
    </row>
    <row r="256" spans="1:10" x14ac:dyDescent="0.35">
      <c r="A256">
        <v>10342</v>
      </c>
      <c r="B256">
        <v>55</v>
      </c>
      <c r="C256">
        <v>19.2</v>
      </c>
      <c r="D256">
        <v>40</v>
      </c>
      <c r="E256">
        <v>0.2</v>
      </c>
      <c r="F256">
        <v>614.40000000000009</v>
      </c>
      <c r="G256" t="str">
        <f>VLOOKUP(VLOOKUP(order_details[[#This Row],[ProductID]], products[], 4, FALSE), categories[], 2, FALSE)</f>
        <v>Meat/Poultry</v>
      </c>
      <c r="H256">
        <f>VLOOKUP(order_details[[#This Row],[ProductID]], products[], 4, FALSE)</f>
        <v>6</v>
      </c>
      <c r="I256" t="str">
        <f>VLOOKUP(order_details[[#This Row],[OrderID]], orders[[OrderID]:[ShipCountry]], 14, FALSE)</f>
        <v>Germany</v>
      </c>
      <c r="J256" s="1">
        <f>_xlfn.XLOOKUP(order_details[[#This Row],[OrderID]], orders[OrderID], orders[Month])</f>
        <v>11</v>
      </c>
    </row>
    <row r="257" spans="1:10" x14ac:dyDescent="0.35">
      <c r="A257">
        <v>10343</v>
      </c>
      <c r="B257">
        <v>64</v>
      </c>
      <c r="C257">
        <v>26.6</v>
      </c>
      <c r="D257">
        <v>50</v>
      </c>
      <c r="E257">
        <v>0</v>
      </c>
      <c r="F257">
        <v>1330</v>
      </c>
      <c r="G257" t="str">
        <f>VLOOKUP(VLOOKUP(order_details[[#This Row],[ProductID]], products[], 4, FALSE), categories[], 2, FALSE)</f>
        <v>Grains/Cereals</v>
      </c>
      <c r="H257">
        <f>VLOOKUP(order_details[[#This Row],[ProductID]], products[], 4, FALSE)</f>
        <v>5</v>
      </c>
      <c r="I257" t="str">
        <f>VLOOKUP(order_details[[#This Row],[OrderID]], orders[[OrderID]:[ShipCountry]], 14, FALSE)</f>
        <v>Germany</v>
      </c>
      <c r="J257" s="1">
        <f>_xlfn.XLOOKUP(order_details[[#This Row],[OrderID]], orders[OrderID], orders[Month])</f>
        <v>12</v>
      </c>
    </row>
    <row r="258" spans="1:10" x14ac:dyDescent="0.35">
      <c r="A258">
        <v>10343</v>
      </c>
      <c r="B258">
        <v>68</v>
      </c>
      <c r="C258">
        <v>10</v>
      </c>
      <c r="D258">
        <v>4</v>
      </c>
      <c r="E258">
        <v>0.05</v>
      </c>
      <c r="F258">
        <v>38</v>
      </c>
      <c r="G258" t="str">
        <f>VLOOKUP(VLOOKUP(order_details[[#This Row],[ProductID]], products[], 4, FALSE), categories[], 2, FALSE)</f>
        <v>Confections</v>
      </c>
      <c r="H258">
        <f>VLOOKUP(order_details[[#This Row],[ProductID]], products[], 4, FALSE)</f>
        <v>3</v>
      </c>
      <c r="I258" t="str">
        <f>VLOOKUP(order_details[[#This Row],[OrderID]], orders[[OrderID]:[ShipCountry]], 14, FALSE)</f>
        <v>Germany</v>
      </c>
      <c r="J258" s="1">
        <f>_xlfn.XLOOKUP(order_details[[#This Row],[OrderID]], orders[OrderID], orders[Month])</f>
        <v>12</v>
      </c>
    </row>
    <row r="259" spans="1:10" x14ac:dyDescent="0.35">
      <c r="A259">
        <v>10343</v>
      </c>
      <c r="B259">
        <v>76</v>
      </c>
      <c r="C259">
        <v>14.4</v>
      </c>
      <c r="D259">
        <v>15</v>
      </c>
      <c r="E259">
        <v>0</v>
      </c>
      <c r="F259">
        <v>216</v>
      </c>
      <c r="G259" t="str">
        <f>VLOOKUP(VLOOKUP(order_details[[#This Row],[ProductID]], products[], 4, FALSE), categories[], 2, FALSE)</f>
        <v>Beverages</v>
      </c>
      <c r="H259">
        <f>VLOOKUP(order_details[[#This Row],[ProductID]], products[], 4, FALSE)</f>
        <v>1</v>
      </c>
      <c r="I259" t="str">
        <f>VLOOKUP(order_details[[#This Row],[OrderID]], orders[[OrderID]:[ShipCountry]], 14, FALSE)</f>
        <v>Germany</v>
      </c>
      <c r="J259" s="1">
        <f>_xlfn.XLOOKUP(order_details[[#This Row],[OrderID]], orders[OrderID], orders[Month])</f>
        <v>12</v>
      </c>
    </row>
    <row r="260" spans="1:10" x14ac:dyDescent="0.35">
      <c r="A260">
        <v>10344</v>
      </c>
      <c r="B260">
        <v>4</v>
      </c>
      <c r="C260">
        <v>17.600000000000001</v>
      </c>
      <c r="D260">
        <v>35</v>
      </c>
      <c r="E260">
        <v>0</v>
      </c>
      <c r="F260">
        <v>616</v>
      </c>
      <c r="G260" t="str">
        <f>VLOOKUP(VLOOKUP(order_details[[#This Row],[ProductID]], products[], 4, FALSE), categories[], 2, FALSE)</f>
        <v>Condiments</v>
      </c>
      <c r="H260">
        <f>VLOOKUP(order_details[[#This Row],[ProductID]], products[], 4, FALSE)</f>
        <v>2</v>
      </c>
      <c r="I260" t="str">
        <f>VLOOKUP(order_details[[#This Row],[OrderID]], orders[[OrderID]:[ShipCountry]], 14, FALSE)</f>
        <v>USA</v>
      </c>
      <c r="J260" s="1">
        <f>_xlfn.XLOOKUP(order_details[[#This Row],[OrderID]], orders[OrderID], orders[Month])</f>
        <v>12</v>
      </c>
    </row>
    <row r="261" spans="1:10" x14ac:dyDescent="0.35">
      <c r="A261">
        <v>10344</v>
      </c>
      <c r="B261">
        <v>8</v>
      </c>
      <c r="C261">
        <v>32</v>
      </c>
      <c r="D261">
        <v>70</v>
      </c>
      <c r="E261">
        <v>0.25</v>
      </c>
      <c r="F261">
        <v>1680</v>
      </c>
      <c r="G261" t="str">
        <f>VLOOKUP(VLOOKUP(order_details[[#This Row],[ProductID]], products[], 4, FALSE), categories[], 2, FALSE)</f>
        <v>Condiments</v>
      </c>
      <c r="H261">
        <f>VLOOKUP(order_details[[#This Row],[ProductID]], products[], 4, FALSE)</f>
        <v>2</v>
      </c>
      <c r="I261" t="str">
        <f>VLOOKUP(order_details[[#This Row],[OrderID]], orders[[OrderID]:[ShipCountry]], 14, FALSE)</f>
        <v>USA</v>
      </c>
      <c r="J261" s="1">
        <f>_xlfn.XLOOKUP(order_details[[#This Row],[OrderID]], orders[OrderID], orders[Month])</f>
        <v>12</v>
      </c>
    </row>
    <row r="262" spans="1:10" x14ac:dyDescent="0.35">
      <c r="A262">
        <v>10345</v>
      </c>
      <c r="B262">
        <v>8</v>
      </c>
      <c r="C262">
        <v>32</v>
      </c>
      <c r="D262">
        <v>70</v>
      </c>
      <c r="E262">
        <v>0</v>
      </c>
      <c r="F262">
        <v>2240</v>
      </c>
      <c r="G262" t="str">
        <f>VLOOKUP(VLOOKUP(order_details[[#This Row],[ProductID]], products[], 4, FALSE), categories[], 2, FALSE)</f>
        <v>Condiments</v>
      </c>
      <c r="H262">
        <f>VLOOKUP(order_details[[#This Row],[ProductID]], products[], 4, FALSE)</f>
        <v>2</v>
      </c>
      <c r="I262" t="str">
        <f>VLOOKUP(order_details[[#This Row],[OrderID]], orders[[OrderID]:[ShipCountry]], 14, FALSE)</f>
        <v>Germany</v>
      </c>
      <c r="J262" s="1">
        <f>_xlfn.XLOOKUP(order_details[[#This Row],[OrderID]], orders[OrderID], orders[Month])</f>
        <v>12</v>
      </c>
    </row>
    <row r="263" spans="1:10" x14ac:dyDescent="0.35">
      <c r="A263">
        <v>10345</v>
      </c>
      <c r="B263">
        <v>19</v>
      </c>
      <c r="C263">
        <v>7.3</v>
      </c>
      <c r="D263">
        <v>80</v>
      </c>
      <c r="E263">
        <v>0</v>
      </c>
      <c r="F263">
        <v>584</v>
      </c>
      <c r="G263" t="str">
        <f>VLOOKUP(VLOOKUP(order_details[[#This Row],[ProductID]], products[], 4, FALSE), categories[], 2, FALSE)</f>
        <v>Confections</v>
      </c>
      <c r="H263">
        <f>VLOOKUP(order_details[[#This Row],[ProductID]], products[], 4, FALSE)</f>
        <v>3</v>
      </c>
      <c r="I263" t="str">
        <f>VLOOKUP(order_details[[#This Row],[OrderID]], orders[[OrderID]:[ShipCountry]], 14, FALSE)</f>
        <v>Germany</v>
      </c>
      <c r="J263" s="1">
        <f>_xlfn.XLOOKUP(order_details[[#This Row],[OrderID]], orders[OrderID], orders[Month])</f>
        <v>12</v>
      </c>
    </row>
    <row r="264" spans="1:10" x14ac:dyDescent="0.35">
      <c r="A264">
        <v>10345</v>
      </c>
      <c r="B264">
        <v>42</v>
      </c>
      <c r="C264">
        <v>11.2</v>
      </c>
      <c r="D264">
        <v>9</v>
      </c>
      <c r="E264">
        <v>0</v>
      </c>
      <c r="F264">
        <v>100.8</v>
      </c>
      <c r="G264" t="str">
        <f>VLOOKUP(VLOOKUP(order_details[[#This Row],[ProductID]], products[], 4, FALSE), categories[], 2, FALSE)</f>
        <v>Grains/Cereals</v>
      </c>
      <c r="H264">
        <f>VLOOKUP(order_details[[#This Row],[ProductID]], products[], 4, FALSE)</f>
        <v>5</v>
      </c>
      <c r="I264" t="str">
        <f>VLOOKUP(order_details[[#This Row],[OrderID]], orders[[OrderID]:[ShipCountry]], 14, FALSE)</f>
        <v>Germany</v>
      </c>
      <c r="J264" s="1">
        <f>_xlfn.XLOOKUP(order_details[[#This Row],[OrderID]], orders[OrderID], orders[Month])</f>
        <v>12</v>
      </c>
    </row>
    <row r="265" spans="1:10" x14ac:dyDescent="0.35">
      <c r="A265">
        <v>10346</v>
      </c>
      <c r="B265">
        <v>17</v>
      </c>
      <c r="C265">
        <v>31.2</v>
      </c>
      <c r="D265">
        <v>36</v>
      </c>
      <c r="E265">
        <v>0.1</v>
      </c>
      <c r="F265">
        <v>1010.8800000000001</v>
      </c>
      <c r="G265" t="str">
        <f>VLOOKUP(VLOOKUP(order_details[[#This Row],[ProductID]], products[], 4, FALSE), categories[], 2, FALSE)</f>
        <v>Meat/Poultry</v>
      </c>
      <c r="H265">
        <f>VLOOKUP(order_details[[#This Row],[ProductID]], products[], 4, FALSE)</f>
        <v>6</v>
      </c>
      <c r="I265" t="str">
        <f>VLOOKUP(order_details[[#This Row],[OrderID]], orders[[OrderID]:[ShipCountry]], 14, FALSE)</f>
        <v>USA</v>
      </c>
      <c r="J265" s="1">
        <f>_xlfn.XLOOKUP(order_details[[#This Row],[OrderID]], orders[OrderID], orders[Month])</f>
        <v>12</v>
      </c>
    </row>
    <row r="266" spans="1:10" x14ac:dyDescent="0.35">
      <c r="A266">
        <v>10346</v>
      </c>
      <c r="B266">
        <v>56</v>
      </c>
      <c r="C266">
        <v>30.4</v>
      </c>
      <c r="D266">
        <v>20</v>
      </c>
      <c r="E266">
        <v>0</v>
      </c>
      <c r="F266">
        <v>608</v>
      </c>
      <c r="G266" t="str">
        <f>VLOOKUP(VLOOKUP(order_details[[#This Row],[ProductID]], products[], 4, FALSE), categories[], 2, FALSE)</f>
        <v>Grains/Cereals</v>
      </c>
      <c r="H266">
        <f>VLOOKUP(order_details[[#This Row],[ProductID]], products[], 4, FALSE)</f>
        <v>5</v>
      </c>
      <c r="I266" t="str">
        <f>VLOOKUP(order_details[[#This Row],[OrderID]], orders[[OrderID]:[ShipCountry]], 14, FALSE)</f>
        <v>USA</v>
      </c>
      <c r="J266" s="1">
        <f>_xlfn.XLOOKUP(order_details[[#This Row],[OrderID]], orders[OrderID], orders[Month])</f>
        <v>12</v>
      </c>
    </row>
    <row r="267" spans="1:10" x14ac:dyDescent="0.35">
      <c r="A267">
        <v>10347</v>
      </c>
      <c r="B267">
        <v>25</v>
      </c>
      <c r="C267">
        <v>11.2</v>
      </c>
      <c r="D267">
        <v>10</v>
      </c>
      <c r="E267">
        <v>0</v>
      </c>
      <c r="F267">
        <v>112</v>
      </c>
      <c r="G267" t="str">
        <f>VLOOKUP(VLOOKUP(order_details[[#This Row],[ProductID]], products[], 4, FALSE), categories[], 2, FALSE)</f>
        <v>Confections</v>
      </c>
      <c r="H267">
        <f>VLOOKUP(order_details[[#This Row],[ProductID]], products[], 4, FALSE)</f>
        <v>3</v>
      </c>
      <c r="I267" t="str">
        <f>VLOOKUP(order_details[[#This Row],[OrderID]], orders[[OrderID]:[ShipCountry]], 14, FALSE)</f>
        <v>Brazil</v>
      </c>
      <c r="J267" s="1">
        <f>_xlfn.XLOOKUP(order_details[[#This Row],[OrderID]], orders[OrderID], orders[Month])</f>
        <v>12</v>
      </c>
    </row>
    <row r="268" spans="1:10" x14ac:dyDescent="0.35">
      <c r="A268">
        <v>10347</v>
      </c>
      <c r="B268">
        <v>39</v>
      </c>
      <c r="C268">
        <v>14.4</v>
      </c>
      <c r="D268">
        <v>50</v>
      </c>
      <c r="E268">
        <v>0.15</v>
      </c>
      <c r="F268">
        <v>612</v>
      </c>
      <c r="G268" t="str">
        <f>VLOOKUP(VLOOKUP(order_details[[#This Row],[ProductID]], products[], 4, FALSE), categories[], 2, FALSE)</f>
        <v>Beverages</v>
      </c>
      <c r="H268">
        <f>VLOOKUP(order_details[[#This Row],[ProductID]], products[], 4, FALSE)</f>
        <v>1</v>
      </c>
      <c r="I268" t="str">
        <f>VLOOKUP(order_details[[#This Row],[OrderID]], orders[[OrderID]:[ShipCountry]], 14, FALSE)</f>
        <v>Brazil</v>
      </c>
      <c r="J268" s="1">
        <f>_xlfn.XLOOKUP(order_details[[#This Row],[OrderID]], orders[OrderID], orders[Month])</f>
        <v>12</v>
      </c>
    </row>
    <row r="269" spans="1:10" x14ac:dyDescent="0.35">
      <c r="A269">
        <v>10347</v>
      </c>
      <c r="B269">
        <v>40</v>
      </c>
      <c r="C269">
        <v>14.7</v>
      </c>
      <c r="D269">
        <v>4</v>
      </c>
      <c r="E269">
        <v>0</v>
      </c>
      <c r="F269">
        <v>58.8</v>
      </c>
      <c r="G269" t="str">
        <f>VLOOKUP(VLOOKUP(order_details[[#This Row],[ProductID]], products[], 4, FALSE), categories[], 2, FALSE)</f>
        <v>Seafood</v>
      </c>
      <c r="H269">
        <f>VLOOKUP(order_details[[#This Row],[ProductID]], products[], 4, FALSE)</f>
        <v>8</v>
      </c>
      <c r="I269" t="str">
        <f>VLOOKUP(order_details[[#This Row],[OrderID]], orders[[OrderID]:[ShipCountry]], 14, FALSE)</f>
        <v>Brazil</v>
      </c>
      <c r="J269" s="1">
        <f>_xlfn.XLOOKUP(order_details[[#This Row],[OrderID]], orders[OrderID], orders[Month])</f>
        <v>12</v>
      </c>
    </row>
    <row r="270" spans="1:10" x14ac:dyDescent="0.35">
      <c r="A270">
        <v>10347</v>
      </c>
      <c r="B270">
        <v>75</v>
      </c>
      <c r="C270">
        <v>6.2</v>
      </c>
      <c r="D270">
        <v>6</v>
      </c>
      <c r="E270">
        <v>0.15</v>
      </c>
      <c r="F270">
        <v>31.62</v>
      </c>
      <c r="G270" t="str">
        <f>VLOOKUP(VLOOKUP(order_details[[#This Row],[ProductID]], products[], 4, FALSE), categories[], 2, FALSE)</f>
        <v>Beverages</v>
      </c>
      <c r="H270">
        <f>VLOOKUP(order_details[[#This Row],[ProductID]], products[], 4, FALSE)</f>
        <v>1</v>
      </c>
      <c r="I270" t="str">
        <f>VLOOKUP(order_details[[#This Row],[OrderID]], orders[[OrderID]:[ShipCountry]], 14, FALSE)</f>
        <v>Brazil</v>
      </c>
      <c r="J270" s="1">
        <f>_xlfn.XLOOKUP(order_details[[#This Row],[OrderID]], orders[OrderID], orders[Month])</f>
        <v>12</v>
      </c>
    </row>
    <row r="271" spans="1:10" x14ac:dyDescent="0.35">
      <c r="A271">
        <v>10348</v>
      </c>
      <c r="B271">
        <v>1</v>
      </c>
      <c r="C271">
        <v>14.4</v>
      </c>
      <c r="D271">
        <v>15</v>
      </c>
      <c r="E271">
        <v>0.15</v>
      </c>
      <c r="F271">
        <v>183.6</v>
      </c>
      <c r="G271" t="str">
        <f>VLOOKUP(VLOOKUP(order_details[[#This Row],[ProductID]], products[], 4, FALSE), categories[], 2, FALSE)</f>
        <v>Beverages</v>
      </c>
      <c r="H271">
        <f>VLOOKUP(order_details[[#This Row],[ProductID]], products[], 4, FALSE)</f>
        <v>1</v>
      </c>
      <c r="I271" t="str">
        <f>VLOOKUP(order_details[[#This Row],[OrderID]], orders[[OrderID]:[ShipCountry]], 14, FALSE)</f>
        <v>Germany</v>
      </c>
      <c r="J271" s="1">
        <f>_xlfn.XLOOKUP(order_details[[#This Row],[OrderID]], orders[OrderID], orders[Month])</f>
        <v>12</v>
      </c>
    </row>
    <row r="272" spans="1:10" x14ac:dyDescent="0.35">
      <c r="A272">
        <v>10348</v>
      </c>
      <c r="B272">
        <v>23</v>
      </c>
      <c r="C272">
        <v>7.2</v>
      </c>
      <c r="D272">
        <v>25</v>
      </c>
      <c r="E272">
        <v>0</v>
      </c>
      <c r="F272">
        <v>180</v>
      </c>
      <c r="G272" t="str">
        <f>VLOOKUP(VLOOKUP(order_details[[#This Row],[ProductID]], products[], 4, FALSE), categories[], 2, FALSE)</f>
        <v>Grains/Cereals</v>
      </c>
      <c r="H272">
        <f>VLOOKUP(order_details[[#This Row],[ProductID]], products[], 4, FALSE)</f>
        <v>5</v>
      </c>
      <c r="I272" t="str">
        <f>VLOOKUP(order_details[[#This Row],[OrderID]], orders[[OrderID]:[ShipCountry]], 14, FALSE)</f>
        <v>Germany</v>
      </c>
      <c r="J272" s="1">
        <f>_xlfn.XLOOKUP(order_details[[#This Row],[OrderID]], orders[OrderID], orders[Month])</f>
        <v>12</v>
      </c>
    </row>
    <row r="273" spans="1:10" x14ac:dyDescent="0.35">
      <c r="A273">
        <v>10349</v>
      </c>
      <c r="B273">
        <v>54</v>
      </c>
      <c r="C273">
        <v>5.9</v>
      </c>
      <c r="D273">
        <v>24</v>
      </c>
      <c r="E273">
        <v>0</v>
      </c>
      <c r="F273">
        <v>141.60000000000002</v>
      </c>
      <c r="G273" t="str">
        <f>VLOOKUP(VLOOKUP(order_details[[#This Row],[ProductID]], products[], 4, FALSE), categories[], 2, FALSE)</f>
        <v>Meat/Poultry</v>
      </c>
      <c r="H273">
        <f>VLOOKUP(order_details[[#This Row],[ProductID]], products[], 4, FALSE)</f>
        <v>6</v>
      </c>
      <c r="I273" t="str">
        <f>VLOOKUP(order_details[[#This Row],[OrderID]], orders[[OrderID]:[ShipCountry]], 14, FALSE)</f>
        <v>USA</v>
      </c>
      <c r="J273" s="1">
        <f>_xlfn.XLOOKUP(order_details[[#This Row],[OrderID]], orders[OrderID], orders[Month])</f>
        <v>12</v>
      </c>
    </row>
    <row r="274" spans="1:10" x14ac:dyDescent="0.35">
      <c r="A274">
        <v>10350</v>
      </c>
      <c r="B274">
        <v>50</v>
      </c>
      <c r="C274">
        <v>13</v>
      </c>
      <c r="D274">
        <v>15</v>
      </c>
      <c r="E274">
        <v>0.1</v>
      </c>
      <c r="F274">
        <v>175.5</v>
      </c>
      <c r="G274" t="str">
        <f>VLOOKUP(VLOOKUP(order_details[[#This Row],[ProductID]], products[], 4, FALSE), categories[], 2, FALSE)</f>
        <v>Confections</v>
      </c>
      <c r="H274">
        <f>VLOOKUP(order_details[[#This Row],[ProductID]], products[], 4, FALSE)</f>
        <v>3</v>
      </c>
      <c r="I274" t="str">
        <f>VLOOKUP(order_details[[#This Row],[OrderID]], orders[[OrderID]:[ShipCountry]], 14, FALSE)</f>
        <v>France</v>
      </c>
      <c r="J274" s="1">
        <f>_xlfn.XLOOKUP(order_details[[#This Row],[OrderID]], orders[OrderID], orders[Month])</f>
        <v>12</v>
      </c>
    </row>
    <row r="275" spans="1:10" x14ac:dyDescent="0.35">
      <c r="A275">
        <v>10350</v>
      </c>
      <c r="B275">
        <v>69</v>
      </c>
      <c r="C275">
        <v>28.8</v>
      </c>
      <c r="D275">
        <v>18</v>
      </c>
      <c r="E275">
        <v>0.1</v>
      </c>
      <c r="F275">
        <v>466.56</v>
      </c>
      <c r="G275" t="str">
        <f>VLOOKUP(VLOOKUP(order_details[[#This Row],[ProductID]], products[], 4, FALSE), categories[], 2, FALSE)</f>
        <v>Dairy Products</v>
      </c>
      <c r="H275">
        <f>VLOOKUP(order_details[[#This Row],[ProductID]], products[], 4, FALSE)</f>
        <v>4</v>
      </c>
      <c r="I275" t="str">
        <f>VLOOKUP(order_details[[#This Row],[OrderID]], orders[[OrderID]:[ShipCountry]], 14, FALSE)</f>
        <v>France</v>
      </c>
      <c r="J275" s="1">
        <f>_xlfn.XLOOKUP(order_details[[#This Row],[OrderID]], orders[OrderID], orders[Month])</f>
        <v>12</v>
      </c>
    </row>
    <row r="276" spans="1:10" x14ac:dyDescent="0.35">
      <c r="A276">
        <v>10351</v>
      </c>
      <c r="B276">
        <v>38</v>
      </c>
      <c r="C276">
        <v>210.8</v>
      </c>
      <c r="D276">
        <v>20</v>
      </c>
      <c r="E276">
        <v>0.05</v>
      </c>
      <c r="F276">
        <v>4005.2</v>
      </c>
      <c r="G276" t="str">
        <f>VLOOKUP(VLOOKUP(order_details[[#This Row],[ProductID]], products[], 4, FALSE), categories[], 2, FALSE)</f>
        <v>Beverages</v>
      </c>
      <c r="H276">
        <f>VLOOKUP(order_details[[#This Row],[ProductID]], products[], 4, FALSE)</f>
        <v>1</v>
      </c>
      <c r="I276" t="str">
        <f>VLOOKUP(order_details[[#This Row],[OrderID]], orders[[OrderID]:[ShipCountry]], 14, FALSE)</f>
        <v>Austria</v>
      </c>
      <c r="J276" s="1">
        <f>_xlfn.XLOOKUP(order_details[[#This Row],[OrderID]], orders[OrderID], orders[Month])</f>
        <v>12</v>
      </c>
    </row>
    <row r="277" spans="1:10" x14ac:dyDescent="0.35">
      <c r="A277">
        <v>10351</v>
      </c>
      <c r="B277">
        <v>41</v>
      </c>
      <c r="C277">
        <v>7.7</v>
      </c>
      <c r="D277">
        <v>13</v>
      </c>
      <c r="E277">
        <v>0</v>
      </c>
      <c r="F277">
        <v>100.10000000000001</v>
      </c>
      <c r="G277" t="str">
        <f>VLOOKUP(VLOOKUP(order_details[[#This Row],[ProductID]], products[], 4, FALSE), categories[], 2, FALSE)</f>
        <v>Seafood</v>
      </c>
      <c r="H277">
        <f>VLOOKUP(order_details[[#This Row],[ProductID]], products[], 4, FALSE)</f>
        <v>8</v>
      </c>
      <c r="I277" t="str">
        <f>VLOOKUP(order_details[[#This Row],[OrderID]], orders[[OrderID]:[ShipCountry]], 14, FALSE)</f>
        <v>Austria</v>
      </c>
      <c r="J277" s="1">
        <f>_xlfn.XLOOKUP(order_details[[#This Row],[OrderID]], orders[OrderID], orders[Month])</f>
        <v>12</v>
      </c>
    </row>
    <row r="278" spans="1:10" x14ac:dyDescent="0.35">
      <c r="A278">
        <v>10351</v>
      </c>
      <c r="B278">
        <v>44</v>
      </c>
      <c r="C278">
        <v>15.5</v>
      </c>
      <c r="D278">
        <v>77</v>
      </c>
      <c r="E278">
        <v>0.05</v>
      </c>
      <c r="F278">
        <v>1133.825</v>
      </c>
      <c r="G278" t="str">
        <f>VLOOKUP(VLOOKUP(order_details[[#This Row],[ProductID]], products[], 4, FALSE), categories[], 2, FALSE)</f>
        <v>Condiments</v>
      </c>
      <c r="H278">
        <f>VLOOKUP(order_details[[#This Row],[ProductID]], products[], 4, FALSE)</f>
        <v>2</v>
      </c>
      <c r="I278" t="str">
        <f>VLOOKUP(order_details[[#This Row],[OrderID]], orders[[OrderID]:[ShipCountry]], 14, FALSE)</f>
        <v>Austria</v>
      </c>
      <c r="J278" s="1">
        <f>_xlfn.XLOOKUP(order_details[[#This Row],[OrderID]], orders[OrderID], orders[Month])</f>
        <v>12</v>
      </c>
    </row>
    <row r="279" spans="1:10" x14ac:dyDescent="0.35">
      <c r="A279">
        <v>10351</v>
      </c>
      <c r="B279">
        <v>65</v>
      </c>
      <c r="C279">
        <v>16.8</v>
      </c>
      <c r="D279">
        <v>10</v>
      </c>
      <c r="E279">
        <v>0.05</v>
      </c>
      <c r="F279">
        <v>159.6</v>
      </c>
      <c r="G279" t="str">
        <f>VLOOKUP(VLOOKUP(order_details[[#This Row],[ProductID]], products[], 4, FALSE), categories[], 2, FALSE)</f>
        <v>Condiments</v>
      </c>
      <c r="H279">
        <f>VLOOKUP(order_details[[#This Row],[ProductID]], products[], 4, FALSE)</f>
        <v>2</v>
      </c>
      <c r="I279" t="str">
        <f>VLOOKUP(order_details[[#This Row],[OrderID]], orders[[OrderID]:[ShipCountry]], 14, FALSE)</f>
        <v>Austria</v>
      </c>
      <c r="J279" s="1">
        <f>_xlfn.XLOOKUP(order_details[[#This Row],[OrderID]], orders[OrderID], orders[Month])</f>
        <v>12</v>
      </c>
    </row>
    <row r="280" spans="1:10" x14ac:dyDescent="0.35">
      <c r="A280">
        <v>10352</v>
      </c>
      <c r="B280">
        <v>24</v>
      </c>
      <c r="C280">
        <v>3.6</v>
      </c>
      <c r="D280">
        <v>10</v>
      </c>
      <c r="E280">
        <v>0</v>
      </c>
      <c r="F280">
        <v>36</v>
      </c>
      <c r="G280" t="str">
        <f>VLOOKUP(VLOOKUP(order_details[[#This Row],[ProductID]], products[], 4, FALSE), categories[], 2, FALSE)</f>
        <v>Beverages</v>
      </c>
      <c r="H280">
        <f>VLOOKUP(order_details[[#This Row],[ProductID]], products[], 4, FALSE)</f>
        <v>1</v>
      </c>
      <c r="I280" t="str">
        <f>VLOOKUP(order_details[[#This Row],[OrderID]], orders[[OrderID]:[ShipCountry]], 14, FALSE)</f>
        <v>Portugal</v>
      </c>
      <c r="J280" s="1">
        <f>_xlfn.XLOOKUP(order_details[[#This Row],[OrderID]], orders[OrderID], orders[Month])</f>
        <v>12</v>
      </c>
    </row>
    <row r="281" spans="1:10" x14ac:dyDescent="0.35">
      <c r="A281">
        <v>10352</v>
      </c>
      <c r="B281">
        <v>54</v>
      </c>
      <c r="C281">
        <v>5.9</v>
      </c>
      <c r="D281">
        <v>20</v>
      </c>
      <c r="E281">
        <v>0.15</v>
      </c>
      <c r="F281">
        <v>100.3</v>
      </c>
      <c r="G281" t="str">
        <f>VLOOKUP(VLOOKUP(order_details[[#This Row],[ProductID]], products[], 4, FALSE), categories[], 2, FALSE)</f>
        <v>Meat/Poultry</v>
      </c>
      <c r="H281">
        <f>VLOOKUP(order_details[[#This Row],[ProductID]], products[], 4, FALSE)</f>
        <v>6</v>
      </c>
      <c r="I281" t="str">
        <f>VLOOKUP(order_details[[#This Row],[OrderID]], orders[[OrderID]:[ShipCountry]], 14, FALSE)</f>
        <v>Portugal</v>
      </c>
      <c r="J281" s="1">
        <f>_xlfn.XLOOKUP(order_details[[#This Row],[OrderID]], orders[OrderID], orders[Month])</f>
        <v>12</v>
      </c>
    </row>
    <row r="282" spans="1:10" x14ac:dyDescent="0.35">
      <c r="A282">
        <v>10353</v>
      </c>
      <c r="B282">
        <v>11</v>
      </c>
      <c r="C282">
        <v>16.8</v>
      </c>
      <c r="D282">
        <v>12</v>
      </c>
      <c r="E282">
        <v>0.2</v>
      </c>
      <c r="F282">
        <v>161.28000000000003</v>
      </c>
      <c r="G282" t="str">
        <f>VLOOKUP(VLOOKUP(order_details[[#This Row],[ProductID]], products[], 4, FALSE), categories[], 2, FALSE)</f>
        <v>Dairy Products</v>
      </c>
      <c r="H282">
        <f>VLOOKUP(order_details[[#This Row],[ProductID]], products[], 4, FALSE)</f>
        <v>4</v>
      </c>
      <c r="I282" t="str">
        <f>VLOOKUP(order_details[[#This Row],[OrderID]], orders[[OrderID]:[ShipCountry]], 14, FALSE)</f>
        <v>Austria</v>
      </c>
      <c r="J282" s="1">
        <f>_xlfn.XLOOKUP(order_details[[#This Row],[OrderID]], orders[OrderID], orders[Month])</f>
        <v>12</v>
      </c>
    </row>
    <row r="283" spans="1:10" x14ac:dyDescent="0.35">
      <c r="A283">
        <v>10353</v>
      </c>
      <c r="B283">
        <v>38</v>
      </c>
      <c r="C283">
        <v>210.8</v>
      </c>
      <c r="D283">
        <v>50</v>
      </c>
      <c r="E283">
        <v>0.2</v>
      </c>
      <c r="F283">
        <v>8432</v>
      </c>
      <c r="G283" t="str">
        <f>VLOOKUP(VLOOKUP(order_details[[#This Row],[ProductID]], products[], 4, FALSE), categories[], 2, FALSE)</f>
        <v>Beverages</v>
      </c>
      <c r="H283">
        <f>VLOOKUP(order_details[[#This Row],[ProductID]], products[], 4, FALSE)</f>
        <v>1</v>
      </c>
      <c r="I283" t="str">
        <f>VLOOKUP(order_details[[#This Row],[OrderID]], orders[[OrderID]:[ShipCountry]], 14, FALSE)</f>
        <v>Austria</v>
      </c>
      <c r="J283" s="1">
        <f>_xlfn.XLOOKUP(order_details[[#This Row],[OrderID]], orders[OrderID], orders[Month])</f>
        <v>12</v>
      </c>
    </row>
    <row r="284" spans="1:10" x14ac:dyDescent="0.35">
      <c r="A284">
        <v>10354</v>
      </c>
      <c r="B284">
        <v>1</v>
      </c>
      <c r="C284">
        <v>14.4</v>
      </c>
      <c r="D284">
        <v>12</v>
      </c>
      <c r="E284">
        <v>0</v>
      </c>
      <c r="F284">
        <v>172.8</v>
      </c>
      <c r="G284" t="str">
        <f>VLOOKUP(VLOOKUP(order_details[[#This Row],[ProductID]], products[], 4, FALSE), categories[], 2, FALSE)</f>
        <v>Beverages</v>
      </c>
      <c r="H284">
        <f>VLOOKUP(order_details[[#This Row],[ProductID]], products[], 4, FALSE)</f>
        <v>1</v>
      </c>
      <c r="I284" t="str">
        <f>VLOOKUP(order_details[[#This Row],[OrderID]], orders[[OrderID]:[ShipCountry]], 14, FALSE)</f>
        <v>Mexico</v>
      </c>
      <c r="J284" s="1">
        <f>_xlfn.XLOOKUP(order_details[[#This Row],[OrderID]], orders[OrderID], orders[Month])</f>
        <v>12</v>
      </c>
    </row>
    <row r="285" spans="1:10" x14ac:dyDescent="0.35">
      <c r="A285">
        <v>10354</v>
      </c>
      <c r="B285">
        <v>29</v>
      </c>
      <c r="C285">
        <v>99</v>
      </c>
      <c r="D285">
        <v>4</v>
      </c>
      <c r="E285">
        <v>0</v>
      </c>
      <c r="F285">
        <v>396</v>
      </c>
      <c r="G285" t="str">
        <f>VLOOKUP(VLOOKUP(order_details[[#This Row],[ProductID]], products[], 4, FALSE), categories[], 2, FALSE)</f>
        <v>Meat/Poultry</v>
      </c>
      <c r="H285">
        <f>VLOOKUP(order_details[[#This Row],[ProductID]], products[], 4, FALSE)</f>
        <v>6</v>
      </c>
      <c r="I285" t="str">
        <f>VLOOKUP(order_details[[#This Row],[OrderID]], orders[[OrderID]:[ShipCountry]], 14, FALSE)</f>
        <v>Mexico</v>
      </c>
      <c r="J285" s="1">
        <f>_xlfn.XLOOKUP(order_details[[#This Row],[OrderID]], orders[OrderID], orders[Month])</f>
        <v>12</v>
      </c>
    </row>
    <row r="286" spans="1:10" x14ac:dyDescent="0.35">
      <c r="A286">
        <v>10355</v>
      </c>
      <c r="B286">
        <v>24</v>
      </c>
      <c r="C286">
        <v>3.6</v>
      </c>
      <c r="D286">
        <v>25</v>
      </c>
      <c r="E286">
        <v>0</v>
      </c>
      <c r="F286">
        <v>90</v>
      </c>
      <c r="G286" t="str">
        <f>VLOOKUP(VLOOKUP(order_details[[#This Row],[ProductID]], products[], 4, FALSE), categories[], 2, FALSE)</f>
        <v>Beverages</v>
      </c>
      <c r="H286">
        <f>VLOOKUP(order_details[[#This Row],[ProductID]], products[], 4, FALSE)</f>
        <v>1</v>
      </c>
      <c r="I286" t="str">
        <f>VLOOKUP(order_details[[#This Row],[OrderID]], orders[[OrderID]:[ShipCountry]], 14, FALSE)</f>
        <v>UK</v>
      </c>
      <c r="J286" s="1">
        <f>_xlfn.XLOOKUP(order_details[[#This Row],[OrderID]], orders[OrderID], orders[Month])</f>
        <v>12</v>
      </c>
    </row>
    <row r="287" spans="1:10" x14ac:dyDescent="0.35">
      <c r="A287">
        <v>10355</v>
      </c>
      <c r="B287">
        <v>57</v>
      </c>
      <c r="C287">
        <v>15.6</v>
      </c>
      <c r="D287">
        <v>25</v>
      </c>
      <c r="E287">
        <v>0</v>
      </c>
      <c r="F287">
        <v>390</v>
      </c>
      <c r="G287" t="str">
        <f>VLOOKUP(VLOOKUP(order_details[[#This Row],[ProductID]], products[], 4, FALSE), categories[], 2, FALSE)</f>
        <v>Grains/Cereals</v>
      </c>
      <c r="H287">
        <f>VLOOKUP(order_details[[#This Row],[ProductID]], products[], 4, FALSE)</f>
        <v>5</v>
      </c>
      <c r="I287" t="str">
        <f>VLOOKUP(order_details[[#This Row],[OrderID]], orders[[OrderID]:[ShipCountry]], 14, FALSE)</f>
        <v>UK</v>
      </c>
      <c r="J287" s="1">
        <f>_xlfn.XLOOKUP(order_details[[#This Row],[OrderID]], orders[OrderID], orders[Month])</f>
        <v>12</v>
      </c>
    </row>
    <row r="288" spans="1:10" x14ac:dyDescent="0.35">
      <c r="A288">
        <v>10356</v>
      </c>
      <c r="B288">
        <v>31</v>
      </c>
      <c r="C288">
        <v>10</v>
      </c>
      <c r="D288">
        <v>30</v>
      </c>
      <c r="E288">
        <v>0</v>
      </c>
      <c r="F288">
        <v>300</v>
      </c>
      <c r="G288" t="str">
        <f>VLOOKUP(VLOOKUP(order_details[[#This Row],[ProductID]], products[], 4, FALSE), categories[], 2, FALSE)</f>
        <v>Dairy Products</v>
      </c>
      <c r="H288">
        <f>VLOOKUP(order_details[[#This Row],[ProductID]], products[], 4, FALSE)</f>
        <v>4</v>
      </c>
      <c r="I288" t="str">
        <f>VLOOKUP(order_details[[#This Row],[OrderID]], orders[[OrderID]:[ShipCountry]], 14, FALSE)</f>
        <v>Germany</v>
      </c>
      <c r="J288" s="1">
        <f>_xlfn.XLOOKUP(order_details[[#This Row],[OrderID]], orders[OrderID], orders[Month])</f>
        <v>12</v>
      </c>
    </row>
    <row r="289" spans="1:10" x14ac:dyDescent="0.35">
      <c r="A289">
        <v>10356</v>
      </c>
      <c r="B289">
        <v>55</v>
      </c>
      <c r="C289">
        <v>19.2</v>
      </c>
      <c r="D289">
        <v>12</v>
      </c>
      <c r="E289">
        <v>0</v>
      </c>
      <c r="F289">
        <v>230.39999999999998</v>
      </c>
      <c r="G289" t="str">
        <f>VLOOKUP(VLOOKUP(order_details[[#This Row],[ProductID]], products[], 4, FALSE), categories[], 2, FALSE)</f>
        <v>Meat/Poultry</v>
      </c>
      <c r="H289">
        <f>VLOOKUP(order_details[[#This Row],[ProductID]], products[], 4, FALSE)</f>
        <v>6</v>
      </c>
      <c r="I289" t="str">
        <f>VLOOKUP(order_details[[#This Row],[OrderID]], orders[[OrderID]:[ShipCountry]], 14, FALSE)</f>
        <v>Germany</v>
      </c>
      <c r="J289" s="1">
        <f>_xlfn.XLOOKUP(order_details[[#This Row],[OrderID]], orders[OrderID], orders[Month])</f>
        <v>12</v>
      </c>
    </row>
    <row r="290" spans="1:10" x14ac:dyDescent="0.35">
      <c r="A290">
        <v>10356</v>
      </c>
      <c r="B290">
        <v>69</v>
      </c>
      <c r="C290">
        <v>28.8</v>
      </c>
      <c r="D290">
        <v>20</v>
      </c>
      <c r="E290">
        <v>0</v>
      </c>
      <c r="F290">
        <v>576</v>
      </c>
      <c r="G290" t="str">
        <f>VLOOKUP(VLOOKUP(order_details[[#This Row],[ProductID]], products[], 4, FALSE), categories[], 2, FALSE)</f>
        <v>Dairy Products</v>
      </c>
      <c r="H290">
        <f>VLOOKUP(order_details[[#This Row],[ProductID]], products[], 4, FALSE)</f>
        <v>4</v>
      </c>
      <c r="I290" t="str">
        <f>VLOOKUP(order_details[[#This Row],[OrderID]], orders[[OrderID]:[ShipCountry]], 14, FALSE)</f>
        <v>Germany</v>
      </c>
      <c r="J290" s="1">
        <f>_xlfn.XLOOKUP(order_details[[#This Row],[OrderID]], orders[OrderID], orders[Month])</f>
        <v>12</v>
      </c>
    </row>
    <row r="291" spans="1:10" x14ac:dyDescent="0.35">
      <c r="A291">
        <v>10357</v>
      </c>
      <c r="B291">
        <v>10</v>
      </c>
      <c r="C291">
        <v>24.8</v>
      </c>
      <c r="D291">
        <v>30</v>
      </c>
      <c r="E291">
        <v>0.2</v>
      </c>
      <c r="F291">
        <v>595.20000000000005</v>
      </c>
      <c r="G291" t="str">
        <f>VLOOKUP(VLOOKUP(order_details[[#This Row],[ProductID]], products[], 4, FALSE), categories[], 2, FALSE)</f>
        <v>Seafood</v>
      </c>
      <c r="H291">
        <f>VLOOKUP(order_details[[#This Row],[ProductID]], products[], 4, FALSE)</f>
        <v>8</v>
      </c>
      <c r="I291" t="str">
        <f>VLOOKUP(order_details[[#This Row],[OrderID]], orders[[OrderID]:[ShipCountry]], 14, FALSE)</f>
        <v>Venezuela</v>
      </c>
      <c r="J291" s="1">
        <f>_xlfn.XLOOKUP(order_details[[#This Row],[OrderID]], orders[OrderID], orders[Month])</f>
        <v>12</v>
      </c>
    </row>
    <row r="292" spans="1:10" x14ac:dyDescent="0.35">
      <c r="A292">
        <v>10357</v>
      </c>
      <c r="B292">
        <v>26</v>
      </c>
      <c r="C292">
        <v>24.9</v>
      </c>
      <c r="D292">
        <v>16</v>
      </c>
      <c r="E292">
        <v>0</v>
      </c>
      <c r="F292">
        <v>398.4</v>
      </c>
      <c r="G292" t="str">
        <f>VLOOKUP(VLOOKUP(order_details[[#This Row],[ProductID]], products[], 4, FALSE), categories[], 2, FALSE)</f>
        <v>Confections</v>
      </c>
      <c r="H292">
        <f>VLOOKUP(order_details[[#This Row],[ProductID]], products[], 4, FALSE)</f>
        <v>3</v>
      </c>
      <c r="I292" t="str">
        <f>VLOOKUP(order_details[[#This Row],[OrderID]], orders[[OrderID]:[ShipCountry]], 14, FALSE)</f>
        <v>Venezuela</v>
      </c>
      <c r="J292" s="1">
        <f>_xlfn.XLOOKUP(order_details[[#This Row],[OrderID]], orders[OrderID], orders[Month])</f>
        <v>12</v>
      </c>
    </row>
    <row r="293" spans="1:10" x14ac:dyDescent="0.35">
      <c r="A293">
        <v>10357</v>
      </c>
      <c r="B293">
        <v>60</v>
      </c>
      <c r="C293">
        <v>27.2</v>
      </c>
      <c r="D293">
        <v>8</v>
      </c>
      <c r="E293">
        <v>0.2</v>
      </c>
      <c r="F293">
        <v>174.08</v>
      </c>
      <c r="G293" t="str">
        <f>VLOOKUP(VLOOKUP(order_details[[#This Row],[ProductID]], products[], 4, FALSE), categories[], 2, FALSE)</f>
        <v>Dairy Products</v>
      </c>
      <c r="H293">
        <f>VLOOKUP(order_details[[#This Row],[ProductID]], products[], 4, FALSE)</f>
        <v>4</v>
      </c>
      <c r="I293" t="str">
        <f>VLOOKUP(order_details[[#This Row],[OrderID]], orders[[OrderID]:[ShipCountry]], 14, FALSE)</f>
        <v>Venezuela</v>
      </c>
      <c r="J293" s="1">
        <f>_xlfn.XLOOKUP(order_details[[#This Row],[OrderID]], orders[OrderID], orders[Month])</f>
        <v>12</v>
      </c>
    </row>
    <row r="294" spans="1:10" x14ac:dyDescent="0.35">
      <c r="A294">
        <v>10358</v>
      </c>
      <c r="B294">
        <v>24</v>
      </c>
      <c r="C294">
        <v>3.6</v>
      </c>
      <c r="D294">
        <v>10</v>
      </c>
      <c r="E294">
        <v>0.05</v>
      </c>
      <c r="F294">
        <v>34.199999999999996</v>
      </c>
      <c r="G294" t="str">
        <f>VLOOKUP(VLOOKUP(order_details[[#This Row],[ProductID]], products[], 4, FALSE), categories[], 2, FALSE)</f>
        <v>Beverages</v>
      </c>
      <c r="H294">
        <f>VLOOKUP(order_details[[#This Row],[ProductID]], products[], 4, FALSE)</f>
        <v>1</v>
      </c>
      <c r="I294" t="str">
        <f>VLOOKUP(order_details[[#This Row],[OrderID]], orders[[OrderID]:[ShipCountry]], 14, FALSE)</f>
        <v>France</v>
      </c>
      <c r="J294" s="1">
        <f>_xlfn.XLOOKUP(order_details[[#This Row],[OrderID]], orders[OrderID], orders[Month])</f>
        <v>12</v>
      </c>
    </row>
    <row r="295" spans="1:10" x14ac:dyDescent="0.35">
      <c r="A295">
        <v>10358</v>
      </c>
      <c r="B295">
        <v>34</v>
      </c>
      <c r="C295">
        <v>11.2</v>
      </c>
      <c r="D295">
        <v>10</v>
      </c>
      <c r="E295">
        <v>0.05</v>
      </c>
      <c r="F295">
        <v>106.39999999999999</v>
      </c>
      <c r="G295" t="str">
        <f>VLOOKUP(VLOOKUP(order_details[[#This Row],[ProductID]], products[], 4, FALSE), categories[], 2, FALSE)</f>
        <v>Beverages</v>
      </c>
      <c r="H295">
        <f>VLOOKUP(order_details[[#This Row],[ProductID]], products[], 4, FALSE)</f>
        <v>1</v>
      </c>
      <c r="I295" t="str">
        <f>VLOOKUP(order_details[[#This Row],[OrderID]], orders[[OrderID]:[ShipCountry]], 14, FALSE)</f>
        <v>France</v>
      </c>
      <c r="J295" s="1">
        <f>_xlfn.XLOOKUP(order_details[[#This Row],[OrderID]], orders[OrderID], orders[Month])</f>
        <v>12</v>
      </c>
    </row>
    <row r="296" spans="1:10" x14ac:dyDescent="0.35">
      <c r="A296">
        <v>10358</v>
      </c>
      <c r="B296">
        <v>36</v>
      </c>
      <c r="C296">
        <v>15.2</v>
      </c>
      <c r="D296">
        <v>20</v>
      </c>
      <c r="E296">
        <v>0.05</v>
      </c>
      <c r="F296">
        <v>288.8</v>
      </c>
      <c r="G296" t="str">
        <f>VLOOKUP(VLOOKUP(order_details[[#This Row],[ProductID]], products[], 4, FALSE), categories[], 2, FALSE)</f>
        <v>Seafood</v>
      </c>
      <c r="H296">
        <f>VLOOKUP(order_details[[#This Row],[ProductID]], products[], 4, FALSE)</f>
        <v>8</v>
      </c>
      <c r="I296" t="str">
        <f>VLOOKUP(order_details[[#This Row],[OrderID]], orders[[OrderID]:[ShipCountry]], 14, FALSE)</f>
        <v>France</v>
      </c>
      <c r="J296" s="1">
        <f>_xlfn.XLOOKUP(order_details[[#This Row],[OrderID]], orders[OrderID], orders[Month])</f>
        <v>12</v>
      </c>
    </row>
    <row r="297" spans="1:10" x14ac:dyDescent="0.35">
      <c r="A297">
        <v>10359</v>
      </c>
      <c r="B297">
        <v>16</v>
      </c>
      <c r="C297">
        <v>13.9</v>
      </c>
      <c r="D297">
        <v>56</v>
      </c>
      <c r="E297">
        <v>0.05</v>
      </c>
      <c r="F297">
        <v>739.4799999999999</v>
      </c>
      <c r="G297" t="str">
        <f>VLOOKUP(VLOOKUP(order_details[[#This Row],[ProductID]], products[], 4, FALSE), categories[], 2, FALSE)</f>
        <v>Confections</v>
      </c>
      <c r="H297">
        <f>VLOOKUP(order_details[[#This Row],[ProductID]], products[], 4, FALSE)</f>
        <v>3</v>
      </c>
      <c r="I297" t="str">
        <f>VLOOKUP(order_details[[#This Row],[OrderID]], orders[[OrderID]:[ShipCountry]], 14, FALSE)</f>
        <v>UK</v>
      </c>
      <c r="J297" s="1">
        <f>_xlfn.XLOOKUP(order_details[[#This Row],[OrderID]], orders[OrderID], orders[Month])</f>
        <v>12</v>
      </c>
    </row>
    <row r="298" spans="1:10" x14ac:dyDescent="0.35">
      <c r="A298">
        <v>10359</v>
      </c>
      <c r="B298">
        <v>31</v>
      </c>
      <c r="C298">
        <v>10</v>
      </c>
      <c r="D298">
        <v>70</v>
      </c>
      <c r="E298">
        <v>0.05</v>
      </c>
      <c r="F298">
        <v>665</v>
      </c>
      <c r="G298" t="str">
        <f>VLOOKUP(VLOOKUP(order_details[[#This Row],[ProductID]], products[], 4, FALSE), categories[], 2, FALSE)</f>
        <v>Dairy Products</v>
      </c>
      <c r="H298">
        <f>VLOOKUP(order_details[[#This Row],[ProductID]], products[], 4, FALSE)</f>
        <v>4</v>
      </c>
      <c r="I298" t="str">
        <f>VLOOKUP(order_details[[#This Row],[OrderID]], orders[[OrderID]:[ShipCountry]], 14, FALSE)</f>
        <v>UK</v>
      </c>
      <c r="J298" s="1">
        <f>_xlfn.XLOOKUP(order_details[[#This Row],[OrderID]], orders[OrderID], orders[Month])</f>
        <v>12</v>
      </c>
    </row>
    <row r="299" spans="1:10" x14ac:dyDescent="0.35">
      <c r="A299">
        <v>10359</v>
      </c>
      <c r="B299">
        <v>60</v>
      </c>
      <c r="C299">
        <v>27.2</v>
      </c>
      <c r="D299">
        <v>80</v>
      </c>
      <c r="E299">
        <v>0.05</v>
      </c>
      <c r="F299">
        <v>2067.1999999999998</v>
      </c>
      <c r="G299" t="str">
        <f>VLOOKUP(VLOOKUP(order_details[[#This Row],[ProductID]], products[], 4, FALSE), categories[], 2, FALSE)</f>
        <v>Dairy Products</v>
      </c>
      <c r="H299">
        <f>VLOOKUP(order_details[[#This Row],[ProductID]], products[], 4, FALSE)</f>
        <v>4</v>
      </c>
      <c r="I299" t="str">
        <f>VLOOKUP(order_details[[#This Row],[OrderID]], orders[[OrderID]:[ShipCountry]], 14, FALSE)</f>
        <v>UK</v>
      </c>
      <c r="J299" s="1">
        <f>_xlfn.XLOOKUP(order_details[[#This Row],[OrderID]], orders[OrderID], orders[Month])</f>
        <v>12</v>
      </c>
    </row>
    <row r="300" spans="1:10" x14ac:dyDescent="0.35">
      <c r="A300">
        <v>10360</v>
      </c>
      <c r="B300">
        <v>28</v>
      </c>
      <c r="C300">
        <v>36.4</v>
      </c>
      <c r="D300">
        <v>30</v>
      </c>
      <c r="E300">
        <v>0</v>
      </c>
      <c r="F300">
        <v>1092</v>
      </c>
      <c r="G300" t="str">
        <f>VLOOKUP(VLOOKUP(order_details[[#This Row],[ProductID]], products[], 4, FALSE), categories[], 2, FALSE)</f>
        <v>Produce</v>
      </c>
      <c r="H300">
        <f>VLOOKUP(order_details[[#This Row],[ProductID]], products[], 4, FALSE)</f>
        <v>7</v>
      </c>
      <c r="I300" t="str">
        <f>VLOOKUP(order_details[[#This Row],[OrderID]], orders[[OrderID]:[ShipCountry]], 14, FALSE)</f>
        <v>France</v>
      </c>
      <c r="J300" s="1">
        <f>_xlfn.XLOOKUP(order_details[[#This Row],[OrderID]], orders[OrderID], orders[Month])</f>
        <v>12</v>
      </c>
    </row>
    <row r="301" spans="1:10" x14ac:dyDescent="0.35">
      <c r="A301">
        <v>10360</v>
      </c>
      <c r="B301">
        <v>29</v>
      </c>
      <c r="C301">
        <v>99</v>
      </c>
      <c r="D301">
        <v>35</v>
      </c>
      <c r="E301">
        <v>0</v>
      </c>
      <c r="F301">
        <v>3465</v>
      </c>
      <c r="G301" t="str">
        <f>VLOOKUP(VLOOKUP(order_details[[#This Row],[ProductID]], products[], 4, FALSE), categories[], 2, FALSE)</f>
        <v>Meat/Poultry</v>
      </c>
      <c r="H301">
        <f>VLOOKUP(order_details[[#This Row],[ProductID]], products[], 4, FALSE)</f>
        <v>6</v>
      </c>
      <c r="I301" t="str">
        <f>VLOOKUP(order_details[[#This Row],[OrderID]], orders[[OrderID]:[ShipCountry]], 14, FALSE)</f>
        <v>France</v>
      </c>
      <c r="J301" s="1">
        <f>_xlfn.XLOOKUP(order_details[[#This Row],[OrderID]], orders[OrderID], orders[Month])</f>
        <v>12</v>
      </c>
    </row>
    <row r="302" spans="1:10" x14ac:dyDescent="0.35">
      <c r="A302">
        <v>10360</v>
      </c>
      <c r="B302">
        <v>38</v>
      </c>
      <c r="C302">
        <v>210.8</v>
      </c>
      <c r="D302">
        <v>10</v>
      </c>
      <c r="E302">
        <v>0</v>
      </c>
      <c r="F302">
        <v>2108</v>
      </c>
      <c r="G302" t="str">
        <f>VLOOKUP(VLOOKUP(order_details[[#This Row],[ProductID]], products[], 4, FALSE), categories[], 2, FALSE)</f>
        <v>Beverages</v>
      </c>
      <c r="H302">
        <f>VLOOKUP(order_details[[#This Row],[ProductID]], products[], 4, FALSE)</f>
        <v>1</v>
      </c>
      <c r="I302" t="str">
        <f>VLOOKUP(order_details[[#This Row],[OrderID]], orders[[OrderID]:[ShipCountry]], 14, FALSE)</f>
        <v>France</v>
      </c>
      <c r="J302" s="1">
        <f>_xlfn.XLOOKUP(order_details[[#This Row],[OrderID]], orders[OrderID], orders[Month])</f>
        <v>12</v>
      </c>
    </row>
    <row r="303" spans="1:10" x14ac:dyDescent="0.35">
      <c r="A303">
        <v>10360</v>
      </c>
      <c r="B303">
        <v>49</v>
      </c>
      <c r="C303">
        <v>16</v>
      </c>
      <c r="D303">
        <v>35</v>
      </c>
      <c r="E303">
        <v>0</v>
      </c>
      <c r="F303">
        <v>560</v>
      </c>
      <c r="G303" t="str">
        <f>VLOOKUP(VLOOKUP(order_details[[#This Row],[ProductID]], products[], 4, FALSE), categories[], 2, FALSE)</f>
        <v>Confections</v>
      </c>
      <c r="H303">
        <f>VLOOKUP(order_details[[#This Row],[ProductID]], products[], 4, FALSE)</f>
        <v>3</v>
      </c>
      <c r="I303" t="str">
        <f>VLOOKUP(order_details[[#This Row],[OrderID]], orders[[OrderID]:[ShipCountry]], 14, FALSE)</f>
        <v>France</v>
      </c>
      <c r="J303" s="1">
        <f>_xlfn.XLOOKUP(order_details[[#This Row],[OrderID]], orders[OrderID], orders[Month])</f>
        <v>12</v>
      </c>
    </row>
    <row r="304" spans="1:10" x14ac:dyDescent="0.35">
      <c r="A304">
        <v>10360</v>
      </c>
      <c r="B304">
        <v>54</v>
      </c>
      <c r="C304">
        <v>5.9</v>
      </c>
      <c r="D304">
        <v>28</v>
      </c>
      <c r="E304">
        <v>0</v>
      </c>
      <c r="F304">
        <v>165.20000000000002</v>
      </c>
      <c r="G304" t="str">
        <f>VLOOKUP(VLOOKUP(order_details[[#This Row],[ProductID]], products[], 4, FALSE), categories[], 2, FALSE)</f>
        <v>Meat/Poultry</v>
      </c>
      <c r="H304">
        <f>VLOOKUP(order_details[[#This Row],[ProductID]], products[], 4, FALSE)</f>
        <v>6</v>
      </c>
      <c r="I304" t="str">
        <f>VLOOKUP(order_details[[#This Row],[OrderID]], orders[[OrderID]:[ShipCountry]], 14, FALSE)</f>
        <v>France</v>
      </c>
      <c r="J304" s="1">
        <f>_xlfn.XLOOKUP(order_details[[#This Row],[OrderID]], orders[OrderID], orders[Month])</f>
        <v>12</v>
      </c>
    </row>
    <row r="305" spans="1:10" x14ac:dyDescent="0.35">
      <c r="A305">
        <v>10361</v>
      </c>
      <c r="B305">
        <v>39</v>
      </c>
      <c r="C305">
        <v>14.4</v>
      </c>
      <c r="D305">
        <v>54</v>
      </c>
      <c r="E305">
        <v>0.1</v>
      </c>
      <c r="F305">
        <v>699.84</v>
      </c>
      <c r="G305" t="str">
        <f>VLOOKUP(VLOOKUP(order_details[[#This Row],[ProductID]], products[], 4, FALSE), categories[], 2, FALSE)</f>
        <v>Beverages</v>
      </c>
      <c r="H305">
        <f>VLOOKUP(order_details[[#This Row],[ProductID]], products[], 4, FALSE)</f>
        <v>1</v>
      </c>
      <c r="I305" t="str">
        <f>VLOOKUP(order_details[[#This Row],[OrderID]], orders[[OrderID]:[ShipCountry]], 14, FALSE)</f>
        <v>Germany</v>
      </c>
      <c r="J305" s="1">
        <f>_xlfn.XLOOKUP(order_details[[#This Row],[OrderID]], orders[OrderID], orders[Month])</f>
        <v>12</v>
      </c>
    </row>
    <row r="306" spans="1:10" x14ac:dyDescent="0.35">
      <c r="A306">
        <v>10361</v>
      </c>
      <c r="B306">
        <v>60</v>
      </c>
      <c r="C306">
        <v>27.2</v>
      </c>
      <c r="D306">
        <v>55</v>
      </c>
      <c r="E306">
        <v>0.1</v>
      </c>
      <c r="F306">
        <v>1346.4</v>
      </c>
      <c r="G306" t="str">
        <f>VLOOKUP(VLOOKUP(order_details[[#This Row],[ProductID]], products[], 4, FALSE), categories[], 2, FALSE)</f>
        <v>Dairy Products</v>
      </c>
      <c r="H306">
        <f>VLOOKUP(order_details[[#This Row],[ProductID]], products[], 4, FALSE)</f>
        <v>4</v>
      </c>
      <c r="I306" t="str">
        <f>VLOOKUP(order_details[[#This Row],[OrderID]], orders[[OrderID]:[ShipCountry]], 14, FALSE)</f>
        <v>Germany</v>
      </c>
      <c r="J306" s="1">
        <f>_xlfn.XLOOKUP(order_details[[#This Row],[OrderID]], orders[OrderID], orders[Month])</f>
        <v>12</v>
      </c>
    </row>
    <row r="307" spans="1:10" x14ac:dyDescent="0.35">
      <c r="A307">
        <v>10362</v>
      </c>
      <c r="B307">
        <v>25</v>
      </c>
      <c r="C307">
        <v>11.2</v>
      </c>
      <c r="D307">
        <v>50</v>
      </c>
      <c r="E307">
        <v>0</v>
      </c>
      <c r="F307">
        <v>560</v>
      </c>
      <c r="G307" t="str">
        <f>VLOOKUP(VLOOKUP(order_details[[#This Row],[ProductID]], products[], 4, FALSE), categories[], 2, FALSE)</f>
        <v>Confections</v>
      </c>
      <c r="H307">
        <f>VLOOKUP(order_details[[#This Row],[ProductID]], products[], 4, FALSE)</f>
        <v>3</v>
      </c>
      <c r="I307" t="str">
        <f>VLOOKUP(order_details[[#This Row],[OrderID]], orders[[OrderID]:[ShipCountry]], 14, FALSE)</f>
        <v>France</v>
      </c>
      <c r="J307" s="1">
        <f>_xlfn.XLOOKUP(order_details[[#This Row],[OrderID]], orders[OrderID], orders[Month])</f>
        <v>12</v>
      </c>
    </row>
    <row r="308" spans="1:10" x14ac:dyDescent="0.35">
      <c r="A308">
        <v>10362</v>
      </c>
      <c r="B308">
        <v>51</v>
      </c>
      <c r="C308">
        <v>42.4</v>
      </c>
      <c r="D308">
        <v>20</v>
      </c>
      <c r="E308">
        <v>0</v>
      </c>
      <c r="F308">
        <v>848</v>
      </c>
      <c r="G308" t="str">
        <f>VLOOKUP(VLOOKUP(order_details[[#This Row],[ProductID]], products[], 4, FALSE), categories[], 2, FALSE)</f>
        <v>Produce</v>
      </c>
      <c r="H308">
        <f>VLOOKUP(order_details[[#This Row],[ProductID]], products[], 4, FALSE)</f>
        <v>7</v>
      </c>
      <c r="I308" t="str">
        <f>VLOOKUP(order_details[[#This Row],[OrderID]], orders[[OrderID]:[ShipCountry]], 14, FALSE)</f>
        <v>France</v>
      </c>
      <c r="J308" s="1">
        <f>_xlfn.XLOOKUP(order_details[[#This Row],[OrderID]], orders[OrderID], orders[Month])</f>
        <v>12</v>
      </c>
    </row>
    <row r="309" spans="1:10" x14ac:dyDescent="0.35">
      <c r="A309">
        <v>10362</v>
      </c>
      <c r="B309">
        <v>54</v>
      </c>
      <c r="C309">
        <v>5.9</v>
      </c>
      <c r="D309">
        <v>24</v>
      </c>
      <c r="E309">
        <v>0</v>
      </c>
      <c r="F309">
        <v>141.60000000000002</v>
      </c>
      <c r="G309" t="str">
        <f>VLOOKUP(VLOOKUP(order_details[[#This Row],[ProductID]], products[], 4, FALSE), categories[], 2, FALSE)</f>
        <v>Meat/Poultry</v>
      </c>
      <c r="H309">
        <f>VLOOKUP(order_details[[#This Row],[ProductID]], products[], 4, FALSE)</f>
        <v>6</v>
      </c>
      <c r="I309" t="str">
        <f>VLOOKUP(order_details[[#This Row],[OrderID]], orders[[OrderID]:[ShipCountry]], 14, FALSE)</f>
        <v>France</v>
      </c>
      <c r="J309" s="1">
        <f>_xlfn.XLOOKUP(order_details[[#This Row],[OrderID]], orders[OrderID], orders[Month])</f>
        <v>12</v>
      </c>
    </row>
    <row r="310" spans="1:10" x14ac:dyDescent="0.35">
      <c r="A310">
        <v>10363</v>
      </c>
      <c r="B310">
        <v>31</v>
      </c>
      <c r="C310">
        <v>10</v>
      </c>
      <c r="D310">
        <v>20</v>
      </c>
      <c r="E310">
        <v>0</v>
      </c>
      <c r="F310">
        <v>200</v>
      </c>
      <c r="G310" t="str">
        <f>VLOOKUP(VLOOKUP(order_details[[#This Row],[ProductID]], products[], 4, FALSE), categories[], 2, FALSE)</f>
        <v>Dairy Products</v>
      </c>
      <c r="H310">
        <f>VLOOKUP(order_details[[#This Row],[ProductID]], products[], 4, FALSE)</f>
        <v>4</v>
      </c>
      <c r="I310" t="str">
        <f>VLOOKUP(order_details[[#This Row],[OrderID]], orders[[OrderID]:[ShipCountry]], 14, FALSE)</f>
        <v>Germany</v>
      </c>
      <c r="J310" s="1">
        <f>_xlfn.XLOOKUP(order_details[[#This Row],[OrderID]], orders[OrderID], orders[Month])</f>
        <v>12</v>
      </c>
    </row>
    <row r="311" spans="1:10" x14ac:dyDescent="0.35">
      <c r="A311">
        <v>10363</v>
      </c>
      <c r="B311">
        <v>75</v>
      </c>
      <c r="C311">
        <v>6.2</v>
      </c>
      <c r="D311">
        <v>12</v>
      </c>
      <c r="E311">
        <v>0</v>
      </c>
      <c r="F311">
        <v>74.400000000000006</v>
      </c>
      <c r="G311" t="str">
        <f>VLOOKUP(VLOOKUP(order_details[[#This Row],[ProductID]], products[], 4, FALSE), categories[], 2, FALSE)</f>
        <v>Beverages</v>
      </c>
      <c r="H311">
        <f>VLOOKUP(order_details[[#This Row],[ProductID]], products[], 4, FALSE)</f>
        <v>1</v>
      </c>
      <c r="I311" t="str">
        <f>VLOOKUP(order_details[[#This Row],[OrderID]], orders[[OrderID]:[ShipCountry]], 14, FALSE)</f>
        <v>Germany</v>
      </c>
      <c r="J311" s="1">
        <f>_xlfn.XLOOKUP(order_details[[#This Row],[OrderID]], orders[OrderID], orders[Month])</f>
        <v>12</v>
      </c>
    </row>
    <row r="312" spans="1:10" x14ac:dyDescent="0.35">
      <c r="A312">
        <v>10363</v>
      </c>
      <c r="B312">
        <v>76</v>
      </c>
      <c r="C312">
        <v>14.4</v>
      </c>
      <c r="D312">
        <v>12</v>
      </c>
      <c r="E312">
        <v>0</v>
      </c>
      <c r="F312">
        <v>172.8</v>
      </c>
      <c r="G312" t="str">
        <f>VLOOKUP(VLOOKUP(order_details[[#This Row],[ProductID]], products[], 4, FALSE), categories[], 2, FALSE)</f>
        <v>Beverages</v>
      </c>
      <c r="H312">
        <f>VLOOKUP(order_details[[#This Row],[ProductID]], products[], 4, FALSE)</f>
        <v>1</v>
      </c>
      <c r="I312" t="str">
        <f>VLOOKUP(order_details[[#This Row],[OrderID]], orders[[OrderID]:[ShipCountry]], 14, FALSE)</f>
        <v>Germany</v>
      </c>
      <c r="J312" s="1">
        <f>_xlfn.XLOOKUP(order_details[[#This Row],[OrderID]], orders[OrderID], orders[Month])</f>
        <v>12</v>
      </c>
    </row>
    <row r="313" spans="1:10" x14ac:dyDescent="0.35">
      <c r="A313">
        <v>10364</v>
      </c>
      <c r="B313">
        <v>69</v>
      </c>
      <c r="C313">
        <v>28.8</v>
      </c>
      <c r="D313">
        <v>30</v>
      </c>
      <c r="E313">
        <v>0</v>
      </c>
      <c r="F313">
        <v>864</v>
      </c>
      <c r="G313" t="str">
        <f>VLOOKUP(VLOOKUP(order_details[[#This Row],[ProductID]], products[], 4, FALSE), categories[], 2, FALSE)</f>
        <v>Dairy Products</v>
      </c>
      <c r="H313">
        <f>VLOOKUP(order_details[[#This Row],[ProductID]], products[], 4, FALSE)</f>
        <v>4</v>
      </c>
      <c r="I313" t="str">
        <f>VLOOKUP(order_details[[#This Row],[OrderID]], orders[[OrderID]:[ShipCountry]], 14, FALSE)</f>
        <v>UK</v>
      </c>
      <c r="J313" s="1">
        <f>_xlfn.XLOOKUP(order_details[[#This Row],[OrderID]], orders[OrderID], orders[Month])</f>
        <v>12</v>
      </c>
    </row>
    <row r="314" spans="1:10" x14ac:dyDescent="0.35">
      <c r="A314">
        <v>10364</v>
      </c>
      <c r="B314">
        <v>71</v>
      </c>
      <c r="C314">
        <v>17.2</v>
      </c>
      <c r="D314">
        <v>5</v>
      </c>
      <c r="E314">
        <v>0</v>
      </c>
      <c r="F314">
        <v>86</v>
      </c>
      <c r="G314" t="str">
        <f>VLOOKUP(VLOOKUP(order_details[[#This Row],[ProductID]], products[], 4, FALSE), categories[], 2, FALSE)</f>
        <v>Dairy Products</v>
      </c>
      <c r="H314">
        <f>VLOOKUP(order_details[[#This Row],[ProductID]], products[], 4, FALSE)</f>
        <v>4</v>
      </c>
      <c r="I314" t="str">
        <f>VLOOKUP(order_details[[#This Row],[OrderID]], orders[[OrderID]:[ShipCountry]], 14, FALSE)</f>
        <v>UK</v>
      </c>
      <c r="J314" s="1">
        <f>_xlfn.XLOOKUP(order_details[[#This Row],[OrderID]], orders[OrderID], orders[Month])</f>
        <v>12</v>
      </c>
    </row>
    <row r="315" spans="1:10" x14ac:dyDescent="0.35">
      <c r="A315">
        <v>10365</v>
      </c>
      <c r="B315">
        <v>11</v>
      </c>
      <c r="C315">
        <v>16.8</v>
      </c>
      <c r="D315">
        <v>24</v>
      </c>
      <c r="E315">
        <v>0</v>
      </c>
      <c r="F315">
        <v>403.20000000000005</v>
      </c>
      <c r="G315" t="str">
        <f>VLOOKUP(VLOOKUP(order_details[[#This Row],[ProductID]], products[], 4, FALSE), categories[], 2, FALSE)</f>
        <v>Dairy Products</v>
      </c>
      <c r="H315">
        <f>VLOOKUP(order_details[[#This Row],[ProductID]], products[], 4, FALSE)</f>
        <v>4</v>
      </c>
      <c r="I315" t="str">
        <f>VLOOKUP(order_details[[#This Row],[OrderID]], orders[[OrderID]:[ShipCountry]], 14, FALSE)</f>
        <v>Mexico</v>
      </c>
      <c r="J315" s="1">
        <f>_xlfn.XLOOKUP(order_details[[#This Row],[OrderID]], orders[OrderID], orders[Month])</f>
        <v>12</v>
      </c>
    </row>
    <row r="316" spans="1:10" x14ac:dyDescent="0.35">
      <c r="A316">
        <v>10366</v>
      </c>
      <c r="B316">
        <v>65</v>
      </c>
      <c r="C316">
        <v>16.8</v>
      </c>
      <c r="D316">
        <v>5</v>
      </c>
      <c r="E316">
        <v>0</v>
      </c>
      <c r="F316">
        <v>84</v>
      </c>
      <c r="G316" t="str">
        <f>VLOOKUP(VLOOKUP(order_details[[#This Row],[ProductID]], products[], 4, FALSE), categories[], 2, FALSE)</f>
        <v>Condiments</v>
      </c>
      <c r="H316">
        <f>VLOOKUP(order_details[[#This Row],[ProductID]], products[], 4, FALSE)</f>
        <v>2</v>
      </c>
      <c r="I316" t="str">
        <f>VLOOKUP(order_details[[#This Row],[OrderID]], orders[[OrderID]:[ShipCountry]], 14, FALSE)</f>
        <v>Spain</v>
      </c>
      <c r="J316" s="1">
        <f>_xlfn.XLOOKUP(order_details[[#This Row],[OrderID]], orders[OrderID], orders[Month])</f>
        <v>12</v>
      </c>
    </row>
    <row r="317" spans="1:10" x14ac:dyDescent="0.35">
      <c r="A317">
        <v>10366</v>
      </c>
      <c r="B317">
        <v>77</v>
      </c>
      <c r="C317">
        <v>10.4</v>
      </c>
      <c r="D317">
        <v>5</v>
      </c>
      <c r="E317">
        <v>0</v>
      </c>
      <c r="F317">
        <v>52</v>
      </c>
      <c r="G317" t="str">
        <f>VLOOKUP(VLOOKUP(order_details[[#This Row],[ProductID]], products[], 4, FALSE), categories[], 2, FALSE)</f>
        <v>Condiments</v>
      </c>
      <c r="H317">
        <f>VLOOKUP(order_details[[#This Row],[ProductID]], products[], 4, FALSE)</f>
        <v>2</v>
      </c>
      <c r="I317" t="str">
        <f>VLOOKUP(order_details[[#This Row],[OrderID]], orders[[OrderID]:[ShipCountry]], 14, FALSE)</f>
        <v>Spain</v>
      </c>
      <c r="J317" s="1">
        <f>_xlfn.XLOOKUP(order_details[[#This Row],[OrderID]], orders[OrderID], orders[Month])</f>
        <v>12</v>
      </c>
    </row>
    <row r="318" spans="1:10" x14ac:dyDescent="0.35">
      <c r="A318">
        <v>10367</v>
      </c>
      <c r="B318">
        <v>34</v>
      </c>
      <c r="C318">
        <v>11.2</v>
      </c>
      <c r="D318">
        <v>36</v>
      </c>
      <c r="E318">
        <v>0</v>
      </c>
      <c r="F318">
        <v>403.2</v>
      </c>
      <c r="G318" t="str">
        <f>VLOOKUP(VLOOKUP(order_details[[#This Row],[ProductID]], products[], 4, FALSE), categories[], 2, FALSE)</f>
        <v>Beverages</v>
      </c>
      <c r="H318">
        <f>VLOOKUP(order_details[[#This Row],[ProductID]], products[], 4, FALSE)</f>
        <v>1</v>
      </c>
      <c r="I318" t="str">
        <f>VLOOKUP(order_details[[#This Row],[OrderID]], orders[[OrderID]:[ShipCountry]], 14, FALSE)</f>
        <v>Denmark</v>
      </c>
      <c r="J318" s="1">
        <f>_xlfn.XLOOKUP(order_details[[#This Row],[OrderID]], orders[OrderID], orders[Month])</f>
        <v>12</v>
      </c>
    </row>
    <row r="319" spans="1:10" x14ac:dyDescent="0.35">
      <c r="A319">
        <v>10367</v>
      </c>
      <c r="B319">
        <v>54</v>
      </c>
      <c r="C319">
        <v>5.9</v>
      </c>
      <c r="D319">
        <v>18</v>
      </c>
      <c r="E319">
        <v>0</v>
      </c>
      <c r="F319">
        <v>106.2</v>
      </c>
      <c r="G319" t="str">
        <f>VLOOKUP(VLOOKUP(order_details[[#This Row],[ProductID]], products[], 4, FALSE), categories[], 2, FALSE)</f>
        <v>Meat/Poultry</v>
      </c>
      <c r="H319">
        <f>VLOOKUP(order_details[[#This Row],[ProductID]], products[], 4, FALSE)</f>
        <v>6</v>
      </c>
      <c r="I319" t="str">
        <f>VLOOKUP(order_details[[#This Row],[OrderID]], orders[[OrderID]:[ShipCountry]], 14, FALSE)</f>
        <v>Denmark</v>
      </c>
      <c r="J319" s="1">
        <f>_xlfn.XLOOKUP(order_details[[#This Row],[OrderID]], orders[OrderID], orders[Month])</f>
        <v>12</v>
      </c>
    </row>
    <row r="320" spans="1:10" x14ac:dyDescent="0.35">
      <c r="A320">
        <v>10367</v>
      </c>
      <c r="B320">
        <v>65</v>
      </c>
      <c r="C320">
        <v>16.8</v>
      </c>
      <c r="D320">
        <v>15</v>
      </c>
      <c r="E320">
        <v>0</v>
      </c>
      <c r="F320">
        <v>252</v>
      </c>
      <c r="G320" t="str">
        <f>VLOOKUP(VLOOKUP(order_details[[#This Row],[ProductID]], products[], 4, FALSE), categories[], 2, FALSE)</f>
        <v>Condiments</v>
      </c>
      <c r="H320">
        <f>VLOOKUP(order_details[[#This Row],[ProductID]], products[], 4, FALSE)</f>
        <v>2</v>
      </c>
      <c r="I320" t="str">
        <f>VLOOKUP(order_details[[#This Row],[OrderID]], orders[[OrderID]:[ShipCountry]], 14, FALSE)</f>
        <v>Denmark</v>
      </c>
      <c r="J320" s="1">
        <f>_xlfn.XLOOKUP(order_details[[#This Row],[OrderID]], orders[OrderID], orders[Month])</f>
        <v>12</v>
      </c>
    </row>
    <row r="321" spans="1:10" x14ac:dyDescent="0.35">
      <c r="A321">
        <v>10367</v>
      </c>
      <c r="B321">
        <v>77</v>
      </c>
      <c r="C321">
        <v>10.4</v>
      </c>
      <c r="D321">
        <v>7</v>
      </c>
      <c r="E321">
        <v>0</v>
      </c>
      <c r="F321">
        <v>72.8</v>
      </c>
      <c r="G321" t="str">
        <f>VLOOKUP(VLOOKUP(order_details[[#This Row],[ProductID]], products[], 4, FALSE), categories[], 2, FALSE)</f>
        <v>Condiments</v>
      </c>
      <c r="H321">
        <f>VLOOKUP(order_details[[#This Row],[ProductID]], products[], 4, FALSE)</f>
        <v>2</v>
      </c>
      <c r="I321" t="str">
        <f>VLOOKUP(order_details[[#This Row],[OrderID]], orders[[OrderID]:[ShipCountry]], 14, FALSE)</f>
        <v>Denmark</v>
      </c>
      <c r="J321" s="1">
        <f>_xlfn.XLOOKUP(order_details[[#This Row],[OrderID]], orders[OrderID], orders[Month])</f>
        <v>12</v>
      </c>
    </row>
    <row r="322" spans="1:10" x14ac:dyDescent="0.35">
      <c r="A322">
        <v>10368</v>
      </c>
      <c r="B322">
        <v>21</v>
      </c>
      <c r="C322">
        <v>8</v>
      </c>
      <c r="D322">
        <v>5</v>
      </c>
      <c r="E322">
        <v>0.1</v>
      </c>
      <c r="F322">
        <v>36</v>
      </c>
      <c r="G322" t="str">
        <f>VLOOKUP(VLOOKUP(order_details[[#This Row],[ProductID]], products[], 4, FALSE), categories[], 2, FALSE)</f>
        <v>Confections</v>
      </c>
      <c r="H322">
        <f>VLOOKUP(order_details[[#This Row],[ProductID]], products[], 4, FALSE)</f>
        <v>3</v>
      </c>
      <c r="I322" t="str">
        <f>VLOOKUP(order_details[[#This Row],[OrderID]], orders[[OrderID]:[ShipCountry]], 14, FALSE)</f>
        <v>Austria</v>
      </c>
      <c r="J322" s="1">
        <f>_xlfn.XLOOKUP(order_details[[#This Row],[OrderID]], orders[OrderID], orders[Month])</f>
        <v>12</v>
      </c>
    </row>
    <row r="323" spans="1:10" x14ac:dyDescent="0.35">
      <c r="A323">
        <v>10368</v>
      </c>
      <c r="B323">
        <v>28</v>
      </c>
      <c r="C323">
        <v>36.4</v>
      </c>
      <c r="D323">
        <v>13</v>
      </c>
      <c r="E323">
        <v>0.1</v>
      </c>
      <c r="F323">
        <v>425.88</v>
      </c>
      <c r="G323" t="str">
        <f>VLOOKUP(VLOOKUP(order_details[[#This Row],[ProductID]], products[], 4, FALSE), categories[], 2, FALSE)</f>
        <v>Produce</v>
      </c>
      <c r="H323">
        <f>VLOOKUP(order_details[[#This Row],[ProductID]], products[], 4, FALSE)</f>
        <v>7</v>
      </c>
      <c r="I323" t="str">
        <f>VLOOKUP(order_details[[#This Row],[OrderID]], orders[[OrderID]:[ShipCountry]], 14, FALSE)</f>
        <v>Austria</v>
      </c>
      <c r="J323" s="1">
        <f>_xlfn.XLOOKUP(order_details[[#This Row],[OrderID]], orders[OrderID], orders[Month])</f>
        <v>12</v>
      </c>
    </row>
    <row r="324" spans="1:10" x14ac:dyDescent="0.35">
      <c r="A324">
        <v>10368</v>
      </c>
      <c r="B324">
        <v>57</v>
      </c>
      <c r="C324">
        <v>15.6</v>
      </c>
      <c r="D324">
        <v>25</v>
      </c>
      <c r="E324">
        <v>0</v>
      </c>
      <c r="F324">
        <v>390</v>
      </c>
      <c r="G324" t="str">
        <f>VLOOKUP(VLOOKUP(order_details[[#This Row],[ProductID]], products[], 4, FALSE), categories[], 2, FALSE)</f>
        <v>Grains/Cereals</v>
      </c>
      <c r="H324">
        <f>VLOOKUP(order_details[[#This Row],[ProductID]], products[], 4, FALSE)</f>
        <v>5</v>
      </c>
      <c r="I324" t="str">
        <f>VLOOKUP(order_details[[#This Row],[OrderID]], orders[[OrderID]:[ShipCountry]], 14, FALSE)</f>
        <v>Austria</v>
      </c>
      <c r="J324" s="1">
        <f>_xlfn.XLOOKUP(order_details[[#This Row],[OrderID]], orders[OrderID], orders[Month])</f>
        <v>12</v>
      </c>
    </row>
    <row r="325" spans="1:10" x14ac:dyDescent="0.35">
      <c r="A325">
        <v>10368</v>
      </c>
      <c r="B325">
        <v>64</v>
      </c>
      <c r="C325">
        <v>26.6</v>
      </c>
      <c r="D325">
        <v>35</v>
      </c>
      <c r="E325">
        <v>0.1</v>
      </c>
      <c r="F325">
        <v>837.9</v>
      </c>
      <c r="G325" t="str">
        <f>VLOOKUP(VLOOKUP(order_details[[#This Row],[ProductID]], products[], 4, FALSE), categories[], 2, FALSE)</f>
        <v>Grains/Cereals</v>
      </c>
      <c r="H325">
        <f>VLOOKUP(order_details[[#This Row],[ProductID]], products[], 4, FALSE)</f>
        <v>5</v>
      </c>
      <c r="I325" t="str">
        <f>VLOOKUP(order_details[[#This Row],[OrderID]], orders[[OrderID]:[ShipCountry]], 14, FALSE)</f>
        <v>Austria</v>
      </c>
      <c r="J325" s="1">
        <f>_xlfn.XLOOKUP(order_details[[#This Row],[OrderID]], orders[OrderID], orders[Month])</f>
        <v>12</v>
      </c>
    </row>
    <row r="326" spans="1:10" x14ac:dyDescent="0.35">
      <c r="A326">
        <v>10369</v>
      </c>
      <c r="B326">
        <v>29</v>
      </c>
      <c r="C326">
        <v>99</v>
      </c>
      <c r="D326">
        <v>20</v>
      </c>
      <c r="E326">
        <v>0</v>
      </c>
      <c r="F326">
        <v>1980</v>
      </c>
      <c r="G326" t="str">
        <f>VLOOKUP(VLOOKUP(order_details[[#This Row],[ProductID]], products[], 4, FALSE), categories[], 2, FALSE)</f>
        <v>Meat/Poultry</v>
      </c>
      <c r="H326">
        <f>VLOOKUP(order_details[[#This Row],[ProductID]], products[], 4, FALSE)</f>
        <v>6</v>
      </c>
      <c r="I326" t="str">
        <f>VLOOKUP(order_details[[#This Row],[OrderID]], orders[[OrderID]:[ShipCountry]], 14, FALSE)</f>
        <v>USA</v>
      </c>
      <c r="J326" s="1">
        <f>_xlfn.XLOOKUP(order_details[[#This Row],[OrderID]], orders[OrderID], orders[Month])</f>
        <v>1</v>
      </c>
    </row>
    <row r="327" spans="1:10" x14ac:dyDescent="0.35">
      <c r="A327">
        <v>10369</v>
      </c>
      <c r="B327">
        <v>56</v>
      </c>
      <c r="C327">
        <v>30.4</v>
      </c>
      <c r="D327">
        <v>18</v>
      </c>
      <c r="E327">
        <v>0.25</v>
      </c>
      <c r="F327">
        <v>410.4</v>
      </c>
      <c r="G327" t="str">
        <f>VLOOKUP(VLOOKUP(order_details[[#This Row],[ProductID]], products[], 4, FALSE), categories[], 2, FALSE)</f>
        <v>Grains/Cereals</v>
      </c>
      <c r="H327">
        <f>VLOOKUP(order_details[[#This Row],[ProductID]], products[], 4, FALSE)</f>
        <v>5</v>
      </c>
      <c r="I327" t="str">
        <f>VLOOKUP(order_details[[#This Row],[OrderID]], orders[[OrderID]:[ShipCountry]], 14, FALSE)</f>
        <v>USA</v>
      </c>
      <c r="J327" s="1">
        <f>_xlfn.XLOOKUP(order_details[[#This Row],[OrderID]], orders[OrderID], orders[Month])</f>
        <v>1</v>
      </c>
    </row>
    <row r="328" spans="1:10" x14ac:dyDescent="0.35">
      <c r="A328">
        <v>10370</v>
      </c>
      <c r="B328">
        <v>1</v>
      </c>
      <c r="C328">
        <v>14.4</v>
      </c>
      <c r="D328">
        <v>15</v>
      </c>
      <c r="E328">
        <v>0.15</v>
      </c>
      <c r="F328">
        <v>183.6</v>
      </c>
      <c r="G328" t="str">
        <f>VLOOKUP(VLOOKUP(order_details[[#This Row],[ProductID]], products[], 4, FALSE), categories[], 2, FALSE)</f>
        <v>Beverages</v>
      </c>
      <c r="H328">
        <f>VLOOKUP(order_details[[#This Row],[ProductID]], products[], 4, FALSE)</f>
        <v>1</v>
      </c>
      <c r="I328" t="str">
        <f>VLOOKUP(order_details[[#This Row],[OrderID]], orders[[OrderID]:[ShipCountry]], 14, FALSE)</f>
        <v>Switzerland</v>
      </c>
      <c r="J328" s="1">
        <f>_xlfn.XLOOKUP(order_details[[#This Row],[OrderID]], orders[OrderID], orders[Month])</f>
        <v>1</v>
      </c>
    </row>
    <row r="329" spans="1:10" x14ac:dyDescent="0.35">
      <c r="A329">
        <v>10370</v>
      </c>
      <c r="B329">
        <v>64</v>
      </c>
      <c r="C329">
        <v>26.6</v>
      </c>
      <c r="D329">
        <v>30</v>
      </c>
      <c r="E329">
        <v>0</v>
      </c>
      <c r="F329">
        <v>798</v>
      </c>
      <c r="G329" t="str">
        <f>VLOOKUP(VLOOKUP(order_details[[#This Row],[ProductID]], products[], 4, FALSE), categories[], 2, FALSE)</f>
        <v>Grains/Cereals</v>
      </c>
      <c r="H329">
        <f>VLOOKUP(order_details[[#This Row],[ProductID]], products[], 4, FALSE)</f>
        <v>5</v>
      </c>
      <c r="I329" t="str">
        <f>VLOOKUP(order_details[[#This Row],[OrderID]], orders[[OrderID]:[ShipCountry]], 14, FALSE)</f>
        <v>Switzerland</v>
      </c>
      <c r="J329" s="1">
        <f>_xlfn.XLOOKUP(order_details[[#This Row],[OrderID]], orders[OrderID], orders[Month])</f>
        <v>1</v>
      </c>
    </row>
    <row r="330" spans="1:10" x14ac:dyDescent="0.35">
      <c r="A330">
        <v>10370</v>
      </c>
      <c r="B330">
        <v>74</v>
      </c>
      <c r="C330">
        <v>8</v>
      </c>
      <c r="D330">
        <v>20</v>
      </c>
      <c r="E330">
        <v>0.15</v>
      </c>
      <c r="F330">
        <v>136</v>
      </c>
      <c r="G330" t="str">
        <f>VLOOKUP(VLOOKUP(order_details[[#This Row],[ProductID]], products[], 4, FALSE), categories[], 2, FALSE)</f>
        <v>Produce</v>
      </c>
      <c r="H330">
        <f>VLOOKUP(order_details[[#This Row],[ProductID]], products[], 4, FALSE)</f>
        <v>7</v>
      </c>
      <c r="I330" t="str">
        <f>VLOOKUP(order_details[[#This Row],[OrderID]], orders[[OrderID]:[ShipCountry]], 14, FALSE)</f>
        <v>Switzerland</v>
      </c>
      <c r="J330" s="1">
        <f>_xlfn.XLOOKUP(order_details[[#This Row],[OrderID]], orders[OrderID], orders[Month])</f>
        <v>1</v>
      </c>
    </row>
    <row r="331" spans="1:10" x14ac:dyDescent="0.35">
      <c r="A331">
        <v>10371</v>
      </c>
      <c r="B331">
        <v>36</v>
      </c>
      <c r="C331">
        <v>15.2</v>
      </c>
      <c r="D331">
        <v>6</v>
      </c>
      <c r="E331">
        <v>0.2</v>
      </c>
      <c r="F331">
        <v>72.959999999999994</v>
      </c>
      <c r="G331" t="str">
        <f>VLOOKUP(VLOOKUP(order_details[[#This Row],[ProductID]], products[], 4, FALSE), categories[], 2, FALSE)</f>
        <v>Seafood</v>
      </c>
      <c r="H331">
        <f>VLOOKUP(order_details[[#This Row],[ProductID]], products[], 4, FALSE)</f>
        <v>8</v>
      </c>
      <c r="I331" t="str">
        <f>VLOOKUP(order_details[[#This Row],[OrderID]], orders[[OrderID]:[ShipCountry]], 14, FALSE)</f>
        <v>France</v>
      </c>
      <c r="J331" s="1">
        <f>_xlfn.XLOOKUP(order_details[[#This Row],[OrderID]], orders[OrderID], orders[Month])</f>
        <v>1</v>
      </c>
    </row>
    <row r="332" spans="1:10" x14ac:dyDescent="0.35">
      <c r="A332">
        <v>10372</v>
      </c>
      <c r="B332">
        <v>20</v>
      </c>
      <c r="C332">
        <v>64.8</v>
      </c>
      <c r="D332">
        <v>12</v>
      </c>
      <c r="E332">
        <v>0.25</v>
      </c>
      <c r="F332">
        <v>583.19999999999993</v>
      </c>
      <c r="G332" t="str">
        <f>VLOOKUP(VLOOKUP(order_details[[#This Row],[ProductID]], products[], 4, FALSE), categories[], 2, FALSE)</f>
        <v>Confections</v>
      </c>
      <c r="H332">
        <f>VLOOKUP(order_details[[#This Row],[ProductID]], products[], 4, FALSE)</f>
        <v>3</v>
      </c>
      <c r="I332" t="str">
        <f>VLOOKUP(order_details[[#This Row],[OrderID]], orders[[OrderID]:[ShipCountry]], 14, FALSE)</f>
        <v>Brazil</v>
      </c>
      <c r="J332" s="1">
        <f>_xlfn.XLOOKUP(order_details[[#This Row],[OrderID]], orders[OrderID], orders[Month])</f>
        <v>1</v>
      </c>
    </row>
    <row r="333" spans="1:10" x14ac:dyDescent="0.35">
      <c r="A333">
        <v>10372</v>
      </c>
      <c r="B333">
        <v>38</v>
      </c>
      <c r="C333">
        <v>210.8</v>
      </c>
      <c r="D333">
        <v>40</v>
      </c>
      <c r="E333">
        <v>0.25</v>
      </c>
      <c r="F333">
        <v>6324</v>
      </c>
      <c r="G333" t="str">
        <f>VLOOKUP(VLOOKUP(order_details[[#This Row],[ProductID]], products[], 4, FALSE), categories[], 2, FALSE)</f>
        <v>Beverages</v>
      </c>
      <c r="H333">
        <f>VLOOKUP(order_details[[#This Row],[ProductID]], products[], 4, FALSE)</f>
        <v>1</v>
      </c>
      <c r="I333" t="str">
        <f>VLOOKUP(order_details[[#This Row],[OrderID]], orders[[OrderID]:[ShipCountry]], 14, FALSE)</f>
        <v>Brazil</v>
      </c>
      <c r="J333" s="1">
        <f>_xlfn.XLOOKUP(order_details[[#This Row],[OrderID]], orders[OrderID], orders[Month])</f>
        <v>1</v>
      </c>
    </row>
    <row r="334" spans="1:10" x14ac:dyDescent="0.35">
      <c r="A334">
        <v>10372</v>
      </c>
      <c r="B334">
        <v>60</v>
      </c>
      <c r="C334">
        <v>27.2</v>
      </c>
      <c r="D334">
        <v>70</v>
      </c>
      <c r="E334">
        <v>0.25</v>
      </c>
      <c r="F334">
        <v>1428</v>
      </c>
      <c r="G334" t="str">
        <f>VLOOKUP(VLOOKUP(order_details[[#This Row],[ProductID]], products[], 4, FALSE), categories[], 2, FALSE)</f>
        <v>Dairy Products</v>
      </c>
      <c r="H334">
        <f>VLOOKUP(order_details[[#This Row],[ProductID]], products[], 4, FALSE)</f>
        <v>4</v>
      </c>
      <c r="I334" t="str">
        <f>VLOOKUP(order_details[[#This Row],[OrderID]], orders[[OrderID]:[ShipCountry]], 14, FALSE)</f>
        <v>Brazil</v>
      </c>
      <c r="J334" s="1">
        <f>_xlfn.XLOOKUP(order_details[[#This Row],[OrderID]], orders[OrderID], orders[Month])</f>
        <v>1</v>
      </c>
    </row>
    <row r="335" spans="1:10" x14ac:dyDescent="0.35">
      <c r="A335">
        <v>10372</v>
      </c>
      <c r="B335">
        <v>72</v>
      </c>
      <c r="C335">
        <v>27.8</v>
      </c>
      <c r="D335">
        <v>42</v>
      </c>
      <c r="E335">
        <v>0.25</v>
      </c>
      <c r="F335">
        <v>875.7</v>
      </c>
      <c r="G335" t="str">
        <f>VLOOKUP(VLOOKUP(order_details[[#This Row],[ProductID]], products[], 4, FALSE), categories[], 2, FALSE)</f>
        <v>Dairy Products</v>
      </c>
      <c r="H335">
        <f>VLOOKUP(order_details[[#This Row],[ProductID]], products[], 4, FALSE)</f>
        <v>4</v>
      </c>
      <c r="I335" t="str">
        <f>VLOOKUP(order_details[[#This Row],[OrderID]], orders[[OrderID]:[ShipCountry]], 14, FALSE)</f>
        <v>Brazil</v>
      </c>
      <c r="J335" s="1">
        <f>_xlfn.XLOOKUP(order_details[[#This Row],[OrderID]], orders[OrderID], orders[Month])</f>
        <v>1</v>
      </c>
    </row>
    <row r="336" spans="1:10" x14ac:dyDescent="0.35">
      <c r="A336">
        <v>10373</v>
      </c>
      <c r="B336">
        <v>58</v>
      </c>
      <c r="C336">
        <v>10.6</v>
      </c>
      <c r="D336">
        <v>80</v>
      </c>
      <c r="E336">
        <v>0.2</v>
      </c>
      <c r="F336">
        <v>678.40000000000009</v>
      </c>
      <c r="G336" t="str">
        <f>VLOOKUP(VLOOKUP(order_details[[#This Row],[ProductID]], products[], 4, FALSE), categories[], 2, FALSE)</f>
        <v>Seafood</v>
      </c>
      <c r="H336">
        <f>VLOOKUP(order_details[[#This Row],[ProductID]], products[], 4, FALSE)</f>
        <v>8</v>
      </c>
      <c r="I336" t="str">
        <f>VLOOKUP(order_details[[#This Row],[OrderID]], orders[[OrderID]:[ShipCountry]], 14, FALSE)</f>
        <v>Ireland</v>
      </c>
      <c r="J336" s="1">
        <f>_xlfn.XLOOKUP(order_details[[#This Row],[OrderID]], orders[OrderID], orders[Month])</f>
        <v>1</v>
      </c>
    </row>
    <row r="337" spans="1:10" x14ac:dyDescent="0.35">
      <c r="A337">
        <v>10373</v>
      </c>
      <c r="B337">
        <v>71</v>
      </c>
      <c r="C337">
        <v>17.2</v>
      </c>
      <c r="D337">
        <v>50</v>
      </c>
      <c r="E337">
        <v>0.2</v>
      </c>
      <c r="F337">
        <v>688</v>
      </c>
      <c r="G337" t="str">
        <f>VLOOKUP(VLOOKUP(order_details[[#This Row],[ProductID]], products[], 4, FALSE), categories[], 2, FALSE)</f>
        <v>Dairy Products</v>
      </c>
      <c r="H337">
        <f>VLOOKUP(order_details[[#This Row],[ProductID]], products[], 4, FALSE)</f>
        <v>4</v>
      </c>
      <c r="I337" t="str">
        <f>VLOOKUP(order_details[[#This Row],[OrderID]], orders[[OrderID]:[ShipCountry]], 14, FALSE)</f>
        <v>Ireland</v>
      </c>
      <c r="J337" s="1">
        <f>_xlfn.XLOOKUP(order_details[[#This Row],[OrderID]], orders[OrderID], orders[Month])</f>
        <v>1</v>
      </c>
    </row>
    <row r="338" spans="1:10" x14ac:dyDescent="0.35">
      <c r="A338">
        <v>10374</v>
      </c>
      <c r="B338">
        <v>31</v>
      </c>
      <c r="C338">
        <v>10</v>
      </c>
      <c r="D338">
        <v>30</v>
      </c>
      <c r="E338">
        <v>0</v>
      </c>
      <c r="F338">
        <v>300</v>
      </c>
      <c r="G338" t="str">
        <f>VLOOKUP(VLOOKUP(order_details[[#This Row],[ProductID]], products[], 4, FALSE), categories[], 2, FALSE)</f>
        <v>Dairy Products</v>
      </c>
      <c r="H338">
        <f>VLOOKUP(order_details[[#This Row],[ProductID]], products[], 4, FALSE)</f>
        <v>4</v>
      </c>
      <c r="I338" t="str">
        <f>VLOOKUP(order_details[[#This Row],[OrderID]], orders[[OrderID]:[ShipCountry]], 14, FALSE)</f>
        <v>Poland</v>
      </c>
      <c r="J338" s="1">
        <f>_xlfn.XLOOKUP(order_details[[#This Row],[OrderID]], orders[OrderID], orders[Month])</f>
        <v>1</v>
      </c>
    </row>
    <row r="339" spans="1:10" x14ac:dyDescent="0.35">
      <c r="A339">
        <v>10374</v>
      </c>
      <c r="B339">
        <v>58</v>
      </c>
      <c r="C339">
        <v>10.6</v>
      </c>
      <c r="D339">
        <v>15</v>
      </c>
      <c r="E339">
        <v>0</v>
      </c>
      <c r="F339">
        <v>159</v>
      </c>
      <c r="G339" t="str">
        <f>VLOOKUP(VLOOKUP(order_details[[#This Row],[ProductID]], products[], 4, FALSE), categories[], 2, FALSE)</f>
        <v>Seafood</v>
      </c>
      <c r="H339">
        <f>VLOOKUP(order_details[[#This Row],[ProductID]], products[], 4, FALSE)</f>
        <v>8</v>
      </c>
      <c r="I339" t="str">
        <f>VLOOKUP(order_details[[#This Row],[OrderID]], orders[[OrderID]:[ShipCountry]], 14, FALSE)</f>
        <v>Poland</v>
      </c>
      <c r="J339" s="1">
        <f>_xlfn.XLOOKUP(order_details[[#This Row],[OrderID]], orders[OrderID], orders[Month])</f>
        <v>1</v>
      </c>
    </row>
    <row r="340" spans="1:10" x14ac:dyDescent="0.35">
      <c r="A340">
        <v>10375</v>
      </c>
      <c r="B340">
        <v>14</v>
      </c>
      <c r="C340">
        <v>18.600000000000001</v>
      </c>
      <c r="D340">
        <v>15</v>
      </c>
      <c r="E340">
        <v>0</v>
      </c>
      <c r="F340">
        <v>279</v>
      </c>
      <c r="G340" t="str">
        <f>VLOOKUP(VLOOKUP(order_details[[#This Row],[ProductID]], products[], 4, FALSE), categories[], 2, FALSE)</f>
        <v>Produce</v>
      </c>
      <c r="H340">
        <f>VLOOKUP(order_details[[#This Row],[ProductID]], products[], 4, FALSE)</f>
        <v>7</v>
      </c>
      <c r="I340" t="str">
        <f>VLOOKUP(order_details[[#This Row],[OrderID]], orders[[OrderID]:[ShipCountry]], 14, FALSE)</f>
        <v>USA</v>
      </c>
      <c r="J340" s="1">
        <f>_xlfn.XLOOKUP(order_details[[#This Row],[OrderID]], orders[OrderID], orders[Month])</f>
        <v>1</v>
      </c>
    </row>
    <row r="341" spans="1:10" x14ac:dyDescent="0.35">
      <c r="A341">
        <v>10375</v>
      </c>
      <c r="B341">
        <v>54</v>
      </c>
      <c r="C341">
        <v>5.9</v>
      </c>
      <c r="D341">
        <v>10</v>
      </c>
      <c r="E341">
        <v>0</v>
      </c>
      <c r="F341">
        <v>59</v>
      </c>
      <c r="G341" t="str">
        <f>VLOOKUP(VLOOKUP(order_details[[#This Row],[ProductID]], products[], 4, FALSE), categories[], 2, FALSE)</f>
        <v>Meat/Poultry</v>
      </c>
      <c r="H341">
        <f>VLOOKUP(order_details[[#This Row],[ProductID]], products[], 4, FALSE)</f>
        <v>6</v>
      </c>
      <c r="I341" t="str">
        <f>VLOOKUP(order_details[[#This Row],[OrderID]], orders[[OrderID]:[ShipCountry]], 14, FALSE)</f>
        <v>USA</v>
      </c>
      <c r="J341" s="1">
        <f>_xlfn.XLOOKUP(order_details[[#This Row],[OrderID]], orders[OrderID], orders[Month])</f>
        <v>1</v>
      </c>
    </row>
    <row r="342" spans="1:10" x14ac:dyDescent="0.35">
      <c r="A342">
        <v>10376</v>
      </c>
      <c r="B342">
        <v>31</v>
      </c>
      <c r="C342">
        <v>10</v>
      </c>
      <c r="D342">
        <v>42</v>
      </c>
      <c r="E342">
        <v>0.05</v>
      </c>
      <c r="F342">
        <v>399</v>
      </c>
      <c r="G342" t="str">
        <f>VLOOKUP(VLOOKUP(order_details[[#This Row],[ProductID]], products[], 4, FALSE), categories[], 2, FALSE)</f>
        <v>Dairy Products</v>
      </c>
      <c r="H342">
        <f>VLOOKUP(order_details[[#This Row],[ProductID]], products[], 4, FALSE)</f>
        <v>4</v>
      </c>
      <c r="I342" t="str">
        <f>VLOOKUP(order_details[[#This Row],[OrderID]], orders[[OrderID]:[ShipCountry]], 14, FALSE)</f>
        <v>Canada</v>
      </c>
      <c r="J342" s="1">
        <f>_xlfn.XLOOKUP(order_details[[#This Row],[OrderID]], orders[OrderID], orders[Month])</f>
        <v>1</v>
      </c>
    </row>
    <row r="343" spans="1:10" x14ac:dyDescent="0.35">
      <c r="A343">
        <v>10377</v>
      </c>
      <c r="B343">
        <v>28</v>
      </c>
      <c r="C343">
        <v>36.4</v>
      </c>
      <c r="D343">
        <v>20</v>
      </c>
      <c r="E343">
        <v>0.15</v>
      </c>
      <c r="F343">
        <v>618.79999999999995</v>
      </c>
      <c r="G343" t="str">
        <f>VLOOKUP(VLOOKUP(order_details[[#This Row],[ProductID]], products[], 4, FALSE), categories[], 2, FALSE)</f>
        <v>Produce</v>
      </c>
      <c r="H343">
        <f>VLOOKUP(order_details[[#This Row],[ProductID]], products[], 4, FALSE)</f>
        <v>7</v>
      </c>
      <c r="I343" t="str">
        <f>VLOOKUP(order_details[[#This Row],[OrderID]], orders[[OrderID]:[ShipCountry]], 14, FALSE)</f>
        <v>UK</v>
      </c>
      <c r="J343" s="1">
        <f>_xlfn.XLOOKUP(order_details[[#This Row],[OrderID]], orders[OrderID], orders[Month])</f>
        <v>1</v>
      </c>
    </row>
    <row r="344" spans="1:10" x14ac:dyDescent="0.35">
      <c r="A344">
        <v>10377</v>
      </c>
      <c r="B344">
        <v>39</v>
      </c>
      <c r="C344">
        <v>14.4</v>
      </c>
      <c r="D344">
        <v>20</v>
      </c>
      <c r="E344">
        <v>0.15</v>
      </c>
      <c r="F344">
        <v>244.79999999999998</v>
      </c>
      <c r="G344" t="str">
        <f>VLOOKUP(VLOOKUP(order_details[[#This Row],[ProductID]], products[], 4, FALSE), categories[], 2, FALSE)</f>
        <v>Beverages</v>
      </c>
      <c r="H344">
        <f>VLOOKUP(order_details[[#This Row],[ProductID]], products[], 4, FALSE)</f>
        <v>1</v>
      </c>
      <c r="I344" t="str">
        <f>VLOOKUP(order_details[[#This Row],[OrderID]], orders[[OrderID]:[ShipCountry]], 14, FALSE)</f>
        <v>UK</v>
      </c>
      <c r="J344" s="1">
        <f>_xlfn.XLOOKUP(order_details[[#This Row],[OrderID]], orders[OrderID], orders[Month])</f>
        <v>1</v>
      </c>
    </row>
    <row r="345" spans="1:10" x14ac:dyDescent="0.35">
      <c r="A345">
        <v>10378</v>
      </c>
      <c r="B345">
        <v>71</v>
      </c>
      <c r="C345">
        <v>17.2</v>
      </c>
      <c r="D345">
        <v>6</v>
      </c>
      <c r="E345">
        <v>0</v>
      </c>
      <c r="F345">
        <v>103.19999999999999</v>
      </c>
      <c r="G345" t="str">
        <f>VLOOKUP(VLOOKUP(order_details[[#This Row],[ProductID]], products[], 4, FALSE), categories[], 2, FALSE)</f>
        <v>Dairy Products</v>
      </c>
      <c r="H345">
        <f>VLOOKUP(order_details[[#This Row],[ProductID]], products[], 4, FALSE)</f>
        <v>4</v>
      </c>
      <c r="I345" t="str">
        <f>VLOOKUP(order_details[[#This Row],[OrderID]], orders[[OrderID]:[ShipCountry]], 14, FALSE)</f>
        <v>Sweden</v>
      </c>
      <c r="J345" s="1">
        <f>_xlfn.XLOOKUP(order_details[[#This Row],[OrderID]], orders[OrderID], orders[Month])</f>
        <v>1</v>
      </c>
    </row>
    <row r="346" spans="1:10" x14ac:dyDescent="0.35">
      <c r="A346">
        <v>10379</v>
      </c>
      <c r="B346">
        <v>41</v>
      </c>
      <c r="C346">
        <v>7.7</v>
      </c>
      <c r="D346">
        <v>8</v>
      </c>
      <c r="E346">
        <v>0.1</v>
      </c>
      <c r="F346">
        <v>55.440000000000005</v>
      </c>
      <c r="G346" t="str">
        <f>VLOOKUP(VLOOKUP(order_details[[#This Row],[ProductID]], products[], 4, FALSE), categories[], 2, FALSE)</f>
        <v>Seafood</v>
      </c>
      <c r="H346">
        <f>VLOOKUP(order_details[[#This Row],[ProductID]], products[], 4, FALSE)</f>
        <v>8</v>
      </c>
      <c r="I346" t="str">
        <f>VLOOKUP(order_details[[#This Row],[OrderID]], orders[[OrderID]:[ShipCountry]], 14, FALSE)</f>
        <v>Brazil</v>
      </c>
      <c r="J346" s="1">
        <f>_xlfn.XLOOKUP(order_details[[#This Row],[OrderID]], orders[OrderID], orders[Month])</f>
        <v>1</v>
      </c>
    </row>
    <row r="347" spans="1:10" x14ac:dyDescent="0.35">
      <c r="A347">
        <v>10379</v>
      </c>
      <c r="B347">
        <v>63</v>
      </c>
      <c r="C347">
        <v>35.1</v>
      </c>
      <c r="D347">
        <v>16</v>
      </c>
      <c r="E347">
        <v>0.1</v>
      </c>
      <c r="F347">
        <v>505.44000000000005</v>
      </c>
      <c r="G347" t="str">
        <f>VLOOKUP(VLOOKUP(order_details[[#This Row],[ProductID]], products[], 4, FALSE), categories[], 2, FALSE)</f>
        <v>Condiments</v>
      </c>
      <c r="H347">
        <f>VLOOKUP(order_details[[#This Row],[ProductID]], products[], 4, FALSE)</f>
        <v>2</v>
      </c>
      <c r="I347" t="str">
        <f>VLOOKUP(order_details[[#This Row],[OrderID]], orders[[OrderID]:[ShipCountry]], 14, FALSE)</f>
        <v>Brazil</v>
      </c>
      <c r="J347" s="1">
        <f>_xlfn.XLOOKUP(order_details[[#This Row],[OrderID]], orders[OrderID], orders[Month])</f>
        <v>1</v>
      </c>
    </row>
    <row r="348" spans="1:10" x14ac:dyDescent="0.35">
      <c r="A348">
        <v>10379</v>
      </c>
      <c r="B348">
        <v>65</v>
      </c>
      <c r="C348">
        <v>16.8</v>
      </c>
      <c r="D348">
        <v>20</v>
      </c>
      <c r="E348">
        <v>0.1</v>
      </c>
      <c r="F348">
        <v>302.40000000000003</v>
      </c>
      <c r="G348" t="str">
        <f>VLOOKUP(VLOOKUP(order_details[[#This Row],[ProductID]], products[], 4, FALSE), categories[], 2, FALSE)</f>
        <v>Condiments</v>
      </c>
      <c r="H348">
        <f>VLOOKUP(order_details[[#This Row],[ProductID]], products[], 4, FALSE)</f>
        <v>2</v>
      </c>
      <c r="I348" t="str">
        <f>VLOOKUP(order_details[[#This Row],[OrderID]], orders[[OrderID]:[ShipCountry]], 14, FALSE)</f>
        <v>Brazil</v>
      </c>
      <c r="J348" s="1">
        <f>_xlfn.XLOOKUP(order_details[[#This Row],[OrderID]], orders[OrderID], orders[Month])</f>
        <v>1</v>
      </c>
    </row>
    <row r="349" spans="1:10" x14ac:dyDescent="0.35">
      <c r="A349">
        <v>10380</v>
      </c>
      <c r="B349">
        <v>30</v>
      </c>
      <c r="C349">
        <v>20.7</v>
      </c>
      <c r="D349">
        <v>18</v>
      </c>
      <c r="E349">
        <v>0.1</v>
      </c>
      <c r="F349">
        <v>335.34</v>
      </c>
      <c r="G349" t="str">
        <f>VLOOKUP(VLOOKUP(order_details[[#This Row],[ProductID]], products[], 4, FALSE), categories[], 2, FALSE)</f>
        <v>Seafood</v>
      </c>
      <c r="H349">
        <f>VLOOKUP(order_details[[#This Row],[ProductID]], products[], 4, FALSE)</f>
        <v>8</v>
      </c>
      <c r="I349" t="str">
        <f>VLOOKUP(order_details[[#This Row],[OrderID]], orders[[OrderID]:[ShipCountry]], 14, FALSE)</f>
        <v>Ireland</v>
      </c>
      <c r="J349" s="1">
        <f>_xlfn.XLOOKUP(order_details[[#This Row],[OrderID]], orders[OrderID], orders[Month])</f>
        <v>1</v>
      </c>
    </row>
    <row r="350" spans="1:10" x14ac:dyDescent="0.35">
      <c r="A350">
        <v>10380</v>
      </c>
      <c r="B350">
        <v>53</v>
      </c>
      <c r="C350">
        <v>26.2</v>
      </c>
      <c r="D350">
        <v>20</v>
      </c>
      <c r="E350">
        <v>0.1</v>
      </c>
      <c r="F350">
        <v>471.6</v>
      </c>
      <c r="G350" t="str">
        <f>VLOOKUP(VLOOKUP(order_details[[#This Row],[ProductID]], products[], 4, FALSE), categories[], 2, FALSE)</f>
        <v>Meat/Poultry</v>
      </c>
      <c r="H350">
        <f>VLOOKUP(order_details[[#This Row],[ProductID]], products[], 4, FALSE)</f>
        <v>6</v>
      </c>
      <c r="I350" t="str">
        <f>VLOOKUP(order_details[[#This Row],[OrderID]], orders[[OrderID]:[ShipCountry]], 14, FALSE)</f>
        <v>Ireland</v>
      </c>
      <c r="J350" s="1">
        <f>_xlfn.XLOOKUP(order_details[[#This Row],[OrderID]], orders[OrderID], orders[Month])</f>
        <v>1</v>
      </c>
    </row>
    <row r="351" spans="1:10" x14ac:dyDescent="0.35">
      <c r="A351">
        <v>10380</v>
      </c>
      <c r="B351">
        <v>60</v>
      </c>
      <c r="C351">
        <v>27.2</v>
      </c>
      <c r="D351">
        <v>6</v>
      </c>
      <c r="E351">
        <v>0.1</v>
      </c>
      <c r="F351">
        <v>146.88</v>
      </c>
      <c r="G351" t="str">
        <f>VLOOKUP(VLOOKUP(order_details[[#This Row],[ProductID]], products[], 4, FALSE), categories[], 2, FALSE)</f>
        <v>Dairy Products</v>
      </c>
      <c r="H351">
        <f>VLOOKUP(order_details[[#This Row],[ProductID]], products[], 4, FALSE)</f>
        <v>4</v>
      </c>
      <c r="I351" t="str">
        <f>VLOOKUP(order_details[[#This Row],[OrderID]], orders[[OrderID]:[ShipCountry]], 14, FALSE)</f>
        <v>Ireland</v>
      </c>
      <c r="J351" s="1">
        <f>_xlfn.XLOOKUP(order_details[[#This Row],[OrderID]], orders[OrderID], orders[Month])</f>
        <v>1</v>
      </c>
    </row>
    <row r="352" spans="1:10" x14ac:dyDescent="0.35">
      <c r="A352">
        <v>10380</v>
      </c>
      <c r="B352">
        <v>70</v>
      </c>
      <c r="C352">
        <v>12</v>
      </c>
      <c r="D352">
        <v>30</v>
      </c>
      <c r="E352">
        <v>0</v>
      </c>
      <c r="F352">
        <v>360</v>
      </c>
      <c r="G352" t="str">
        <f>VLOOKUP(VLOOKUP(order_details[[#This Row],[ProductID]], products[], 4, FALSE), categories[], 2, FALSE)</f>
        <v>Beverages</v>
      </c>
      <c r="H352">
        <f>VLOOKUP(order_details[[#This Row],[ProductID]], products[], 4, FALSE)</f>
        <v>1</v>
      </c>
      <c r="I352" t="str">
        <f>VLOOKUP(order_details[[#This Row],[OrderID]], orders[[OrderID]:[ShipCountry]], 14, FALSE)</f>
        <v>Ireland</v>
      </c>
      <c r="J352" s="1">
        <f>_xlfn.XLOOKUP(order_details[[#This Row],[OrderID]], orders[OrderID], orders[Month])</f>
        <v>1</v>
      </c>
    </row>
    <row r="353" spans="1:10" x14ac:dyDescent="0.35">
      <c r="A353">
        <v>10381</v>
      </c>
      <c r="B353">
        <v>74</v>
      </c>
      <c r="C353">
        <v>8</v>
      </c>
      <c r="D353">
        <v>14</v>
      </c>
      <c r="E353">
        <v>0</v>
      </c>
      <c r="F353">
        <v>112</v>
      </c>
      <c r="G353" t="str">
        <f>VLOOKUP(VLOOKUP(order_details[[#This Row],[ProductID]], products[], 4, FALSE), categories[], 2, FALSE)</f>
        <v>Produce</v>
      </c>
      <c r="H353">
        <f>VLOOKUP(order_details[[#This Row],[ProductID]], products[], 4, FALSE)</f>
        <v>7</v>
      </c>
      <c r="I353" t="str">
        <f>VLOOKUP(order_details[[#This Row],[OrderID]], orders[[OrderID]:[ShipCountry]], 14, FALSE)</f>
        <v>Venezuela</v>
      </c>
      <c r="J353" s="1">
        <f>_xlfn.XLOOKUP(order_details[[#This Row],[OrderID]], orders[OrderID], orders[Month])</f>
        <v>1</v>
      </c>
    </row>
    <row r="354" spans="1:10" x14ac:dyDescent="0.35">
      <c r="A354">
        <v>10382</v>
      </c>
      <c r="B354">
        <v>5</v>
      </c>
      <c r="C354">
        <v>17</v>
      </c>
      <c r="D354">
        <v>32</v>
      </c>
      <c r="E354">
        <v>0</v>
      </c>
      <c r="F354">
        <v>544</v>
      </c>
      <c r="G354" t="str">
        <f>VLOOKUP(VLOOKUP(order_details[[#This Row],[ProductID]], products[], 4, FALSE), categories[], 2, FALSE)</f>
        <v>Condiments</v>
      </c>
      <c r="H354">
        <f>VLOOKUP(order_details[[#This Row],[ProductID]], products[], 4, FALSE)</f>
        <v>2</v>
      </c>
      <c r="I354" t="str">
        <f>VLOOKUP(order_details[[#This Row],[OrderID]], orders[[OrderID]:[ShipCountry]], 14, FALSE)</f>
        <v>Austria</v>
      </c>
      <c r="J354" s="1">
        <f>_xlfn.XLOOKUP(order_details[[#This Row],[OrderID]], orders[OrderID], orders[Month])</f>
        <v>1</v>
      </c>
    </row>
    <row r="355" spans="1:10" x14ac:dyDescent="0.35">
      <c r="A355">
        <v>10382</v>
      </c>
      <c r="B355">
        <v>18</v>
      </c>
      <c r="C355">
        <v>50</v>
      </c>
      <c r="D355">
        <v>9</v>
      </c>
      <c r="E355">
        <v>0</v>
      </c>
      <c r="F355">
        <v>450</v>
      </c>
      <c r="G355" t="str">
        <f>VLOOKUP(VLOOKUP(order_details[[#This Row],[ProductID]], products[], 4, FALSE), categories[], 2, FALSE)</f>
        <v>Seafood</v>
      </c>
      <c r="H355">
        <f>VLOOKUP(order_details[[#This Row],[ProductID]], products[], 4, FALSE)</f>
        <v>8</v>
      </c>
      <c r="I355" t="str">
        <f>VLOOKUP(order_details[[#This Row],[OrderID]], orders[[OrderID]:[ShipCountry]], 14, FALSE)</f>
        <v>Austria</v>
      </c>
      <c r="J355" s="1">
        <f>_xlfn.XLOOKUP(order_details[[#This Row],[OrderID]], orders[OrderID], orders[Month])</f>
        <v>1</v>
      </c>
    </row>
    <row r="356" spans="1:10" x14ac:dyDescent="0.35">
      <c r="A356">
        <v>10382</v>
      </c>
      <c r="B356">
        <v>29</v>
      </c>
      <c r="C356">
        <v>99</v>
      </c>
      <c r="D356">
        <v>14</v>
      </c>
      <c r="E356">
        <v>0</v>
      </c>
      <c r="F356">
        <v>1386</v>
      </c>
      <c r="G356" t="str">
        <f>VLOOKUP(VLOOKUP(order_details[[#This Row],[ProductID]], products[], 4, FALSE), categories[], 2, FALSE)</f>
        <v>Meat/Poultry</v>
      </c>
      <c r="H356">
        <f>VLOOKUP(order_details[[#This Row],[ProductID]], products[], 4, FALSE)</f>
        <v>6</v>
      </c>
      <c r="I356" t="str">
        <f>VLOOKUP(order_details[[#This Row],[OrderID]], orders[[OrderID]:[ShipCountry]], 14, FALSE)</f>
        <v>Austria</v>
      </c>
      <c r="J356" s="1">
        <f>_xlfn.XLOOKUP(order_details[[#This Row],[OrderID]], orders[OrderID], orders[Month])</f>
        <v>1</v>
      </c>
    </row>
    <row r="357" spans="1:10" x14ac:dyDescent="0.35">
      <c r="A357">
        <v>10382</v>
      </c>
      <c r="B357">
        <v>33</v>
      </c>
      <c r="C357">
        <v>2</v>
      </c>
      <c r="D357">
        <v>60</v>
      </c>
      <c r="E357">
        <v>0</v>
      </c>
      <c r="F357">
        <v>120</v>
      </c>
      <c r="G357" t="str">
        <f>VLOOKUP(VLOOKUP(order_details[[#This Row],[ProductID]], products[], 4, FALSE), categories[], 2, FALSE)</f>
        <v>Dairy Products</v>
      </c>
      <c r="H357">
        <f>VLOOKUP(order_details[[#This Row],[ProductID]], products[], 4, FALSE)</f>
        <v>4</v>
      </c>
      <c r="I357" t="str">
        <f>VLOOKUP(order_details[[#This Row],[OrderID]], orders[[OrderID]:[ShipCountry]], 14, FALSE)</f>
        <v>Austria</v>
      </c>
      <c r="J357" s="1">
        <f>_xlfn.XLOOKUP(order_details[[#This Row],[OrderID]], orders[OrderID], orders[Month])</f>
        <v>1</v>
      </c>
    </row>
    <row r="358" spans="1:10" x14ac:dyDescent="0.35">
      <c r="A358">
        <v>10382</v>
      </c>
      <c r="B358">
        <v>74</v>
      </c>
      <c r="C358">
        <v>8</v>
      </c>
      <c r="D358">
        <v>50</v>
      </c>
      <c r="E358">
        <v>0</v>
      </c>
      <c r="F358">
        <v>400</v>
      </c>
      <c r="G358" t="str">
        <f>VLOOKUP(VLOOKUP(order_details[[#This Row],[ProductID]], products[], 4, FALSE), categories[], 2, FALSE)</f>
        <v>Produce</v>
      </c>
      <c r="H358">
        <f>VLOOKUP(order_details[[#This Row],[ProductID]], products[], 4, FALSE)</f>
        <v>7</v>
      </c>
      <c r="I358" t="str">
        <f>VLOOKUP(order_details[[#This Row],[OrderID]], orders[[OrderID]:[ShipCountry]], 14, FALSE)</f>
        <v>Austria</v>
      </c>
      <c r="J358" s="1">
        <f>_xlfn.XLOOKUP(order_details[[#This Row],[OrderID]], orders[OrderID], orders[Month])</f>
        <v>1</v>
      </c>
    </row>
    <row r="359" spans="1:10" x14ac:dyDescent="0.35">
      <c r="A359">
        <v>10383</v>
      </c>
      <c r="B359">
        <v>13</v>
      </c>
      <c r="C359">
        <v>4.8</v>
      </c>
      <c r="D359">
        <v>20</v>
      </c>
      <c r="E359">
        <v>0</v>
      </c>
      <c r="F359">
        <v>96</v>
      </c>
      <c r="G359" t="str">
        <f>VLOOKUP(VLOOKUP(order_details[[#This Row],[ProductID]], products[], 4, FALSE), categories[], 2, FALSE)</f>
        <v>Seafood</v>
      </c>
      <c r="H359">
        <f>VLOOKUP(order_details[[#This Row],[ProductID]], products[], 4, FALSE)</f>
        <v>8</v>
      </c>
      <c r="I359" t="str">
        <f>VLOOKUP(order_details[[#This Row],[OrderID]], orders[[OrderID]:[ShipCountry]], 14, FALSE)</f>
        <v>UK</v>
      </c>
      <c r="J359" s="1">
        <f>_xlfn.XLOOKUP(order_details[[#This Row],[OrderID]], orders[OrderID], orders[Month])</f>
        <v>1</v>
      </c>
    </row>
    <row r="360" spans="1:10" x14ac:dyDescent="0.35">
      <c r="A360">
        <v>10383</v>
      </c>
      <c r="B360">
        <v>50</v>
      </c>
      <c r="C360">
        <v>13</v>
      </c>
      <c r="D360">
        <v>15</v>
      </c>
      <c r="E360">
        <v>0</v>
      </c>
      <c r="F360">
        <v>195</v>
      </c>
      <c r="G360" t="str">
        <f>VLOOKUP(VLOOKUP(order_details[[#This Row],[ProductID]], products[], 4, FALSE), categories[], 2, FALSE)</f>
        <v>Confections</v>
      </c>
      <c r="H360">
        <f>VLOOKUP(order_details[[#This Row],[ProductID]], products[], 4, FALSE)</f>
        <v>3</v>
      </c>
      <c r="I360" t="str">
        <f>VLOOKUP(order_details[[#This Row],[OrderID]], orders[[OrderID]:[ShipCountry]], 14, FALSE)</f>
        <v>UK</v>
      </c>
      <c r="J360" s="1">
        <f>_xlfn.XLOOKUP(order_details[[#This Row],[OrderID]], orders[OrderID], orders[Month])</f>
        <v>1</v>
      </c>
    </row>
    <row r="361" spans="1:10" x14ac:dyDescent="0.35">
      <c r="A361">
        <v>10383</v>
      </c>
      <c r="B361">
        <v>56</v>
      </c>
      <c r="C361">
        <v>30.4</v>
      </c>
      <c r="D361">
        <v>20</v>
      </c>
      <c r="E361">
        <v>0</v>
      </c>
      <c r="F361">
        <v>608</v>
      </c>
      <c r="G361" t="str">
        <f>VLOOKUP(VLOOKUP(order_details[[#This Row],[ProductID]], products[], 4, FALSE), categories[], 2, FALSE)</f>
        <v>Grains/Cereals</v>
      </c>
      <c r="H361">
        <f>VLOOKUP(order_details[[#This Row],[ProductID]], products[], 4, FALSE)</f>
        <v>5</v>
      </c>
      <c r="I361" t="str">
        <f>VLOOKUP(order_details[[#This Row],[OrderID]], orders[[OrderID]:[ShipCountry]], 14, FALSE)</f>
        <v>UK</v>
      </c>
      <c r="J361" s="1">
        <f>_xlfn.XLOOKUP(order_details[[#This Row],[OrderID]], orders[OrderID], orders[Month])</f>
        <v>1</v>
      </c>
    </row>
    <row r="362" spans="1:10" x14ac:dyDescent="0.35">
      <c r="A362">
        <v>10384</v>
      </c>
      <c r="B362">
        <v>20</v>
      </c>
      <c r="C362">
        <v>64.8</v>
      </c>
      <c r="D362">
        <v>28</v>
      </c>
      <c r="E362">
        <v>0</v>
      </c>
      <c r="F362">
        <v>1814.3999999999999</v>
      </c>
      <c r="G362" t="str">
        <f>VLOOKUP(VLOOKUP(order_details[[#This Row],[ProductID]], products[], 4, FALSE), categories[], 2, FALSE)</f>
        <v>Confections</v>
      </c>
      <c r="H362">
        <f>VLOOKUP(order_details[[#This Row],[ProductID]], products[], 4, FALSE)</f>
        <v>3</v>
      </c>
      <c r="I362" t="str">
        <f>VLOOKUP(order_details[[#This Row],[OrderID]], orders[[OrderID]:[ShipCountry]], 14, FALSE)</f>
        <v>Sweden</v>
      </c>
      <c r="J362" s="1">
        <f>_xlfn.XLOOKUP(order_details[[#This Row],[OrderID]], orders[OrderID], orders[Month])</f>
        <v>1</v>
      </c>
    </row>
    <row r="363" spans="1:10" x14ac:dyDescent="0.35">
      <c r="A363">
        <v>10384</v>
      </c>
      <c r="B363">
        <v>60</v>
      </c>
      <c r="C363">
        <v>27.2</v>
      </c>
      <c r="D363">
        <v>15</v>
      </c>
      <c r="E363">
        <v>0</v>
      </c>
      <c r="F363">
        <v>408</v>
      </c>
      <c r="G363" t="str">
        <f>VLOOKUP(VLOOKUP(order_details[[#This Row],[ProductID]], products[], 4, FALSE), categories[], 2, FALSE)</f>
        <v>Dairy Products</v>
      </c>
      <c r="H363">
        <f>VLOOKUP(order_details[[#This Row],[ProductID]], products[], 4, FALSE)</f>
        <v>4</v>
      </c>
      <c r="I363" t="str">
        <f>VLOOKUP(order_details[[#This Row],[OrderID]], orders[[OrderID]:[ShipCountry]], 14, FALSE)</f>
        <v>Sweden</v>
      </c>
      <c r="J363" s="1">
        <f>_xlfn.XLOOKUP(order_details[[#This Row],[OrderID]], orders[OrderID], orders[Month])</f>
        <v>1</v>
      </c>
    </row>
    <row r="364" spans="1:10" x14ac:dyDescent="0.35">
      <c r="A364">
        <v>10385</v>
      </c>
      <c r="B364">
        <v>7</v>
      </c>
      <c r="C364">
        <v>24</v>
      </c>
      <c r="D364">
        <v>10</v>
      </c>
      <c r="E364">
        <v>0.2</v>
      </c>
      <c r="F364">
        <v>192</v>
      </c>
      <c r="G364" t="str">
        <f>VLOOKUP(VLOOKUP(order_details[[#This Row],[ProductID]], products[], 4, FALSE), categories[], 2, FALSE)</f>
        <v>Produce</v>
      </c>
      <c r="H364">
        <f>VLOOKUP(order_details[[#This Row],[ProductID]], products[], 4, FALSE)</f>
        <v>7</v>
      </c>
      <c r="I364" t="str">
        <f>VLOOKUP(order_details[[#This Row],[OrderID]], orders[[OrderID]:[ShipCountry]], 14, FALSE)</f>
        <v>USA</v>
      </c>
      <c r="J364" s="1">
        <f>_xlfn.XLOOKUP(order_details[[#This Row],[OrderID]], orders[OrderID], orders[Month])</f>
        <v>1</v>
      </c>
    </row>
    <row r="365" spans="1:10" x14ac:dyDescent="0.35">
      <c r="A365">
        <v>10385</v>
      </c>
      <c r="B365">
        <v>60</v>
      </c>
      <c r="C365">
        <v>27.2</v>
      </c>
      <c r="D365">
        <v>20</v>
      </c>
      <c r="E365">
        <v>0.2</v>
      </c>
      <c r="F365">
        <v>435.20000000000005</v>
      </c>
      <c r="G365" t="str">
        <f>VLOOKUP(VLOOKUP(order_details[[#This Row],[ProductID]], products[], 4, FALSE), categories[], 2, FALSE)</f>
        <v>Dairy Products</v>
      </c>
      <c r="H365">
        <f>VLOOKUP(order_details[[#This Row],[ProductID]], products[], 4, FALSE)</f>
        <v>4</v>
      </c>
      <c r="I365" t="str">
        <f>VLOOKUP(order_details[[#This Row],[OrderID]], orders[[OrderID]:[ShipCountry]], 14, FALSE)</f>
        <v>USA</v>
      </c>
      <c r="J365" s="1">
        <f>_xlfn.XLOOKUP(order_details[[#This Row],[OrderID]], orders[OrderID], orders[Month])</f>
        <v>1</v>
      </c>
    </row>
    <row r="366" spans="1:10" x14ac:dyDescent="0.35">
      <c r="A366">
        <v>10385</v>
      </c>
      <c r="B366">
        <v>68</v>
      </c>
      <c r="C366">
        <v>10</v>
      </c>
      <c r="D366">
        <v>8</v>
      </c>
      <c r="E366">
        <v>0.2</v>
      </c>
      <c r="F366">
        <v>64</v>
      </c>
      <c r="G366" t="str">
        <f>VLOOKUP(VLOOKUP(order_details[[#This Row],[ProductID]], products[], 4, FALSE), categories[], 2, FALSE)</f>
        <v>Confections</v>
      </c>
      <c r="H366">
        <f>VLOOKUP(order_details[[#This Row],[ProductID]], products[], 4, FALSE)</f>
        <v>3</v>
      </c>
      <c r="I366" t="str">
        <f>VLOOKUP(order_details[[#This Row],[OrderID]], orders[[OrderID]:[ShipCountry]], 14, FALSE)</f>
        <v>USA</v>
      </c>
      <c r="J366" s="1">
        <f>_xlfn.XLOOKUP(order_details[[#This Row],[OrderID]], orders[OrderID], orders[Month])</f>
        <v>1</v>
      </c>
    </row>
    <row r="367" spans="1:10" x14ac:dyDescent="0.35">
      <c r="A367">
        <v>10386</v>
      </c>
      <c r="B367">
        <v>24</v>
      </c>
      <c r="C367">
        <v>3.6</v>
      </c>
      <c r="D367">
        <v>15</v>
      </c>
      <c r="E367">
        <v>0</v>
      </c>
      <c r="F367">
        <v>54</v>
      </c>
      <c r="G367" t="str">
        <f>VLOOKUP(VLOOKUP(order_details[[#This Row],[ProductID]], products[], 4, FALSE), categories[], 2, FALSE)</f>
        <v>Beverages</v>
      </c>
      <c r="H367">
        <f>VLOOKUP(order_details[[#This Row],[ProductID]], products[], 4, FALSE)</f>
        <v>1</v>
      </c>
      <c r="I367" t="str">
        <f>VLOOKUP(order_details[[#This Row],[OrderID]], orders[[OrderID]:[ShipCountry]], 14, FALSE)</f>
        <v>Brazil</v>
      </c>
      <c r="J367" s="1">
        <f>_xlfn.XLOOKUP(order_details[[#This Row],[OrderID]], orders[OrderID], orders[Month])</f>
        <v>1</v>
      </c>
    </row>
    <row r="368" spans="1:10" x14ac:dyDescent="0.35">
      <c r="A368">
        <v>10386</v>
      </c>
      <c r="B368">
        <v>34</v>
      </c>
      <c r="C368">
        <v>11.2</v>
      </c>
      <c r="D368">
        <v>10</v>
      </c>
      <c r="E368">
        <v>0</v>
      </c>
      <c r="F368">
        <v>112</v>
      </c>
      <c r="G368" t="str">
        <f>VLOOKUP(VLOOKUP(order_details[[#This Row],[ProductID]], products[], 4, FALSE), categories[], 2, FALSE)</f>
        <v>Beverages</v>
      </c>
      <c r="H368">
        <f>VLOOKUP(order_details[[#This Row],[ProductID]], products[], 4, FALSE)</f>
        <v>1</v>
      </c>
      <c r="I368" t="str">
        <f>VLOOKUP(order_details[[#This Row],[OrderID]], orders[[OrderID]:[ShipCountry]], 14, FALSE)</f>
        <v>Brazil</v>
      </c>
      <c r="J368" s="1">
        <f>_xlfn.XLOOKUP(order_details[[#This Row],[OrderID]], orders[OrderID], orders[Month])</f>
        <v>1</v>
      </c>
    </row>
    <row r="369" spans="1:10" x14ac:dyDescent="0.35">
      <c r="A369">
        <v>10387</v>
      </c>
      <c r="B369">
        <v>24</v>
      </c>
      <c r="C369">
        <v>3.6</v>
      </c>
      <c r="D369">
        <v>15</v>
      </c>
      <c r="E369">
        <v>0</v>
      </c>
      <c r="F369">
        <v>54</v>
      </c>
      <c r="G369" t="str">
        <f>VLOOKUP(VLOOKUP(order_details[[#This Row],[ProductID]], products[], 4, FALSE), categories[], 2, FALSE)</f>
        <v>Beverages</v>
      </c>
      <c r="H369">
        <f>VLOOKUP(order_details[[#This Row],[ProductID]], products[], 4, FALSE)</f>
        <v>1</v>
      </c>
      <c r="I369" t="str">
        <f>VLOOKUP(order_details[[#This Row],[OrderID]], orders[[OrderID]:[ShipCountry]], 14, FALSE)</f>
        <v>Norway</v>
      </c>
      <c r="J369" s="1">
        <f>_xlfn.XLOOKUP(order_details[[#This Row],[OrderID]], orders[OrderID], orders[Month])</f>
        <v>1</v>
      </c>
    </row>
    <row r="370" spans="1:10" x14ac:dyDescent="0.35">
      <c r="A370">
        <v>10387</v>
      </c>
      <c r="B370">
        <v>28</v>
      </c>
      <c r="C370">
        <v>36.4</v>
      </c>
      <c r="D370">
        <v>6</v>
      </c>
      <c r="E370">
        <v>0</v>
      </c>
      <c r="F370">
        <v>218.39999999999998</v>
      </c>
      <c r="G370" t="str">
        <f>VLOOKUP(VLOOKUP(order_details[[#This Row],[ProductID]], products[], 4, FALSE), categories[], 2, FALSE)</f>
        <v>Produce</v>
      </c>
      <c r="H370">
        <f>VLOOKUP(order_details[[#This Row],[ProductID]], products[], 4, FALSE)</f>
        <v>7</v>
      </c>
      <c r="I370" t="str">
        <f>VLOOKUP(order_details[[#This Row],[OrderID]], orders[[OrderID]:[ShipCountry]], 14, FALSE)</f>
        <v>Norway</v>
      </c>
      <c r="J370" s="1">
        <f>_xlfn.XLOOKUP(order_details[[#This Row],[OrderID]], orders[OrderID], orders[Month])</f>
        <v>1</v>
      </c>
    </row>
    <row r="371" spans="1:10" x14ac:dyDescent="0.35">
      <c r="A371">
        <v>10387</v>
      </c>
      <c r="B371">
        <v>59</v>
      </c>
      <c r="C371">
        <v>44</v>
      </c>
      <c r="D371">
        <v>12</v>
      </c>
      <c r="E371">
        <v>0</v>
      </c>
      <c r="F371">
        <v>528</v>
      </c>
      <c r="G371" t="str">
        <f>VLOOKUP(VLOOKUP(order_details[[#This Row],[ProductID]], products[], 4, FALSE), categories[], 2, FALSE)</f>
        <v>Dairy Products</v>
      </c>
      <c r="H371">
        <f>VLOOKUP(order_details[[#This Row],[ProductID]], products[], 4, FALSE)</f>
        <v>4</v>
      </c>
      <c r="I371" t="str">
        <f>VLOOKUP(order_details[[#This Row],[OrderID]], orders[[OrderID]:[ShipCountry]], 14, FALSE)</f>
        <v>Norway</v>
      </c>
      <c r="J371" s="1">
        <f>_xlfn.XLOOKUP(order_details[[#This Row],[OrderID]], orders[OrderID], orders[Month])</f>
        <v>1</v>
      </c>
    </row>
    <row r="372" spans="1:10" x14ac:dyDescent="0.35">
      <c r="A372">
        <v>10387</v>
      </c>
      <c r="B372">
        <v>71</v>
      </c>
      <c r="C372">
        <v>17.2</v>
      </c>
      <c r="D372">
        <v>15</v>
      </c>
      <c r="E372">
        <v>0</v>
      </c>
      <c r="F372">
        <v>258</v>
      </c>
      <c r="G372" t="str">
        <f>VLOOKUP(VLOOKUP(order_details[[#This Row],[ProductID]], products[], 4, FALSE), categories[], 2, FALSE)</f>
        <v>Dairy Products</v>
      </c>
      <c r="H372">
        <f>VLOOKUP(order_details[[#This Row],[ProductID]], products[], 4, FALSE)</f>
        <v>4</v>
      </c>
      <c r="I372" t="str">
        <f>VLOOKUP(order_details[[#This Row],[OrderID]], orders[[OrderID]:[ShipCountry]], 14, FALSE)</f>
        <v>Norway</v>
      </c>
      <c r="J372" s="1">
        <f>_xlfn.XLOOKUP(order_details[[#This Row],[OrderID]], orders[OrderID], orders[Month])</f>
        <v>1</v>
      </c>
    </row>
    <row r="373" spans="1:10" x14ac:dyDescent="0.35">
      <c r="A373">
        <v>10388</v>
      </c>
      <c r="B373">
        <v>45</v>
      </c>
      <c r="C373">
        <v>7.6</v>
      </c>
      <c r="D373">
        <v>15</v>
      </c>
      <c r="E373">
        <v>0.2</v>
      </c>
      <c r="F373">
        <v>91.2</v>
      </c>
      <c r="G373" t="str">
        <f>VLOOKUP(VLOOKUP(order_details[[#This Row],[ProductID]], products[], 4, FALSE), categories[], 2, FALSE)</f>
        <v>Seafood</v>
      </c>
      <c r="H373">
        <f>VLOOKUP(order_details[[#This Row],[ProductID]], products[], 4, FALSE)</f>
        <v>8</v>
      </c>
      <c r="I373" t="str">
        <f>VLOOKUP(order_details[[#This Row],[OrderID]], orders[[OrderID]:[ShipCountry]], 14, FALSE)</f>
        <v>UK</v>
      </c>
      <c r="J373" s="1">
        <f>_xlfn.XLOOKUP(order_details[[#This Row],[OrderID]], orders[OrderID], orders[Month])</f>
        <v>1</v>
      </c>
    </row>
    <row r="374" spans="1:10" x14ac:dyDescent="0.35">
      <c r="A374">
        <v>10388</v>
      </c>
      <c r="B374">
        <v>52</v>
      </c>
      <c r="C374">
        <v>5.6</v>
      </c>
      <c r="D374">
        <v>20</v>
      </c>
      <c r="E374">
        <v>0.2</v>
      </c>
      <c r="F374">
        <v>89.600000000000009</v>
      </c>
      <c r="G374" t="str">
        <f>VLOOKUP(VLOOKUP(order_details[[#This Row],[ProductID]], products[], 4, FALSE), categories[], 2, FALSE)</f>
        <v>Grains/Cereals</v>
      </c>
      <c r="H374">
        <f>VLOOKUP(order_details[[#This Row],[ProductID]], products[], 4, FALSE)</f>
        <v>5</v>
      </c>
      <c r="I374" t="str">
        <f>VLOOKUP(order_details[[#This Row],[OrderID]], orders[[OrderID]:[ShipCountry]], 14, FALSE)</f>
        <v>UK</v>
      </c>
      <c r="J374" s="1">
        <f>_xlfn.XLOOKUP(order_details[[#This Row],[OrderID]], orders[OrderID], orders[Month])</f>
        <v>1</v>
      </c>
    </row>
    <row r="375" spans="1:10" x14ac:dyDescent="0.35">
      <c r="A375">
        <v>10388</v>
      </c>
      <c r="B375">
        <v>53</v>
      </c>
      <c r="C375">
        <v>26.2</v>
      </c>
      <c r="D375">
        <v>40</v>
      </c>
      <c r="E375">
        <v>0</v>
      </c>
      <c r="F375">
        <v>1048</v>
      </c>
      <c r="G375" t="str">
        <f>VLOOKUP(VLOOKUP(order_details[[#This Row],[ProductID]], products[], 4, FALSE), categories[], 2, FALSE)</f>
        <v>Meat/Poultry</v>
      </c>
      <c r="H375">
        <f>VLOOKUP(order_details[[#This Row],[ProductID]], products[], 4, FALSE)</f>
        <v>6</v>
      </c>
      <c r="I375" t="str">
        <f>VLOOKUP(order_details[[#This Row],[OrderID]], orders[[OrderID]:[ShipCountry]], 14, FALSE)</f>
        <v>UK</v>
      </c>
      <c r="J375" s="1">
        <f>_xlfn.XLOOKUP(order_details[[#This Row],[OrderID]], orders[OrderID], orders[Month])</f>
        <v>1</v>
      </c>
    </row>
    <row r="376" spans="1:10" x14ac:dyDescent="0.35">
      <c r="A376">
        <v>10389</v>
      </c>
      <c r="B376">
        <v>10</v>
      </c>
      <c r="C376">
        <v>24.8</v>
      </c>
      <c r="D376">
        <v>16</v>
      </c>
      <c r="E376">
        <v>0</v>
      </c>
      <c r="F376">
        <v>396.8</v>
      </c>
      <c r="G376" t="str">
        <f>VLOOKUP(VLOOKUP(order_details[[#This Row],[ProductID]], products[], 4, FALSE), categories[], 2, FALSE)</f>
        <v>Seafood</v>
      </c>
      <c r="H376">
        <f>VLOOKUP(order_details[[#This Row],[ProductID]], products[], 4, FALSE)</f>
        <v>8</v>
      </c>
      <c r="I376" t="str">
        <f>VLOOKUP(order_details[[#This Row],[OrderID]], orders[[OrderID]:[ShipCountry]], 14, FALSE)</f>
        <v>Canada</v>
      </c>
      <c r="J376" s="1">
        <f>_xlfn.XLOOKUP(order_details[[#This Row],[OrderID]], orders[OrderID], orders[Month])</f>
        <v>1</v>
      </c>
    </row>
    <row r="377" spans="1:10" x14ac:dyDescent="0.35">
      <c r="A377">
        <v>10389</v>
      </c>
      <c r="B377">
        <v>55</v>
      </c>
      <c r="C377">
        <v>19.2</v>
      </c>
      <c r="D377">
        <v>15</v>
      </c>
      <c r="E377">
        <v>0</v>
      </c>
      <c r="F377">
        <v>288</v>
      </c>
      <c r="G377" t="str">
        <f>VLOOKUP(VLOOKUP(order_details[[#This Row],[ProductID]], products[], 4, FALSE), categories[], 2, FALSE)</f>
        <v>Meat/Poultry</v>
      </c>
      <c r="H377">
        <f>VLOOKUP(order_details[[#This Row],[ProductID]], products[], 4, FALSE)</f>
        <v>6</v>
      </c>
      <c r="I377" t="str">
        <f>VLOOKUP(order_details[[#This Row],[OrderID]], orders[[OrderID]:[ShipCountry]], 14, FALSE)</f>
        <v>Canada</v>
      </c>
      <c r="J377" s="1">
        <f>_xlfn.XLOOKUP(order_details[[#This Row],[OrderID]], orders[OrderID], orders[Month])</f>
        <v>1</v>
      </c>
    </row>
    <row r="378" spans="1:10" x14ac:dyDescent="0.35">
      <c r="A378">
        <v>10389</v>
      </c>
      <c r="B378">
        <v>62</v>
      </c>
      <c r="C378">
        <v>39.4</v>
      </c>
      <c r="D378">
        <v>20</v>
      </c>
      <c r="E378">
        <v>0</v>
      </c>
      <c r="F378">
        <v>788</v>
      </c>
      <c r="G378" t="str">
        <f>VLOOKUP(VLOOKUP(order_details[[#This Row],[ProductID]], products[], 4, FALSE), categories[], 2, FALSE)</f>
        <v>Confections</v>
      </c>
      <c r="H378">
        <f>VLOOKUP(order_details[[#This Row],[ProductID]], products[], 4, FALSE)</f>
        <v>3</v>
      </c>
      <c r="I378" t="str">
        <f>VLOOKUP(order_details[[#This Row],[OrderID]], orders[[OrderID]:[ShipCountry]], 14, FALSE)</f>
        <v>Canada</v>
      </c>
      <c r="J378" s="1">
        <f>_xlfn.XLOOKUP(order_details[[#This Row],[OrderID]], orders[OrderID], orders[Month])</f>
        <v>1</v>
      </c>
    </row>
    <row r="379" spans="1:10" x14ac:dyDescent="0.35">
      <c r="A379">
        <v>10389</v>
      </c>
      <c r="B379">
        <v>70</v>
      </c>
      <c r="C379">
        <v>12</v>
      </c>
      <c r="D379">
        <v>30</v>
      </c>
      <c r="E379">
        <v>0</v>
      </c>
      <c r="F379">
        <v>360</v>
      </c>
      <c r="G379" t="str">
        <f>VLOOKUP(VLOOKUP(order_details[[#This Row],[ProductID]], products[], 4, FALSE), categories[], 2, FALSE)</f>
        <v>Beverages</v>
      </c>
      <c r="H379">
        <f>VLOOKUP(order_details[[#This Row],[ProductID]], products[], 4, FALSE)</f>
        <v>1</v>
      </c>
      <c r="I379" t="str">
        <f>VLOOKUP(order_details[[#This Row],[OrderID]], orders[[OrderID]:[ShipCountry]], 14, FALSE)</f>
        <v>Canada</v>
      </c>
      <c r="J379" s="1">
        <f>_xlfn.XLOOKUP(order_details[[#This Row],[OrderID]], orders[OrderID], orders[Month])</f>
        <v>1</v>
      </c>
    </row>
    <row r="380" spans="1:10" x14ac:dyDescent="0.35">
      <c r="A380">
        <v>10390</v>
      </c>
      <c r="B380">
        <v>31</v>
      </c>
      <c r="C380">
        <v>10</v>
      </c>
      <c r="D380">
        <v>60</v>
      </c>
      <c r="E380">
        <v>0.1</v>
      </c>
      <c r="F380">
        <v>540</v>
      </c>
      <c r="G380" t="str">
        <f>VLOOKUP(VLOOKUP(order_details[[#This Row],[ProductID]], products[], 4, FALSE), categories[], 2, FALSE)</f>
        <v>Dairy Products</v>
      </c>
      <c r="H380">
        <f>VLOOKUP(order_details[[#This Row],[ProductID]], products[], 4, FALSE)</f>
        <v>4</v>
      </c>
      <c r="I380" t="str">
        <f>VLOOKUP(order_details[[#This Row],[OrderID]], orders[[OrderID]:[ShipCountry]], 14, FALSE)</f>
        <v>Austria</v>
      </c>
      <c r="J380" s="1">
        <f>_xlfn.XLOOKUP(order_details[[#This Row],[OrderID]], orders[OrderID], orders[Month])</f>
        <v>1</v>
      </c>
    </row>
    <row r="381" spans="1:10" x14ac:dyDescent="0.35">
      <c r="A381">
        <v>10390</v>
      </c>
      <c r="B381">
        <v>35</v>
      </c>
      <c r="C381">
        <v>14.4</v>
      </c>
      <c r="D381">
        <v>40</v>
      </c>
      <c r="E381">
        <v>0.1</v>
      </c>
      <c r="F381">
        <v>518.4</v>
      </c>
      <c r="G381" t="str">
        <f>VLOOKUP(VLOOKUP(order_details[[#This Row],[ProductID]], products[], 4, FALSE), categories[], 2, FALSE)</f>
        <v>Beverages</v>
      </c>
      <c r="H381">
        <f>VLOOKUP(order_details[[#This Row],[ProductID]], products[], 4, FALSE)</f>
        <v>1</v>
      </c>
      <c r="I381" t="str">
        <f>VLOOKUP(order_details[[#This Row],[OrderID]], orders[[OrderID]:[ShipCountry]], 14, FALSE)</f>
        <v>Austria</v>
      </c>
      <c r="J381" s="1">
        <f>_xlfn.XLOOKUP(order_details[[#This Row],[OrderID]], orders[OrderID], orders[Month])</f>
        <v>1</v>
      </c>
    </row>
    <row r="382" spans="1:10" x14ac:dyDescent="0.35">
      <c r="A382">
        <v>10390</v>
      </c>
      <c r="B382">
        <v>46</v>
      </c>
      <c r="C382">
        <v>9.6</v>
      </c>
      <c r="D382">
        <v>45</v>
      </c>
      <c r="E382">
        <v>0</v>
      </c>
      <c r="F382">
        <v>432</v>
      </c>
      <c r="G382" t="str">
        <f>VLOOKUP(VLOOKUP(order_details[[#This Row],[ProductID]], products[], 4, FALSE), categories[], 2, FALSE)</f>
        <v>Seafood</v>
      </c>
      <c r="H382">
        <f>VLOOKUP(order_details[[#This Row],[ProductID]], products[], 4, FALSE)</f>
        <v>8</v>
      </c>
      <c r="I382" t="str">
        <f>VLOOKUP(order_details[[#This Row],[OrderID]], orders[[OrderID]:[ShipCountry]], 14, FALSE)</f>
        <v>Austria</v>
      </c>
      <c r="J382" s="1">
        <f>_xlfn.XLOOKUP(order_details[[#This Row],[OrderID]], orders[OrderID], orders[Month])</f>
        <v>1</v>
      </c>
    </row>
    <row r="383" spans="1:10" x14ac:dyDescent="0.35">
      <c r="A383">
        <v>10390</v>
      </c>
      <c r="B383">
        <v>72</v>
      </c>
      <c r="C383">
        <v>27.8</v>
      </c>
      <c r="D383">
        <v>24</v>
      </c>
      <c r="E383">
        <v>0.1</v>
      </c>
      <c r="F383">
        <v>600.48</v>
      </c>
      <c r="G383" t="str">
        <f>VLOOKUP(VLOOKUP(order_details[[#This Row],[ProductID]], products[], 4, FALSE), categories[], 2, FALSE)</f>
        <v>Dairy Products</v>
      </c>
      <c r="H383">
        <f>VLOOKUP(order_details[[#This Row],[ProductID]], products[], 4, FALSE)</f>
        <v>4</v>
      </c>
      <c r="I383" t="str">
        <f>VLOOKUP(order_details[[#This Row],[OrderID]], orders[[OrderID]:[ShipCountry]], 14, FALSE)</f>
        <v>Austria</v>
      </c>
      <c r="J383" s="1">
        <f>_xlfn.XLOOKUP(order_details[[#This Row],[OrderID]], orders[OrderID], orders[Month])</f>
        <v>1</v>
      </c>
    </row>
    <row r="384" spans="1:10" x14ac:dyDescent="0.35">
      <c r="A384">
        <v>10391</v>
      </c>
      <c r="B384">
        <v>13</v>
      </c>
      <c r="C384">
        <v>4.8</v>
      </c>
      <c r="D384">
        <v>18</v>
      </c>
      <c r="E384">
        <v>0</v>
      </c>
      <c r="F384">
        <v>86.399999999999991</v>
      </c>
      <c r="G384" t="str">
        <f>VLOOKUP(VLOOKUP(order_details[[#This Row],[ProductID]], products[], 4, FALSE), categories[], 2, FALSE)</f>
        <v>Seafood</v>
      </c>
      <c r="H384">
        <f>VLOOKUP(order_details[[#This Row],[ProductID]], products[], 4, FALSE)</f>
        <v>8</v>
      </c>
      <c r="I384" t="str">
        <f>VLOOKUP(order_details[[#This Row],[OrderID]], orders[[OrderID]:[ShipCountry]], 14, FALSE)</f>
        <v>Germany</v>
      </c>
      <c r="J384" s="1">
        <f>_xlfn.XLOOKUP(order_details[[#This Row],[OrderID]], orders[OrderID], orders[Month])</f>
        <v>1</v>
      </c>
    </row>
    <row r="385" spans="1:10" x14ac:dyDescent="0.35">
      <c r="A385">
        <v>10392</v>
      </c>
      <c r="B385">
        <v>69</v>
      </c>
      <c r="C385">
        <v>28.8</v>
      </c>
      <c r="D385">
        <v>50</v>
      </c>
      <c r="E385">
        <v>0</v>
      </c>
      <c r="F385">
        <v>1440</v>
      </c>
      <c r="G385" t="str">
        <f>VLOOKUP(VLOOKUP(order_details[[#This Row],[ProductID]], products[], 4, FALSE), categories[], 2, FALSE)</f>
        <v>Dairy Products</v>
      </c>
      <c r="H385">
        <f>VLOOKUP(order_details[[#This Row],[ProductID]], products[], 4, FALSE)</f>
        <v>4</v>
      </c>
      <c r="I385" t="str">
        <f>VLOOKUP(order_details[[#This Row],[OrderID]], orders[[OrderID]:[ShipCountry]], 14, FALSE)</f>
        <v>Austria</v>
      </c>
      <c r="J385" s="1">
        <f>_xlfn.XLOOKUP(order_details[[#This Row],[OrderID]], orders[OrderID], orders[Month])</f>
        <v>1</v>
      </c>
    </row>
    <row r="386" spans="1:10" x14ac:dyDescent="0.35">
      <c r="A386">
        <v>10393</v>
      </c>
      <c r="B386">
        <v>2</v>
      </c>
      <c r="C386">
        <v>15.2</v>
      </c>
      <c r="D386">
        <v>25</v>
      </c>
      <c r="E386">
        <v>0.25</v>
      </c>
      <c r="F386">
        <v>285</v>
      </c>
      <c r="G386" t="str">
        <f>VLOOKUP(VLOOKUP(order_details[[#This Row],[ProductID]], products[], 4, FALSE), categories[], 2, FALSE)</f>
        <v>Beverages</v>
      </c>
      <c r="H386">
        <f>VLOOKUP(order_details[[#This Row],[ProductID]], products[], 4, FALSE)</f>
        <v>1</v>
      </c>
      <c r="I386" t="str">
        <f>VLOOKUP(order_details[[#This Row],[OrderID]], orders[[OrderID]:[ShipCountry]], 14, FALSE)</f>
        <v>USA</v>
      </c>
      <c r="J386" s="1">
        <f>_xlfn.XLOOKUP(order_details[[#This Row],[OrderID]], orders[OrderID], orders[Month])</f>
        <v>1</v>
      </c>
    </row>
    <row r="387" spans="1:10" x14ac:dyDescent="0.35">
      <c r="A387">
        <v>10393</v>
      </c>
      <c r="B387">
        <v>14</v>
      </c>
      <c r="C387">
        <v>18.600000000000001</v>
      </c>
      <c r="D387">
        <v>42</v>
      </c>
      <c r="E387">
        <v>0.25</v>
      </c>
      <c r="F387">
        <v>585.90000000000009</v>
      </c>
      <c r="G387" t="str">
        <f>VLOOKUP(VLOOKUP(order_details[[#This Row],[ProductID]], products[], 4, FALSE), categories[], 2, FALSE)</f>
        <v>Produce</v>
      </c>
      <c r="H387">
        <f>VLOOKUP(order_details[[#This Row],[ProductID]], products[], 4, FALSE)</f>
        <v>7</v>
      </c>
      <c r="I387" t="str">
        <f>VLOOKUP(order_details[[#This Row],[OrderID]], orders[[OrderID]:[ShipCountry]], 14, FALSE)</f>
        <v>USA</v>
      </c>
      <c r="J387" s="1">
        <f>_xlfn.XLOOKUP(order_details[[#This Row],[OrderID]], orders[OrderID], orders[Month])</f>
        <v>1</v>
      </c>
    </row>
    <row r="388" spans="1:10" x14ac:dyDescent="0.35">
      <c r="A388">
        <v>10393</v>
      </c>
      <c r="B388">
        <v>25</v>
      </c>
      <c r="C388">
        <v>11.2</v>
      </c>
      <c r="D388">
        <v>7</v>
      </c>
      <c r="E388">
        <v>0.25</v>
      </c>
      <c r="F388">
        <v>58.8</v>
      </c>
      <c r="G388" t="str">
        <f>VLOOKUP(VLOOKUP(order_details[[#This Row],[ProductID]], products[], 4, FALSE), categories[], 2, FALSE)</f>
        <v>Confections</v>
      </c>
      <c r="H388">
        <f>VLOOKUP(order_details[[#This Row],[ProductID]], products[], 4, FALSE)</f>
        <v>3</v>
      </c>
      <c r="I388" t="str">
        <f>VLOOKUP(order_details[[#This Row],[OrderID]], orders[[OrderID]:[ShipCountry]], 14, FALSE)</f>
        <v>USA</v>
      </c>
      <c r="J388" s="1">
        <f>_xlfn.XLOOKUP(order_details[[#This Row],[OrderID]], orders[OrderID], orders[Month])</f>
        <v>1</v>
      </c>
    </row>
    <row r="389" spans="1:10" x14ac:dyDescent="0.35">
      <c r="A389">
        <v>10393</v>
      </c>
      <c r="B389">
        <v>26</v>
      </c>
      <c r="C389">
        <v>24.9</v>
      </c>
      <c r="D389">
        <v>70</v>
      </c>
      <c r="E389">
        <v>0.25</v>
      </c>
      <c r="F389">
        <v>1307.25</v>
      </c>
      <c r="G389" t="str">
        <f>VLOOKUP(VLOOKUP(order_details[[#This Row],[ProductID]], products[], 4, FALSE), categories[], 2, FALSE)</f>
        <v>Confections</v>
      </c>
      <c r="H389">
        <f>VLOOKUP(order_details[[#This Row],[ProductID]], products[], 4, FALSE)</f>
        <v>3</v>
      </c>
      <c r="I389" t="str">
        <f>VLOOKUP(order_details[[#This Row],[OrderID]], orders[[OrderID]:[ShipCountry]], 14, FALSE)</f>
        <v>USA</v>
      </c>
      <c r="J389" s="1">
        <f>_xlfn.XLOOKUP(order_details[[#This Row],[OrderID]], orders[OrderID], orders[Month])</f>
        <v>1</v>
      </c>
    </row>
    <row r="390" spans="1:10" x14ac:dyDescent="0.35">
      <c r="A390">
        <v>10393</v>
      </c>
      <c r="B390">
        <v>31</v>
      </c>
      <c r="C390">
        <v>10</v>
      </c>
      <c r="D390">
        <v>32</v>
      </c>
      <c r="E390">
        <v>0</v>
      </c>
      <c r="F390">
        <v>320</v>
      </c>
      <c r="G390" t="str">
        <f>VLOOKUP(VLOOKUP(order_details[[#This Row],[ProductID]], products[], 4, FALSE), categories[], 2, FALSE)</f>
        <v>Dairy Products</v>
      </c>
      <c r="H390">
        <f>VLOOKUP(order_details[[#This Row],[ProductID]], products[], 4, FALSE)</f>
        <v>4</v>
      </c>
      <c r="I390" t="str">
        <f>VLOOKUP(order_details[[#This Row],[OrderID]], orders[[OrderID]:[ShipCountry]], 14, FALSE)</f>
        <v>USA</v>
      </c>
      <c r="J390" s="1">
        <f>_xlfn.XLOOKUP(order_details[[#This Row],[OrderID]], orders[OrderID], orders[Month])</f>
        <v>1</v>
      </c>
    </row>
    <row r="391" spans="1:10" x14ac:dyDescent="0.35">
      <c r="A391">
        <v>10394</v>
      </c>
      <c r="B391">
        <v>13</v>
      </c>
      <c r="C391">
        <v>4.8</v>
      </c>
      <c r="D391">
        <v>10</v>
      </c>
      <c r="E391">
        <v>0</v>
      </c>
      <c r="F391">
        <v>48</v>
      </c>
      <c r="G391" t="str">
        <f>VLOOKUP(VLOOKUP(order_details[[#This Row],[ProductID]], products[], 4, FALSE), categories[], 2, FALSE)</f>
        <v>Seafood</v>
      </c>
      <c r="H391">
        <f>VLOOKUP(order_details[[#This Row],[ProductID]], products[], 4, FALSE)</f>
        <v>8</v>
      </c>
      <c r="I391" t="str">
        <f>VLOOKUP(order_details[[#This Row],[OrderID]], orders[[OrderID]:[ShipCountry]], 14, FALSE)</f>
        <v>USA</v>
      </c>
      <c r="J391" s="1">
        <f>_xlfn.XLOOKUP(order_details[[#This Row],[OrderID]], orders[OrderID], orders[Month])</f>
        <v>1</v>
      </c>
    </row>
    <row r="392" spans="1:10" x14ac:dyDescent="0.35">
      <c r="A392">
        <v>10394</v>
      </c>
      <c r="B392">
        <v>62</v>
      </c>
      <c r="C392">
        <v>39.4</v>
      </c>
      <c r="D392">
        <v>10</v>
      </c>
      <c r="E392">
        <v>0</v>
      </c>
      <c r="F392">
        <v>394</v>
      </c>
      <c r="G392" t="str">
        <f>VLOOKUP(VLOOKUP(order_details[[#This Row],[ProductID]], products[], 4, FALSE), categories[], 2, FALSE)</f>
        <v>Confections</v>
      </c>
      <c r="H392">
        <f>VLOOKUP(order_details[[#This Row],[ProductID]], products[], 4, FALSE)</f>
        <v>3</v>
      </c>
      <c r="I392" t="str">
        <f>VLOOKUP(order_details[[#This Row],[OrderID]], orders[[OrderID]:[ShipCountry]], 14, FALSE)</f>
        <v>USA</v>
      </c>
      <c r="J392" s="1">
        <f>_xlfn.XLOOKUP(order_details[[#This Row],[OrderID]], orders[OrderID], orders[Month])</f>
        <v>1</v>
      </c>
    </row>
    <row r="393" spans="1:10" x14ac:dyDescent="0.35">
      <c r="A393">
        <v>10395</v>
      </c>
      <c r="B393">
        <v>46</v>
      </c>
      <c r="C393">
        <v>9.6</v>
      </c>
      <c r="D393">
        <v>28</v>
      </c>
      <c r="E393">
        <v>0.1</v>
      </c>
      <c r="F393">
        <v>241.92000000000002</v>
      </c>
      <c r="G393" t="str">
        <f>VLOOKUP(VLOOKUP(order_details[[#This Row],[ProductID]], products[], 4, FALSE), categories[], 2, FALSE)</f>
        <v>Seafood</v>
      </c>
      <c r="H393">
        <f>VLOOKUP(order_details[[#This Row],[ProductID]], products[], 4, FALSE)</f>
        <v>8</v>
      </c>
      <c r="I393" t="str">
        <f>VLOOKUP(order_details[[#This Row],[OrderID]], orders[[OrderID]:[ShipCountry]], 14, FALSE)</f>
        <v>Venezuela</v>
      </c>
      <c r="J393" s="1">
        <f>_xlfn.XLOOKUP(order_details[[#This Row],[OrderID]], orders[OrderID], orders[Month])</f>
        <v>1</v>
      </c>
    </row>
    <row r="394" spans="1:10" x14ac:dyDescent="0.35">
      <c r="A394">
        <v>10395</v>
      </c>
      <c r="B394">
        <v>53</v>
      </c>
      <c r="C394">
        <v>26.2</v>
      </c>
      <c r="D394">
        <v>70</v>
      </c>
      <c r="E394">
        <v>0.1</v>
      </c>
      <c r="F394">
        <v>1650.6000000000001</v>
      </c>
      <c r="G394" t="str">
        <f>VLOOKUP(VLOOKUP(order_details[[#This Row],[ProductID]], products[], 4, FALSE), categories[], 2, FALSE)</f>
        <v>Meat/Poultry</v>
      </c>
      <c r="H394">
        <f>VLOOKUP(order_details[[#This Row],[ProductID]], products[], 4, FALSE)</f>
        <v>6</v>
      </c>
      <c r="I394" t="str">
        <f>VLOOKUP(order_details[[#This Row],[OrderID]], orders[[OrderID]:[ShipCountry]], 14, FALSE)</f>
        <v>Venezuela</v>
      </c>
      <c r="J394" s="1">
        <f>_xlfn.XLOOKUP(order_details[[#This Row],[OrderID]], orders[OrderID], orders[Month])</f>
        <v>1</v>
      </c>
    </row>
    <row r="395" spans="1:10" x14ac:dyDescent="0.35">
      <c r="A395">
        <v>10395</v>
      </c>
      <c r="B395">
        <v>69</v>
      </c>
      <c r="C395">
        <v>28.8</v>
      </c>
      <c r="D395">
        <v>8</v>
      </c>
      <c r="E395">
        <v>0</v>
      </c>
      <c r="F395">
        <v>230.4</v>
      </c>
      <c r="G395" t="str">
        <f>VLOOKUP(VLOOKUP(order_details[[#This Row],[ProductID]], products[], 4, FALSE), categories[], 2, FALSE)</f>
        <v>Dairy Products</v>
      </c>
      <c r="H395">
        <f>VLOOKUP(order_details[[#This Row],[ProductID]], products[], 4, FALSE)</f>
        <v>4</v>
      </c>
      <c r="I395" t="str">
        <f>VLOOKUP(order_details[[#This Row],[OrderID]], orders[[OrderID]:[ShipCountry]], 14, FALSE)</f>
        <v>Venezuela</v>
      </c>
      <c r="J395" s="1">
        <f>_xlfn.XLOOKUP(order_details[[#This Row],[OrderID]], orders[OrderID], orders[Month])</f>
        <v>1</v>
      </c>
    </row>
    <row r="396" spans="1:10" x14ac:dyDescent="0.35">
      <c r="A396">
        <v>10396</v>
      </c>
      <c r="B396">
        <v>23</v>
      </c>
      <c r="C396">
        <v>7.2</v>
      </c>
      <c r="D396">
        <v>40</v>
      </c>
      <c r="E396">
        <v>0</v>
      </c>
      <c r="F396">
        <v>288</v>
      </c>
      <c r="G396" t="str">
        <f>VLOOKUP(VLOOKUP(order_details[[#This Row],[ProductID]], products[], 4, FALSE), categories[], 2, FALSE)</f>
        <v>Grains/Cereals</v>
      </c>
      <c r="H396">
        <f>VLOOKUP(order_details[[#This Row],[ProductID]], products[], 4, FALSE)</f>
        <v>5</v>
      </c>
      <c r="I396" t="str">
        <f>VLOOKUP(order_details[[#This Row],[OrderID]], orders[[OrderID]:[ShipCountry]], 14, FALSE)</f>
        <v>Germany</v>
      </c>
      <c r="J396" s="1">
        <f>_xlfn.XLOOKUP(order_details[[#This Row],[OrderID]], orders[OrderID], orders[Month])</f>
        <v>1</v>
      </c>
    </row>
    <row r="397" spans="1:10" x14ac:dyDescent="0.35">
      <c r="A397">
        <v>10396</v>
      </c>
      <c r="B397">
        <v>71</v>
      </c>
      <c r="C397">
        <v>17.2</v>
      </c>
      <c r="D397">
        <v>60</v>
      </c>
      <c r="E397">
        <v>0</v>
      </c>
      <c r="F397">
        <v>1032</v>
      </c>
      <c r="G397" t="str">
        <f>VLOOKUP(VLOOKUP(order_details[[#This Row],[ProductID]], products[], 4, FALSE), categories[], 2, FALSE)</f>
        <v>Dairy Products</v>
      </c>
      <c r="H397">
        <f>VLOOKUP(order_details[[#This Row],[ProductID]], products[], 4, FALSE)</f>
        <v>4</v>
      </c>
      <c r="I397" t="str">
        <f>VLOOKUP(order_details[[#This Row],[OrderID]], orders[[OrderID]:[ShipCountry]], 14, FALSE)</f>
        <v>Germany</v>
      </c>
      <c r="J397" s="1">
        <f>_xlfn.XLOOKUP(order_details[[#This Row],[OrderID]], orders[OrderID], orders[Month])</f>
        <v>1</v>
      </c>
    </row>
    <row r="398" spans="1:10" x14ac:dyDescent="0.35">
      <c r="A398">
        <v>10396</v>
      </c>
      <c r="B398">
        <v>72</v>
      </c>
      <c r="C398">
        <v>27.8</v>
      </c>
      <c r="D398">
        <v>21</v>
      </c>
      <c r="E398">
        <v>0</v>
      </c>
      <c r="F398">
        <v>583.80000000000007</v>
      </c>
      <c r="G398" t="str">
        <f>VLOOKUP(VLOOKUP(order_details[[#This Row],[ProductID]], products[], 4, FALSE), categories[], 2, FALSE)</f>
        <v>Dairy Products</v>
      </c>
      <c r="H398">
        <f>VLOOKUP(order_details[[#This Row],[ProductID]], products[], 4, FALSE)</f>
        <v>4</v>
      </c>
      <c r="I398" t="str">
        <f>VLOOKUP(order_details[[#This Row],[OrderID]], orders[[OrderID]:[ShipCountry]], 14, FALSE)</f>
        <v>Germany</v>
      </c>
      <c r="J398" s="1">
        <f>_xlfn.XLOOKUP(order_details[[#This Row],[OrderID]], orders[OrderID], orders[Month])</f>
        <v>1</v>
      </c>
    </row>
    <row r="399" spans="1:10" x14ac:dyDescent="0.35">
      <c r="A399">
        <v>10397</v>
      </c>
      <c r="B399">
        <v>21</v>
      </c>
      <c r="C399">
        <v>8</v>
      </c>
      <c r="D399">
        <v>10</v>
      </c>
      <c r="E399">
        <v>0.15</v>
      </c>
      <c r="F399">
        <v>68</v>
      </c>
      <c r="G399" t="str">
        <f>VLOOKUP(VLOOKUP(order_details[[#This Row],[ProductID]], products[], 4, FALSE), categories[], 2, FALSE)</f>
        <v>Confections</v>
      </c>
      <c r="H399">
        <f>VLOOKUP(order_details[[#This Row],[ProductID]], products[], 4, FALSE)</f>
        <v>3</v>
      </c>
      <c r="I399" t="str">
        <f>VLOOKUP(order_details[[#This Row],[OrderID]], orders[[OrderID]:[ShipCountry]], 14, FALSE)</f>
        <v>Portugal</v>
      </c>
      <c r="J399" s="1">
        <f>_xlfn.XLOOKUP(order_details[[#This Row],[OrderID]], orders[OrderID], orders[Month])</f>
        <v>1</v>
      </c>
    </row>
    <row r="400" spans="1:10" x14ac:dyDescent="0.35">
      <c r="A400">
        <v>10397</v>
      </c>
      <c r="B400">
        <v>51</v>
      </c>
      <c r="C400">
        <v>42.4</v>
      </c>
      <c r="D400">
        <v>18</v>
      </c>
      <c r="E400">
        <v>0.15</v>
      </c>
      <c r="F400">
        <v>648.71999999999991</v>
      </c>
      <c r="G400" t="str">
        <f>VLOOKUP(VLOOKUP(order_details[[#This Row],[ProductID]], products[], 4, FALSE), categories[], 2, FALSE)</f>
        <v>Produce</v>
      </c>
      <c r="H400">
        <f>VLOOKUP(order_details[[#This Row],[ProductID]], products[], 4, FALSE)</f>
        <v>7</v>
      </c>
      <c r="I400" t="str">
        <f>VLOOKUP(order_details[[#This Row],[OrderID]], orders[[OrderID]:[ShipCountry]], 14, FALSE)</f>
        <v>Portugal</v>
      </c>
      <c r="J400" s="1">
        <f>_xlfn.XLOOKUP(order_details[[#This Row],[OrderID]], orders[OrderID], orders[Month])</f>
        <v>1</v>
      </c>
    </row>
    <row r="401" spans="1:10" x14ac:dyDescent="0.35">
      <c r="A401">
        <v>10398</v>
      </c>
      <c r="B401">
        <v>35</v>
      </c>
      <c r="C401">
        <v>14.4</v>
      </c>
      <c r="D401">
        <v>30</v>
      </c>
      <c r="E401">
        <v>0</v>
      </c>
      <c r="F401">
        <v>432</v>
      </c>
      <c r="G401" t="str">
        <f>VLOOKUP(VLOOKUP(order_details[[#This Row],[ProductID]], products[], 4, FALSE), categories[], 2, FALSE)</f>
        <v>Beverages</v>
      </c>
      <c r="H401">
        <f>VLOOKUP(order_details[[#This Row],[ProductID]], products[], 4, FALSE)</f>
        <v>1</v>
      </c>
      <c r="I401" t="str">
        <f>VLOOKUP(order_details[[#This Row],[OrderID]], orders[[OrderID]:[ShipCountry]], 14, FALSE)</f>
        <v>USA</v>
      </c>
      <c r="J401" s="1">
        <f>_xlfn.XLOOKUP(order_details[[#This Row],[OrderID]], orders[OrderID], orders[Month])</f>
        <v>1</v>
      </c>
    </row>
    <row r="402" spans="1:10" x14ac:dyDescent="0.35">
      <c r="A402">
        <v>10398</v>
      </c>
      <c r="B402">
        <v>55</v>
      </c>
      <c r="C402">
        <v>19.2</v>
      </c>
      <c r="D402">
        <v>120</v>
      </c>
      <c r="E402">
        <v>0.1</v>
      </c>
      <c r="F402">
        <v>2073.6</v>
      </c>
      <c r="G402" t="str">
        <f>VLOOKUP(VLOOKUP(order_details[[#This Row],[ProductID]], products[], 4, FALSE), categories[], 2, FALSE)</f>
        <v>Meat/Poultry</v>
      </c>
      <c r="H402">
        <f>VLOOKUP(order_details[[#This Row],[ProductID]], products[], 4, FALSE)</f>
        <v>6</v>
      </c>
      <c r="I402" t="str">
        <f>VLOOKUP(order_details[[#This Row],[OrderID]], orders[[OrderID]:[ShipCountry]], 14, FALSE)</f>
        <v>USA</v>
      </c>
      <c r="J402" s="1">
        <f>_xlfn.XLOOKUP(order_details[[#This Row],[OrderID]], orders[OrderID], orders[Month])</f>
        <v>1</v>
      </c>
    </row>
    <row r="403" spans="1:10" x14ac:dyDescent="0.35">
      <c r="A403">
        <v>10399</v>
      </c>
      <c r="B403">
        <v>68</v>
      </c>
      <c r="C403">
        <v>10</v>
      </c>
      <c r="D403">
        <v>60</v>
      </c>
      <c r="E403">
        <v>0</v>
      </c>
      <c r="F403">
        <v>600</v>
      </c>
      <c r="G403" t="str">
        <f>VLOOKUP(VLOOKUP(order_details[[#This Row],[ProductID]], products[], 4, FALSE), categories[], 2, FALSE)</f>
        <v>Confections</v>
      </c>
      <c r="H403">
        <f>VLOOKUP(order_details[[#This Row],[ProductID]], products[], 4, FALSE)</f>
        <v>3</v>
      </c>
      <c r="I403" t="str">
        <f>VLOOKUP(order_details[[#This Row],[OrderID]], orders[[OrderID]:[ShipCountry]], 14, FALSE)</f>
        <v>Denmark</v>
      </c>
      <c r="J403" s="1">
        <f>_xlfn.XLOOKUP(order_details[[#This Row],[OrderID]], orders[OrderID], orders[Month])</f>
        <v>1</v>
      </c>
    </row>
    <row r="404" spans="1:10" x14ac:dyDescent="0.35">
      <c r="A404">
        <v>10399</v>
      </c>
      <c r="B404">
        <v>71</v>
      </c>
      <c r="C404">
        <v>17.2</v>
      </c>
      <c r="D404">
        <v>30</v>
      </c>
      <c r="E404">
        <v>0</v>
      </c>
      <c r="F404">
        <v>516</v>
      </c>
      <c r="G404" t="str">
        <f>VLOOKUP(VLOOKUP(order_details[[#This Row],[ProductID]], products[], 4, FALSE), categories[], 2, FALSE)</f>
        <v>Dairy Products</v>
      </c>
      <c r="H404">
        <f>VLOOKUP(order_details[[#This Row],[ProductID]], products[], 4, FALSE)</f>
        <v>4</v>
      </c>
      <c r="I404" t="str">
        <f>VLOOKUP(order_details[[#This Row],[OrderID]], orders[[OrderID]:[ShipCountry]], 14, FALSE)</f>
        <v>Denmark</v>
      </c>
      <c r="J404" s="1">
        <f>_xlfn.XLOOKUP(order_details[[#This Row],[OrderID]], orders[OrderID], orders[Month])</f>
        <v>1</v>
      </c>
    </row>
    <row r="405" spans="1:10" x14ac:dyDescent="0.35">
      <c r="A405">
        <v>10399</v>
      </c>
      <c r="B405">
        <v>76</v>
      </c>
      <c r="C405">
        <v>14.4</v>
      </c>
      <c r="D405">
        <v>35</v>
      </c>
      <c r="E405">
        <v>0</v>
      </c>
      <c r="F405">
        <v>504</v>
      </c>
      <c r="G405" t="str">
        <f>VLOOKUP(VLOOKUP(order_details[[#This Row],[ProductID]], products[], 4, FALSE), categories[], 2, FALSE)</f>
        <v>Beverages</v>
      </c>
      <c r="H405">
        <f>VLOOKUP(order_details[[#This Row],[ProductID]], products[], 4, FALSE)</f>
        <v>1</v>
      </c>
      <c r="I405" t="str">
        <f>VLOOKUP(order_details[[#This Row],[OrderID]], orders[[OrderID]:[ShipCountry]], 14, FALSE)</f>
        <v>Denmark</v>
      </c>
      <c r="J405" s="1">
        <f>_xlfn.XLOOKUP(order_details[[#This Row],[OrderID]], orders[OrderID], orders[Month])</f>
        <v>1</v>
      </c>
    </row>
    <row r="406" spans="1:10" x14ac:dyDescent="0.35">
      <c r="A406">
        <v>10399</v>
      </c>
      <c r="B406">
        <v>77</v>
      </c>
      <c r="C406">
        <v>10.4</v>
      </c>
      <c r="D406">
        <v>14</v>
      </c>
      <c r="E406">
        <v>0</v>
      </c>
      <c r="F406">
        <v>145.6</v>
      </c>
      <c r="G406" t="str">
        <f>VLOOKUP(VLOOKUP(order_details[[#This Row],[ProductID]], products[], 4, FALSE), categories[], 2, FALSE)</f>
        <v>Condiments</v>
      </c>
      <c r="H406">
        <f>VLOOKUP(order_details[[#This Row],[ProductID]], products[], 4, FALSE)</f>
        <v>2</v>
      </c>
      <c r="I406" t="str">
        <f>VLOOKUP(order_details[[#This Row],[OrderID]], orders[[OrderID]:[ShipCountry]], 14, FALSE)</f>
        <v>Denmark</v>
      </c>
      <c r="J406" s="1">
        <f>_xlfn.XLOOKUP(order_details[[#This Row],[OrderID]], orders[OrderID], orders[Month])</f>
        <v>1</v>
      </c>
    </row>
    <row r="407" spans="1:10" x14ac:dyDescent="0.35">
      <c r="A407">
        <v>10400</v>
      </c>
      <c r="B407">
        <v>29</v>
      </c>
      <c r="C407">
        <v>99</v>
      </c>
      <c r="D407">
        <v>21</v>
      </c>
      <c r="E407">
        <v>0</v>
      </c>
      <c r="F407">
        <v>2079</v>
      </c>
      <c r="G407" t="str">
        <f>VLOOKUP(VLOOKUP(order_details[[#This Row],[ProductID]], products[], 4, FALSE), categories[], 2, FALSE)</f>
        <v>Meat/Poultry</v>
      </c>
      <c r="H407">
        <f>VLOOKUP(order_details[[#This Row],[ProductID]], products[], 4, FALSE)</f>
        <v>6</v>
      </c>
      <c r="I407" t="str">
        <f>VLOOKUP(order_details[[#This Row],[OrderID]], orders[[OrderID]:[ShipCountry]], 14, FALSE)</f>
        <v>UK</v>
      </c>
      <c r="J407" s="1">
        <f>_xlfn.XLOOKUP(order_details[[#This Row],[OrderID]], orders[OrderID], orders[Month])</f>
        <v>2</v>
      </c>
    </row>
    <row r="408" spans="1:10" x14ac:dyDescent="0.35">
      <c r="A408">
        <v>10400</v>
      </c>
      <c r="B408">
        <v>35</v>
      </c>
      <c r="C408">
        <v>14.4</v>
      </c>
      <c r="D408">
        <v>35</v>
      </c>
      <c r="E408">
        <v>0</v>
      </c>
      <c r="F408">
        <v>504</v>
      </c>
      <c r="G408" t="str">
        <f>VLOOKUP(VLOOKUP(order_details[[#This Row],[ProductID]], products[], 4, FALSE), categories[], 2, FALSE)</f>
        <v>Beverages</v>
      </c>
      <c r="H408">
        <f>VLOOKUP(order_details[[#This Row],[ProductID]], products[], 4, FALSE)</f>
        <v>1</v>
      </c>
      <c r="I408" t="str">
        <f>VLOOKUP(order_details[[#This Row],[OrderID]], orders[[OrderID]:[ShipCountry]], 14, FALSE)</f>
        <v>UK</v>
      </c>
      <c r="J408" s="1">
        <f>_xlfn.XLOOKUP(order_details[[#This Row],[OrderID]], orders[OrderID], orders[Month])</f>
        <v>2</v>
      </c>
    </row>
    <row r="409" spans="1:10" x14ac:dyDescent="0.35">
      <c r="A409">
        <v>10400</v>
      </c>
      <c r="B409">
        <v>49</v>
      </c>
      <c r="C409">
        <v>16</v>
      </c>
      <c r="D409">
        <v>30</v>
      </c>
      <c r="E409">
        <v>0</v>
      </c>
      <c r="F409">
        <v>480</v>
      </c>
      <c r="G409" t="str">
        <f>VLOOKUP(VLOOKUP(order_details[[#This Row],[ProductID]], products[], 4, FALSE), categories[], 2, FALSE)</f>
        <v>Confections</v>
      </c>
      <c r="H409">
        <f>VLOOKUP(order_details[[#This Row],[ProductID]], products[], 4, FALSE)</f>
        <v>3</v>
      </c>
      <c r="I409" t="str">
        <f>VLOOKUP(order_details[[#This Row],[OrderID]], orders[[OrderID]:[ShipCountry]], 14, FALSE)</f>
        <v>UK</v>
      </c>
      <c r="J409" s="1">
        <f>_xlfn.XLOOKUP(order_details[[#This Row],[OrderID]], orders[OrderID], orders[Month])</f>
        <v>2</v>
      </c>
    </row>
    <row r="410" spans="1:10" x14ac:dyDescent="0.35">
      <c r="A410">
        <v>10401</v>
      </c>
      <c r="B410">
        <v>30</v>
      </c>
      <c r="C410">
        <v>20.7</v>
      </c>
      <c r="D410">
        <v>18</v>
      </c>
      <c r="E410">
        <v>0</v>
      </c>
      <c r="F410">
        <v>372.59999999999997</v>
      </c>
      <c r="G410" t="str">
        <f>VLOOKUP(VLOOKUP(order_details[[#This Row],[ProductID]], products[], 4, FALSE), categories[], 2, FALSE)</f>
        <v>Seafood</v>
      </c>
      <c r="H410">
        <f>VLOOKUP(order_details[[#This Row],[ProductID]], products[], 4, FALSE)</f>
        <v>8</v>
      </c>
      <c r="I410" t="str">
        <f>VLOOKUP(order_details[[#This Row],[OrderID]], orders[[OrderID]:[ShipCountry]], 14, FALSE)</f>
        <v>USA</v>
      </c>
      <c r="J410" s="1">
        <f>_xlfn.XLOOKUP(order_details[[#This Row],[OrderID]], orders[OrderID], orders[Month])</f>
        <v>2</v>
      </c>
    </row>
    <row r="411" spans="1:10" x14ac:dyDescent="0.35">
      <c r="A411">
        <v>10401</v>
      </c>
      <c r="B411">
        <v>56</v>
      </c>
      <c r="C411">
        <v>30.4</v>
      </c>
      <c r="D411">
        <v>70</v>
      </c>
      <c r="E411">
        <v>0</v>
      </c>
      <c r="F411">
        <v>2128</v>
      </c>
      <c r="G411" t="str">
        <f>VLOOKUP(VLOOKUP(order_details[[#This Row],[ProductID]], products[], 4, FALSE), categories[], 2, FALSE)</f>
        <v>Grains/Cereals</v>
      </c>
      <c r="H411">
        <f>VLOOKUP(order_details[[#This Row],[ProductID]], products[], 4, FALSE)</f>
        <v>5</v>
      </c>
      <c r="I411" t="str">
        <f>VLOOKUP(order_details[[#This Row],[OrderID]], orders[[OrderID]:[ShipCountry]], 14, FALSE)</f>
        <v>USA</v>
      </c>
      <c r="J411" s="1">
        <f>_xlfn.XLOOKUP(order_details[[#This Row],[OrderID]], orders[OrderID], orders[Month])</f>
        <v>2</v>
      </c>
    </row>
    <row r="412" spans="1:10" x14ac:dyDescent="0.35">
      <c r="A412">
        <v>10401</v>
      </c>
      <c r="B412">
        <v>65</v>
      </c>
      <c r="C412">
        <v>16.8</v>
      </c>
      <c r="D412">
        <v>20</v>
      </c>
      <c r="E412">
        <v>0</v>
      </c>
      <c r="F412">
        <v>336</v>
      </c>
      <c r="G412" t="str">
        <f>VLOOKUP(VLOOKUP(order_details[[#This Row],[ProductID]], products[], 4, FALSE), categories[], 2, FALSE)</f>
        <v>Condiments</v>
      </c>
      <c r="H412">
        <f>VLOOKUP(order_details[[#This Row],[ProductID]], products[], 4, FALSE)</f>
        <v>2</v>
      </c>
      <c r="I412" t="str">
        <f>VLOOKUP(order_details[[#This Row],[OrderID]], orders[[OrderID]:[ShipCountry]], 14, FALSE)</f>
        <v>USA</v>
      </c>
      <c r="J412" s="1">
        <f>_xlfn.XLOOKUP(order_details[[#This Row],[OrderID]], orders[OrderID], orders[Month])</f>
        <v>2</v>
      </c>
    </row>
    <row r="413" spans="1:10" x14ac:dyDescent="0.35">
      <c r="A413">
        <v>10401</v>
      </c>
      <c r="B413">
        <v>71</v>
      </c>
      <c r="C413">
        <v>17.2</v>
      </c>
      <c r="D413">
        <v>60</v>
      </c>
      <c r="E413">
        <v>0</v>
      </c>
      <c r="F413">
        <v>1032</v>
      </c>
      <c r="G413" t="str">
        <f>VLOOKUP(VLOOKUP(order_details[[#This Row],[ProductID]], products[], 4, FALSE), categories[], 2, FALSE)</f>
        <v>Dairy Products</v>
      </c>
      <c r="H413">
        <f>VLOOKUP(order_details[[#This Row],[ProductID]], products[], 4, FALSE)</f>
        <v>4</v>
      </c>
      <c r="I413" t="str">
        <f>VLOOKUP(order_details[[#This Row],[OrderID]], orders[[OrderID]:[ShipCountry]], 14, FALSE)</f>
        <v>USA</v>
      </c>
      <c r="J413" s="1">
        <f>_xlfn.XLOOKUP(order_details[[#This Row],[OrderID]], orders[OrderID], orders[Month])</f>
        <v>2</v>
      </c>
    </row>
    <row r="414" spans="1:10" x14ac:dyDescent="0.35">
      <c r="A414">
        <v>10402</v>
      </c>
      <c r="B414">
        <v>23</v>
      </c>
      <c r="C414">
        <v>7.2</v>
      </c>
      <c r="D414">
        <v>60</v>
      </c>
      <c r="E414">
        <v>0</v>
      </c>
      <c r="F414">
        <v>432</v>
      </c>
      <c r="G414" t="str">
        <f>VLOOKUP(VLOOKUP(order_details[[#This Row],[ProductID]], products[], 4, FALSE), categories[], 2, FALSE)</f>
        <v>Grains/Cereals</v>
      </c>
      <c r="H414">
        <f>VLOOKUP(order_details[[#This Row],[ProductID]], products[], 4, FALSE)</f>
        <v>5</v>
      </c>
      <c r="I414" t="str">
        <f>VLOOKUP(order_details[[#This Row],[OrderID]], orders[[OrderID]:[ShipCountry]], 14, FALSE)</f>
        <v>Austria</v>
      </c>
      <c r="J414" s="1">
        <f>_xlfn.XLOOKUP(order_details[[#This Row],[OrderID]], orders[OrderID], orders[Month])</f>
        <v>2</v>
      </c>
    </row>
    <row r="415" spans="1:10" x14ac:dyDescent="0.35">
      <c r="A415">
        <v>10402</v>
      </c>
      <c r="B415">
        <v>63</v>
      </c>
      <c r="C415">
        <v>35.1</v>
      </c>
      <c r="D415">
        <v>65</v>
      </c>
      <c r="E415">
        <v>0</v>
      </c>
      <c r="F415">
        <v>2281.5</v>
      </c>
      <c r="G415" t="str">
        <f>VLOOKUP(VLOOKUP(order_details[[#This Row],[ProductID]], products[], 4, FALSE), categories[], 2, FALSE)</f>
        <v>Condiments</v>
      </c>
      <c r="H415">
        <f>VLOOKUP(order_details[[#This Row],[ProductID]], products[], 4, FALSE)</f>
        <v>2</v>
      </c>
      <c r="I415" t="str">
        <f>VLOOKUP(order_details[[#This Row],[OrderID]], orders[[OrderID]:[ShipCountry]], 14, FALSE)</f>
        <v>Austria</v>
      </c>
      <c r="J415" s="1">
        <f>_xlfn.XLOOKUP(order_details[[#This Row],[OrderID]], orders[OrderID], orders[Month])</f>
        <v>2</v>
      </c>
    </row>
    <row r="416" spans="1:10" x14ac:dyDescent="0.35">
      <c r="A416">
        <v>10403</v>
      </c>
      <c r="B416">
        <v>16</v>
      </c>
      <c r="C416">
        <v>13.9</v>
      </c>
      <c r="D416">
        <v>21</v>
      </c>
      <c r="E416">
        <v>0.15</v>
      </c>
      <c r="F416">
        <v>248.11500000000001</v>
      </c>
      <c r="G416" t="str">
        <f>VLOOKUP(VLOOKUP(order_details[[#This Row],[ProductID]], products[], 4, FALSE), categories[], 2, FALSE)</f>
        <v>Confections</v>
      </c>
      <c r="H416">
        <f>VLOOKUP(order_details[[#This Row],[ProductID]], products[], 4, FALSE)</f>
        <v>3</v>
      </c>
      <c r="I416" t="str">
        <f>VLOOKUP(order_details[[#This Row],[OrderID]], orders[[OrderID]:[ShipCountry]], 14, FALSE)</f>
        <v>Austria</v>
      </c>
      <c r="J416" s="1">
        <f>_xlfn.XLOOKUP(order_details[[#This Row],[OrderID]], orders[OrderID], orders[Month])</f>
        <v>2</v>
      </c>
    </row>
    <row r="417" spans="1:10" x14ac:dyDescent="0.35">
      <c r="A417">
        <v>10403</v>
      </c>
      <c r="B417">
        <v>48</v>
      </c>
      <c r="C417">
        <v>10.199999999999999</v>
      </c>
      <c r="D417">
        <v>70</v>
      </c>
      <c r="E417">
        <v>0.15</v>
      </c>
      <c r="F417">
        <v>606.9</v>
      </c>
      <c r="G417" t="str">
        <f>VLOOKUP(VLOOKUP(order_details[[#This Row],[ProductID]], products[], 4, FALSE), categories[], 2, FALSE)</f>
        <v>Confections</v>
      </c>
      <c r="H417">
        <f>VLOOKUP(order_details[[#This Row],[ProductID]], products[], 4, FALSE)</f>
        <v>3</v>
      </c>
      <c r="I417" t="str">
        <f>VLOOKUP(order_details[[#This Row],[OrderID]], orders[[OrderID]:[ShipCountry]], 14, FALSE)</f>
        <v>Austria</v>
      </c>
      <c r="J417" s="1">
        <f>_xlfn.XLOOKUP(order_details[[#This Row],[OrderID]], orders[OrderID], orders[Month])</f>
        <v>2</v>
      </c>
    </row>
    <row r="418" spans="1:10" x14ac:dyDescent="0.35">
      <c r="A418">
        <v>10404</v>
      </c>
      <c r="B418">
        <v>26</v>
      </c>
      <c r="C418">
        <v>24.9</v>
      </c>
      <c r="D418">
        <v>30</v>
      </c>
      <c r="E418">
        <v>0.05</v>
      </c>
      <c r="F418">
        <v>709.65</v>
      </c>
      <c r="G418" t="str">
        <f>VLOOKUP(VLOOKUP(order_details[[#This Row],[ProductID]], products[], 4, FALSE), categories[], 2, FALSE)</f>
        <v>Confections</v>
      </c>
      <c r="H418">
        <f>VLOOKUP(order_details[[#This Row],[ProductID]], products[], 4, FALSE)</f>
        <v>3</v>
      </c>
      <c r="I418" t="str">
        <f>VLOOKUP(order_details[[#This Row],[OrderID]], orders[[OrderID]:[ShipCountry]], 14, FALSE)</f>
        <v>Italy</v>
      </c>
      <c r="J418" s="1">
        <f>_xlfn.XLOOKUP(order_details[[#This Row],[OrderID]], orders[OrderID], orders[Month])</f>
        <v>2</v>
      </c>
    </row>
    <row r="419" spans="1:10" x14ac:dyDescent="0.35">
      <c r="A419">
        <v>10404</v>
      </c>
      <c r="B419">
        <v>42</v>
      </c>
      <c r="C419">
        <v>11.2</v>
      </c>
      <c r="D419">
        <v>40</v>
      </c>
      <c r="E419">
        <v>0.05</v>
      </c>
      <c r="F419">
        <v>425.59999999999997</v>
      </c>
      <c r="G419" t="str">
        <f>VLOOKUP(VLOOKUP(order_details[[#This Row],[ProductID]], products[], 4, FALSE), categories[], 2, FALSE)</f>
        <v>Grains/Cereals</v>
      </c>
      <c r="H419">
        <f>VLOOKUP(order_details[[#This Row],[ProductID]], products[], 4, FALSE)</f>
        <v>5</v>
      </c>
      <c r="I419" t="str">
        <f>VLOOKUP(order_details[[#This Row],[OrderID]], orders[[OrderID]:[ShipCountry]], 14, FALSE)</f>
        <v>Italy</v>
      </c>
      <c r="J419" s="1">
        <f>_xlfn.XLOOKUP(order_details[[#This Row],[OrderID]], orders[OrderID], orders[Month])</f>
        <v>2</v>
      </c>
    </row>
    <row r="420" spans="1:10" x14ac:dyDescent="0.35">
      <c r="A420">
        <v>10404</v>
      </c>
      <c r="B420">
        <v>49</v>
      </c>
      <c r="C420">
        <v>16</v>
      </c>
      <c r="D420">
        <v>30</v>
      </c>
      <c r="E420">
        <v>0.05</v>
      </c>
      <c r="F420">
        <v>456</v>
      </c>
      <c r="G420" t="str">
        <f>VLOOKUP(VLOOKUP(order_details[[#This Row],[ProductID]], products[], 4, FALSE), categories[], 2, FALSE)</f>
        <v>Confections</v>
      </c>
      <c r="H420">
        <f>VLOOKUP(order_details[[#This Row],[ProductID]], products[], 4, FALSE)</f>
        <v>3</v>
      </c>
      <c r="I420" t="str">
        <f>VLOOKUP(order_details[[#This Row],[OrderID]], orders[[OrderID]:[ShipCountry]], 14, FALSE)</f>
        <v>Italy</v>
      </c>
      <c r="J420" s="1">
        <f>_xlfn.XLOOKUP(order_details[[#This Row],[OrderID]], orders[OrderID], orders[Month])</f>
        <v>2</v>
      </c>
    </row>
    <row r="421" spans="1:10" x14ac:dyDescent="0.35">
      <c r="A421">
        <v>10405</v>
      </c>
      <c r="B421">
        <v>3</v>
      </c>
      <c r="C421">
        <v>8</v>
      </c>
      <c r="D421">
        <v>50</v>
      </c>
      <c r="E421">
        <v>0</v>
      </c>
      <c r="F421">
        <v>400</v>
      </c>
      <c r="G421" t="str">
        <f>VLOOKUP(VLOOKUP(order_details[[#This Row],[ProductID]], products[], 4, FALSE), categories[], 2, FALSE)</f>
        <v>Condiments</v>
      </c>
      <c r="H421">
        <f>VLOOKUP(order_details[[#This Row],[ProductID]], products[], 4, FALSE)</f>
        <v>2</v>
      </c>
      <c r="I421" t="str">
        <f>VLOOKUP(order_details[[#This Row],[OrderID]], orders[[OrderID]:[ShipCountry]], 14, FALSE)</f>
        <v>Venezuela</v>
      </c>
      <c r="J421" s="1">
        <f>_xlfn.XLOOKUP(order_details[[#This Row],[OrderID]], orders[OrderID], orders[Month])</f>
        <v>2</v>
      </c>
    </row>
    <row r="422" spans="1:10" x14ac:dyDescent="0.35">
      <c r="A422">
        <v>10406</v>
      </c>
      <c r="B422">
        <v>1</v>
      </c>
      <c r="C422">
        <v>14.4</v>
      </c>
      <c r="D422">
        <v>10</v>
      </c>
      <c r="E422">
        <v>0</v>
      </c>
      <c r="F422">
        <v>144</v>
      </c>
      <c r="G422" t="str">
        <f>VLOOKUP(VLOOKUP(order_details[[#This Row],[ProductID]], products[], 4, FALSE), categories[], 2, FALSE)</f>
        <v>Beverages</v>
      </c>
      <c r="H422">
        <f>VLOOKUP(order_details[[#This Row],[ProductID]], products[], 4, FALSE)</f>
        <v>1</v>
      </c>
      <c r="I422" t="str">
        <f>VLOOKUP(order_details[[#This Row],[OrderID]], orders[[OrderID]:[ShipCountry]], 14, FALSE)</f>
        <v>Brazil</v>
      </c>
      <c r="J422" s="1">
        <f>_xlfn.XLOOKUP(order_details[[#This Row],[OrderID]], orders[OrderID], orders[Month])</f>
        <v>2</v>
      </c>
    </row>
    <row r="423" spans="1:10" x14ac:dyDescent="0.35">
      <c r="A423">
        <v>10406</v>
      </c>
      <c r="B423">
        <v>21</v>
      </c>
      <c r="C423">
        <v>8</v>
      </c>
      <c r="D423">
        <v>30</v>
      </c>
      <c r="E423">
        <v>0.1</v>
      </c>
      <c r="F423">
        <v>216</v>
      </c>
      <c r="G423" t="str">
        <f>VLOOKUP(VLOOKUP(order_details[[#This Row],[ProductID]], products[], 4, FALSE), categories[], 2, FALSE)</f>
        <v>Confections</v>
      </c>
      <c r="H423">
        <f>VLOOKUP(order_details[[#This Row],[ProductID]], products[], 4, FALSE)</f>
        <v>3</v>
      </c>
      <c r="I423" t="str">
        <f>VLOOKUP(order_details[[#This Row],[OrderID]], orders[[OrderID]:[ShipCountry]], 14, FALSE)</f>
        <v>Brazil</v>
      </c>
      <c r="J423" s="1">
        <f>_xlfn.XLOOKUP(order_details[[#This Row],[OrderID]], orders[OrderID], orders[Month])</f>
        <v>2</v>
      </c>
    </row>
    <row r="424" spans="1:10" x14ac:dyDescent="0.35">
      <c r="A424">
        <v>10406</v>
      </c>
      <c r="B424">
        <v>28</v>
      </c>
      <c r="C424">
        <v>36.4</v>
      </c>
      <c r="D424">
        <v>42</v>
      </c>
      <c r="E424">
        <v>0.1</v>
      </c>
      <c r="F424">
        <v>1375.92</v>
      </c>
      <c r="G424" t="str">
        <f>VLOOKUP(VLOOKUP(order_details[[#This Row],[ProductID]], products[], 4, FALSE), categories[], 2, FALSE)</f>
        <v>Produce</v>
      </c>
      <c r="H424">
        <f>VLOOKUP(order_details[[#This Row],[ProductID]], products[], 4, FALSE)</f>
        <v>7</v>
      </c>
      <c r="I424" t="str">
        <f>VLOOKUP(order_details[[#This Row],[OrderID]], orders[[OrderID]:[ShipCountry]], 14, FALSE)</f>
        <v>Brazil</v>
      </c>
      <c r="J424" s="1">
        <f>_xlfn.XLOOKUP(order_details[[#This Row],[OrderID]], orders[OrderID], orders[Month])</f>
        <v>2</v>
      </c>
    </row>
    <row r="425" spans="1:10" x14ac:dyDescent="0.35">
      <c r="A425">
        <v>10406</v>
      </c>
      <c r="B425">
        <v>36</v>
      </c>
      <c r="C425">
        <v>15.2</v>
      </c>
      <c r="D425">
        <v>5</v>
      </c>
      <c r="E425">
        <v>0.1</v>
      </c>
      <c r="F425">
        <v>68.400000000000006</v>
      </c>
      <c r="G425" t="str">
        <f>VLOOKUP(VLOOKUP(order_details[[#This Row],[ProductID]], products[], 4, FALSE), categories[], 2, FALSE)</f>
        <v>Seafood</v>
      </c>
      <c r="H425">
        <f>VLOOKUP(order_details[[#This Row],[ProductID]], products[], 4, FALSE)</f>
        <v>8</v>
      </c>
      <c r="I425" t="str">
        <f>VLOOKUP(order_details[[#This Row],[OrderID]], orders[[OrderID]:[ShipCountry]], 14, FALSE)</f>
        <v>Brazil</v>
      </c>
      <c r="J425" s="1">
        <f>_xlfn.XLOOKUP(order_details[[#This Row],[OrderID]], orders[OrderID], orders[Month])</f>
        <v>2</v>
      </c>
    </row>
    <row r="426" spans="1:10" x14ac:dyDescent="0.35">
      <c r="A426">
        <v>10406</v>
      </c>
      <c r="B426">
        <v>40</v>
      </c>
      <c r="C426">
        <v>14.7</v>
      </c>
      <c r="D426">
        <v>2</v>
      </c>
      <c r="E426">
        <v>0.1</v>
      </c>
      <c r="F426">
        <v>26.46</v>
      </c>
      <c r="G426" t="str">
        <f>VLOOKUP(VLOOKUP(order_details[[#This Row],[ProductID]], products[], 4, FALSE), categories[], 2, FALSE)</f>
        <v>Seafood</v>
      </c>
      <c r="H426">
        <f>VLOOKUP(order_details[[#This Row],[ProductID]], products[], 4, FALSE)</f>
        <v>8</v>
      </c>
      <c r="I426" t="str">
        <f>VLOOKUP(order_details[[#This Row],[OrderID]], orders[[OrderID]:[ShipCountry]], 14, FALSE)</f>
        <v>Brazil</v>
      </c>
      <c r="J426" s="1">
        <f>_xlfn.XLOOKUP(order_details[[#This Row],[OrderID]], orders[OrderID], orders[Month])</f>
        <v>2</v>
      </c>
    </row>
    <row r="427" spans="1:10" x14ac:dyDescent="0.35">
      <c r="A427">
        <v>10407</v>
      </c>
      <c r="B427">
        <v>11</v>
      </c>
      <c r="C427">
        <v>16.8</v>
      </c>
      <c r="D427">
        <v>30</v>
      </c>
      <c r="E427">
        <v>0</v>
      </c>
      <c r="F427">
        <v>504</v>
      </c>
      <c r="G427" t="str">
        <f>VLOOKUP(VLOOKUP(order_details[[#This Row],[ProductID]], products[], 4, FALSE), categories[], 2, FALSE)</f>
        <v>Dairy Products</v>
      </c>
      <c r="H427">
        <f>VLOOKUP(order_details[[#This Row],[ProductID]], products[], 4, FALSE)</f>
        <v>4</v>
      </c>
      <c r="I427" t="str">
        <f>VLOOKUP(order_details[[#This Row],[OrderID]], orders[[OrderID]:[ShipCountry]], 14, FALSE)</f>
        <v>Germany</v>
      </c>
      <c r="J427" s="1">
        <f>_xlfn.XLOOKUP(order_details[[#This Row],[OrderID]], orders[OrderID], orders[Month])</f>
        <v>2</v>
      </c>
    </row>
    <row r="428" spans="1:10" x14ac:dyDescent="0.35">
      <c r="A428">
        <v>10407</v>
      </c>
      <c r="B428">
        <v>69</v>
      </c>
      <c r="C428">
        <v>28.8</v>
      </c>
      <c r="D428">
        <v>15</v>
      </c>
      <c r="E428">
        <v>0</v>
      </c>
      <c r="F428">
        <v>432</v>
      </c>
      <c r="G428" t="str">
        <f>VLOOKUP(VLOOKUP(order_details[[#This Row],[ProductID]], products[], 4, FALSE), categories[], 2, FALSE)</f>
        <v>Dairy Products</v>
      </c>
      <c r="H428">
        <f>VLOOKUP(order_details[[#This Row],[ProductID]], products[], 4, FALSE)</f>
        <v>4</v>
      </c>
      <c r="I428" t="str">
        <f>VLOOKUP(order_details[[#This Row],[OrderID]], orders[[OrderID]:[ShipCountry]], 14, FALSE)</f>
        <v>Germany</v>
      </c>
      <c r="J428" s="1">
        <f>_xlfn.XLOOKUP(order_details[[#This Row],[OrderID]], orders[OrderID], orders[Month])</f>
        <v>2</v>
      </c>
    </row>
    <row r="429" spans="1:10" x14ac:dyDescent="0.35">
      <c r="A429">
        <v>10407</v>
      </c>
      <c r="B429">
        <v>71</v>
      </c>
      <c r="C429">
        <v>17.2</v>
      </c>
      <c r="D429">
        <v>15</v>
      </c>
      <c r="E429">
        <v>0</v>
      </c>
      <c r="F429">
        <v>258</v>
      </c>
      <c r="G429" t="str">
        <f>VLOOKUP(VLOOKUP(order_details[[#This Row],[ProductID]], products[], 4, FALSE), categories[], 2, FALSE)</f>
        <v>Dairy Products</v>
      </c>
      <c r="H429">
        <f>VLOOKUP(order_details[[#This Row],[ProductID]], products[], 4, FALSE)</f>
        <v>4</v>
      </c>
      <c r="I429" t="str">
        <f>VLOOKUP(order_details[[#This Row],[OrderID]], orders[[OrderID]:[ShipCountry]], 14, FALSE)</f>
        <v>Germany</v>
      </c>
      <c r="J429" s="1">
        <f>_xlfn.XLOOKUP(order_details[[#This Row],[OrderID]], orders[OrderID], orders[Month])</f>
        <v>2</v>
      </c>
    </row>
    <row r="430" spans="1:10" x14ac:dyDescent="0.35">
      <c r="A430">
        <v>10408</v>
      </c>
      <c r="B430">
        <v>37</v>
      </c>
      <c r="C430">
        <v>20.8</v>
      </c>
      <c r="D430">
        <v>10</v>
      </c>
      <c r="E430">
        <v>0</v>
      </c>
      <c r="F430">
        <v>208</v>
      </c>
      <c r="G430" t="str">
        <f>VLOOKUP(VLOOKUP(order_details[[#This Row],[ProductID]], products[], 4, FALSE), categories[], 2, FALSE)</f>
        <v>Seafood</v>
      </c>
      <c r="H430">
        <f>VLOOKUP(order_details[[#This Row],[ProductID]], products[], 4, FALSE)</f>
        <v>8</v>
      </c>
      <c r="I430" t="str">
        <f>VLOOKUP(order_details[[#This Row],[OrderID]], orders[[OrderID]:[ShipCountry]], 14, FALSE)</f>
        <v>France</v>
      </c>
      <c r="J430" s="1">
        <f>_xlfn.XLOOKUP(order_details[[#This Row],[OrderID]], orders[OrderID], orders[Month])</f>
        <v>2</v>
      </c>
    </row>
    <row r="431" spans="1:10" x14ac:dyDescent="0.35">
      <c r="A431">
        <v>10408</v>
      </c>
      <c r="B431">
        <v>54</v>
      </c>
      <c r="C431">
        <v>5.9</v>
      </c>
      <c r="D431">
        <v>6</v>
      </c>
      <c r="E431">
        <v>0</v>
      </c>
      <c r="F431">
        <v>35.400000000000006</v>
      </c>
      <c r="G431" t="str">
        <f>VLOOKUP(VLOOKUP(order_details[[#This Row],[ProductID]], products[], 4, FALSE), categories[], 2, FALSE)</f>
        <v>Meat/Poultry</v>
      </c>
      <c r="H431">
        <f>VLOOKUP(order_details[[#This Row],[ProductID]], products[], 4, FALSE)</f>
        <v>6</v>
      </c>
      <c r="I431" t="str">
        <f>VLOOKUP(order_details[[#This Row],[OrderID]], orders[[OrderID]:[ShipCountry]], 14, FALSE)</f>
        <v>France</v>
      </c>
      <c r="J431" s="1">
        <f>_xlfn.XLOOKUP(order_details[[#This Row],[OrderID]], orders[OrderID], orders[Month])</f>
        <v>2</v>
      </c>
    </row>
    <row r="432" spans="1:10" x14ac:dyDescent="0.35">
      <c r="A432">
        <v>10408</v>
      </c>
      <c r="B432">
        <v>62</v>
      </c>
      <c r="C432">
        <v>39.4</v>
      </c>
      <c r="D432">
        <v>35</v>
      </c>
      <c r="E432">
        <v>0</v>
      </c>
      <c r="F432">
        <v>1379</v>
      </c>
      <c r="G432" t="str">
        <f>VLOOKUP(VLOOKUP(order_details[[#This Row],[ProductID]], products[], 4, FALSE), categories[], 2, FALSE)</f>
        <v>Confections</v>
      </c>
      <c r="H432">
        <f>VLOOKUP(order_details[[#This Row],[ProductID]], products[], 4, FALSE)</f>
        <v>3</v>
      </c>
      <c r="I432" t="str">
        <f>VLOOKUP(order_details[[#This Row],[OrderID]], orders[[OrderID]:[ShipCountry]], 14, FALSE)</f>
        <v>France</v>
      </c>
      <c r="J432" s="1">
        <f>_xlfn.XLOOKUP(order_details[[#This Row],[OrderID]], orders[OrderID], orders[Month])</f>
        <v>2</v>
      </c>
    </row>
    <row r="433" spans="1:10" x14ac:dyDescent="0.35">
      <c r="A433">
        <v>10409</v>
      </c>
      <c r="B433">
        <v>14</v>
      </c>
      <c r="C433">
        <v>18.600000000000001</v>
      </c>
      <c r="D433">
        <v>12</v>
      </c>
      <c r="E433">
        <v>0</v>
      </c>
      <c r="F433">
        <v>223.20000000000002</v>
      </c>
      <c r="G433" t="str">
        <f>VLOOKUP(VLOOKUP(order_details[[#This Row],[ProductID]], products[], 4, FALSE), categories[], 2, FALSE)</f>
        <v>Produce</v>
      </c>
      <c r="H433">
        <f>VLOOKUP(order_details[[#This Row],[ProductID]], products[], 4, FALSE)</f>
        <v>7</v>
      </c>
      <c r="I433" t="str">
        <f>VLOOKUP(order_details[[#This Row],[OrderID]], orders[[OrderID]:[ShipCountry]], 14, FALSE)</f>
        <v>Argentina</v>
      </c>
      <c r="J433" s="1">
        <f>_xlfn.XLOOKUP(order_details[[#This Row],[OrderID]], orders[OrderID], orders[Month])</f>
        <v>2</v>
      </c>
    </row>
    <row r="434" spans="1:10" x14ac:dyDescent="0.35">
      <c r="A434">
        <v>10409</v>
      </c>
      <c r="B434">
        <v>21</v>
      </c>
      <c r="C434">
        <v>8</v>
      </c>
      <c r="D434">
        <v>12</v>
      </c>
      <c r="E434">
        <v>0</v>
      </c>
      <c r="F434">
        <v>96</v>
      </c>
      <c r="G434" t="str">
        <f>VLOOKUP(VLOOKUP(order_details[[#This Row],[ProductID]], products[], 4, FALSE), categories[], 2, FALSE)</f>
        <v>Confections</v>
      </c>
      <c r="H434">
        <f>VLOOKUP(order_details[[#This Row],[ProductID]], products[], 4, FALSE)</f>
        <v>3</v>
      </c>
      <c r="I434" t="str">
        <f>VLOOKUP(order_details[[#This Row],[OrderID]], orders[[OrderID]:[ShipCountry]], 14, FALSE)</f>
        <v>Argentina</v>
      </c>
      <c r="J434" s="1">
        <f>_xlfn.XLOOKUP(order_details[[#This Row],[OrderID]], orders[OrderID], orders[Month])</f>
        <v>2</v>
      </c>
    </row>
    <row r="435" spans="1:10" x14ac:dyDescent="0.35">
      <c r="A435">
        <v>10410</v>
      </c>
      <c r="B435">
        <v>33</v>
      </c>
      <c r="C435">
        <v>2</v>
      </c>
      <c r="D435">
        <v>49</v>
      </c>
      <c r="E435">
        <v>0</v>
      </c>
      <c r="F435">
        <v>98</v>
      </c>
      <c r="G435" t="str">
        <f>VLOOKUP(VLOOKUP(order_details[[#This Row],[ProductID]], products[], 4, FALSE), categories[], 2, FALSE)</f>
        <v>Dairy Products</v>
      </c>
      <c r="H435">
        <f>VLOOKUP(order_details[[#This Row],[ProductID]], products[], 4, FALSE)</f>
        <v>4</v>
      </c>
      <c r="I435" t="str">
        <f>VLOOKUP(order_details[[#This Row],[OrderID]], orders[[OrderID]:[ShipCountry]], 14, FALSE)</f>
        <v>Canada</v>
      </c>
      <c r="J435" s="1">
        <f>_xlfn.XLOOKUP(order_details[[#This Row],[OrderID]], orders[OrderID], orders[Month])</f>
        <v>2</v>
      </c>
    </row>
    <row r="436" spans="1:10" x14ac:dyDescent="0.35">
      <c r="A436">
        <v>10410</v>
      </c>
      <c r="B436">
        <v>59</v>
      </c>
      <c r="C436">
        <v>44</v>
      </c>
      <c r="D436">
        <v>16</v>
      </c>
      <c r="E436">
        <v>0</v>
      </c>
      <c r="F436">
        <v>704</v>
      </c>
      <c r="G436" t="str">
        <f>VLOOKUP(VLOOKUP(order_details[[#This Row],[ProductID]], products[], 4, FALSE), categories[], 2, FALSE)</f>
        <v>Dairy Products</v>
      </c>
      <c r="H436">
        <f>VLOOKUP(order_details[[#This Row],[ProductID]], products[], 4, FALSE)</f>
        <v>4</v>
      </c>
      <c r="I436" t="str">
        <f>VLOOKUP(order_details[[#This Row],[OrderID]], orders[[OrderID]:[ShipCountry]], 14, FALSE)</f>
        <v>Canada</v>
      </c>
      <c r="J436" s="1">
        <f>_xlfn.XLOOKUP(order_details[[#This Row],[OrderID]], orders[OrderID], orders[Month])</f>
        <v>2</v>
      </c>
    </row>
    <row r="437" spans="1:10" x14ac:dyDescent="0.35">
      <c r="A437">
        <v>10411</v>
      </c>
      <c r="B437">
        <v>41</v>
      </c>
      <c r="C437">
        <v>7.7</v>
      </c>
      <c r="D437">
        <v>25</v>
      </c>
      <c r="E437">
        <v>0.2</v>
      </c>
      <c r="F437">
        <v>154</v>
      </c>
      <c r="G437" t="str">
        <f>VLOOKUP(VLOOKUP(order_details[[#This Row],[ProductID]], products[], 4, FALSE), categories[], 2, FALSE)</f>
        <v>Seafood</v>
      </c>
      <c r="H437">
        <f>VLOOKUP(order_details[[#This Row],[ProductID]], products[], 4, FALSE)</f>
        <v>8</v>
      </c>
      <c r="I437" t="str">
        <f>VLOOKUP(order_details[[#This Row],[OrderID]], orders[[OrderID]:[ShipCountry]], 14, FALSE)</f>
        <v>Canada</v>
      </c>
      <c r="J437" s="1">
        <f>_xlfn.XLOOKUP(order_details[[#This Row],[OrderID]], orders[OrderID], orders[Month])</f>
        <v>2</v>
      </c>
    </row>
    <row r="438" spans="1:10" x14ac:dyDescent="0.35">
      <c r="A438">
        <v>10411</v>
      </c>
      <c r="B438">
        <v>44</v>
      </c>
      <c r="C438">
        <v>15.5</v>
      </c>
      <c r="D438">
        <v>40</v>
      </c>
      <c r="E438">
        <v>0.2</v>
      </c>
      <c r="F438">
        <v>496</v>
      </c>
      <c r="G438" t="str">
        <f>VLOOKUP(VLOOKUP(order_details[[#This Row],[ProductID]], products[], 4, FALSE), categories[], 2, FALSE)</f>
        <v>Condiments</v>
      </c>
      <c r="H438">
        <f>VLOOKUP(order_details[[#This Row],[ProductID]], products[], 4, FALSE)</f>
        <v>2</v>
      </c>
      <c r="I438" t="str">
        <f>VLOOKUP(order_details[[#This Row],[OrderID]], orders[[OrderID]:[ShipCountry]], 14, FALSE)</f>
        <v>Canada</v>
      </c>
      <c r="J438" s="1">
        <f>_xlfn.XLOOKUP(order_details[[#This Row],[OrderID]], orders[OrderID], orders[Month])</f>
        <v>2</v>
      </c>
    </row>
    <row r="439" spans="1:10" x14ac:dyDescent="0.35">
      <c r="A439">
        <v>10411</v>
      </c>
      <c r="B439">
        <v>59</v>
      </c>
      <c r="C439">
        <v>44</v>
      </c>
      <c r="D439">
        <v>9</v>
      </c>
      <c r="E439">
        <v>0.2</v>
      </c>
      <c r="F439">
        <v>316.8</v>
      </c>
      <c r="G439" t="str">
        <f>VLOOKUP(VLOOKUP(order_details[[#This Row],[ProductID]], products[], 4, FALSE), categories[], 2, FALSE)</f>
        <v>Dairy Products</v>
      </c>
      <c r="H439">
        <f>VLOOKUP(order_details[[#This Row],[ProductID]], products[], 4, FALSE)</f>
        <v>4</v>
      </c>
      <c r="I439" t="str">
        <f>VLOOKUP(order_details[[#This Row],[OrderID]], orders[[OrderID]:[ShipCountry]], 14, FALSE)</f>
        <v>Canada</v>
      </c>
      <c r="J439" s="1">
        <f>_xlfn.XLOOKUP(order_details[[#This Row],[OrderID]], orders[OrderID], orders[Month])</f>
        <v>2</v>
      </c>
    </row>
    <row r="440" spans="1:10" x14ac:dyDescent="0.35">
      <c r="A440">
        <v>10412</v>
      </c>
      <c r="B440">
        <v>14</v>
      </c>
      <c r="C440">
        <v>18.600000000000001</v>
      </c>
      <c r="D440">
        <v>20</v>
      </c>
      <c r="E440">
        <v>0.1</v>
      </c>
      <c r="F440">
        <v>334.8</v>
      </c>
      <c r="G440" t="str">
        <f>VLOOKUP(VLOOKUP(order_details[[#This Row],[ProductID]], products[], 4, FALSE), categories[], 2, FALSE)</f>
        <v>Produce</v>
      </c>
      <c r="H440">
        <f>VLOOKUP(order_details[[#This Row],[ProductID]], products[], 4, FALSE)</f>
        <v>7</v>
      </c>
      <c r="I440" t="str">
        <f>VLOOKUP(order_details[[#This Row],[OrderID]], orders[[OrderID]:[ShipCountry]], 14, FALSE)</f>
        <v>Finland</v>
      </c>
      <c r="J440" s="1">
        <f>_xlfn.XLOOKUP(order_details[[#This Row],[OrderID]], orders[OrderID], orders[Month])</f>
        <v>2</v>
      </c>
    </row>
    <row r="441" spans="1:10" x14ac:dyDescent="0.35">
      <c r="A441">
        <v>10413</v>
      </c>
      <c r="B441">
        <v>1</v>
      </c>
      <c r="C441">
        <v>14.4</v>
      </c>
      <c r="D441">
        <v>24</v>
      </c>
      <c r="E441">
        <v>0</v>
      </c>
      <c r="F441">
        <v>345.6</v>
      </c>
      <c r="G441" t="str">
        <f>VLOOKUP(VLOOKUP(order_details[[#This Row],[ProductID]], products[], 4, FALSE), categories[], 2, FALSE)</f>
        <v>Beverages</v>
      </c>
      <c r="H441">
        <f>VLOOKUP(order_details[[#This Row],[ProductID]], products[], 4, FALSE)</f>
        <v>1</v>
      </c>
      <c r="I441" t="str">
        <f>VLOOKUP(order_details[[#This Row],[OrderID]], orders[[OrderID]:[ShipCountry]], 14, FALSE)</f>
        <v>France</v>
      </c>
      <c r="J441" s="1">
        <f>_xlfn.XLOOKUP(order_details[[#This Row],[OrderID]], orders[OrderID], orders[Month])</f>
        <v>2</v>
      </c>
    </row>
    <row r="442" spans="1:10" x14ac:dyDescent="0.35">
      <c r="A442">
        <v>10413</v>
      </c>
      <c r="B442">
        <v>62</v>
      </c>
      <c r="C442">
        <v>39.4</v>
      </c>
      <c r="D442">
        <v>40</v>
      </c>
      <c r="E442">
        <v>0</v>
      </c>
      <c r="F442">
        <v>1576</v>
      </c>
      <c r="G442" t="str">
        <f>VLOOKUP(VLOOKUP(order_details[[#This Row],[ProductID]], products[], 4, FALSE), categories[], 2, FALSE)</f>
        <v>Confections</v>
      </c>
      <c r="H442">
        <f>VLOOKUP(order_details[[#This Row],[ProductID]], products[], 4, FALSE)</f>
        <v>3</v>
      </c>
      <c r="I442" t="str">
        <f>VLOOKUP(order_details[[#This Row],[OrderID]], orders[[OrderID]:[ShipCountry]], 14, FALSE)</f>
        <v>France</v>
      </c>
      <c r="J442" s="1">
        <f>_xlfn.XLOOKUP(order_details[[#This Row],[OrderID]], orders[OrderID], orders[Month])</f>
        <v>2</v>
      </c>
    </row>
    <row r="443" spans="1:10" x14ac:dyDescent="0.35">
      <c r="A443">
        <v>10413</v>
      </c>
      <c r="B443">
        <v>76</v>
      </c>
      <c r="C443">
        <v>14.4</v>
      </c>
      <c r="D443">
        <v>14</v>
      </c>
      <c r="E443">
        <v>0</v>
      </c>
      <c r="F443">
        <v>201.6</v>
      </c>
      <c r="G443" t="str">
        <f>VLOOKUP(VLOOKUP(order_details[[#This Row],[ProductID]], products[], 4, FALSE), categories[], 2, FALSE)</f>
        <v>Beverages</v>
      </c>
      <c r="H443">
        <f>VLOOKUP(order_details[[#This Row],[ProductID]], products[], 4, FALSE)</f>
        <v>1</v>
      </c>
      <c r="I443" t="str">
        <f>VLOOKUP(order_details[[#This Row],[OrderID]], orders[[OrderID]:[ShipCountry]], 14, FALSE)</f>
        <v>France</v>
      </c>
      <c r="J443" s="1">
        <f>_xlfn.XLOOKUP(order_details[[#This Row],[OrderID]], orders[OrderID], orders[Month])</f>
        <v>2</v>
      </c>
    </row>
    <row r="444" spans="1:10" x14ac:dyDescent="0.35">
      <c r="A444">
        <v>10414</v>
      </c>
      <c r="B444">
        <v>19</v>
      </c>
      <c r="C444">
        <v>7.3</v>
      </c>
      <c r="D444">
        <v>18</v>
      </c>
      <c r="E444">
        <v>0.05</v>
      </c>
      <c r="F444">
        <v>124.83</v>
      </c>
      <c r="G444" t="str">
        <f>VLOOKUP(VLOOKUP(order_details[[#This Row],[ProductID]], products[], 4, FALSE), categories[], 2, FALSE)</f>
        <v>Confections</v>
      </c>
      <c r="H444">
        <f>VLOOKUP(order_details[[#This Row],[ProductID]], products[], 4, FALSE)</f>
        <v>3</v>
      </c>
      <c r="I444" t="str">
        <f>VLOOKUP(order_details[[#This Row],[OrderID]], orders[[OrderID]:[ShipCountry]], 14, FALSE)</f>
        <v>Brazil</v>
      </c>
      <c r="J444" s="1">
        <f>_xlfn.XLOOKUP(order_details[[#This Row],[OrderID]], orders[OrderID], orders[Month])</f>
        <v>2</v>
      </c>
    </row>
    <row r="445" spans="1:10" x14ac:dyDescent="0.35">
      <c r="A445">
        <v>10414</v>
      </c>
      <c r="B445">
        <v>33</v>
      </c>
      <c r="C445">
        <v>2</v>
      </c>
      <c r="D445">
        <v>50</v>
      </c>
      <c r="E445">
        <v>0</v>
      </c>
      <c r="F445">
        <v>100</v>
      </c>
      <c r="G445" t="str">
        <f>VLOOKUP(VLOOKUP(order_details[[#This Row],[ProductID]], products[], 4, FALSE), categories[], 2, FALSE)</f>
        <v>Dairy Products</v>
      </c>
      <c r="H445">
        <f>VLOOKUP(order_details[[#This Row],[ProductID]], products[], 4, FALSE)</f>
        <v>4</v>
      </c>
      <c r="I445" t="str">
        <f>VLOOKUP(order_details[[#This Row],[OrderID]], orders[[OrderID]:[ShipCountry]], 14, FALSE)</f>
        <v>Brazil</v>
      </c>
      <c r="J445" s="1">
        <f>_xlfn.XLOOKUP(order_details[[#This Row],[OrderID]], orders[OrderID], orders[Month])</f>
        <v>2</v>
      </c>
    </row>
    <row r="446" spans="1:10" x14ac:dyDescent="0.35">
      <c r="A446">
        <v>10415</v>
      </c>
      <c r="B446">
        <v>17</v>
      </c>
      <c r="C446">
        <v>31.2</v>
      </c>
      <c r="D446">
        <v>2</v>
      </c>
      <c r="E446">
        <v>0</v>
      </c>
      <c r="F446">
        <v>62.4</v>
      </c>
      <c r="G446" t="str">
        <f>VLOOKUP(VLOOKUP(order_details[[#This Row],[ProductID]], products[], 4, FALSE), categories[], 2, FALSE)</f>
        <v>Meat/Poultry</v>
      </c>
      <c r="H446">
        <f>VLOOKUP(order_details[[#This Row],[ProductID]], products[], 4, FALSE)</f>
        <v>6</v>
      </c>
      <c r="I446" t="str">
        <f>VLOOKUP(order_details[[#This Row],[OrderID]], orders[[OrderID]:[ShipCountry]], 14, FALSE)</f>
        <v>USA</v>
      </c>
      <c r="J446" s="1">
        <f>_xlfn.XLOOKUP(order_details[[#This Row],[OrderID]], orders[OrderID], orders[Month])</f>
        <v>2</v>
      </c>
    </row>
    <row r="447" spans="1:10" x14ac:dyDescent="0.35">
      <c r="A447">
        <v>10415</v>
      </c>
      <c r="B447">
        <v>33</v>
      </c>
      <c r="C447">
        <v>2</v>
      </c>
      <c r="D447">
        <v>20</v>
      </c>
      <c r="E447">
        <v>0</v>
      </c>
      <c r="F447">
        <v>40</v>
      </c>
      <c r="G447" t="str">
        <f>VLOOKUP(VLOOKUP(order_details[[#This Row],[ProductID]], products[], 4, FALSE), categories[], 2, FALSE)</f>
        <v>Dairy Products</v>
      </c>
      <c r="H447">
        <f>VLOOKUP(order_details[[#This Row],[ProductID]], products[], 4, FALSE)</f>
        <v>4</v>
      </c>
      <c r="I447" t="str">
        <f>VLOOKUP(order_details[[#This Row],[OrderID]], orders[[OrderID]:[ShipCountry]], 14, FALSE)</f>
        <v>USA</v>
      </c>
      <c r="J447" s="1">
        <f>_xlfn.XLOOKUP(order_details[[#This Row],[OrderID]], orders[OrderID], orders[Month])</f>
        <v>2</v>
      </c>
    </row>
    <row r="448" spans="1:10" x14ac:dyDescent="0.35">
      <c r="A448">
        <v>10416</v>
      </c>
      <c r="B448">
        <v>19</v>
      </c>
      <c r="C448">
        <v>7.3</v>
      </c>
      <c r="D448">
        <v>20</v>
      </c>
      <c r="E448">
        <v>0</v>
      </c>
      <c r="F448">
        <v>146</v>
      </c>
      <c r="G448" t="str">
        <f>VLOOKUP(VLOOKUP(order_details[[#This Row],[ProductID]], products[], 4, FALSE), categories[], 2, FALSE)</f>
        <v>Confections</v>
      </c>
      <c r="H448">
        <f>VLOOKUP(order_details[[#This Row],[ProductID]], products[], 4, FALSE)</f>
        <v>3</v>
      </c>
      <c r="I448" t="str">
        <f>VLOOKUP(order_details[[#This Row],[OrderID]], orders[[OrderID]:[ShipCountry]], 14, FALSE)</f>
        <v>Finland</v>
      </c>
      <c r="J448" s="1">
        <f>_xlfn.XLOOKUP(order_details[[#This Row],[OrderID]], orders[OrderID], orders[Month])</f>
        <v>2</v>
      </c>
    </row>
    <row r="449" spans="1:10" x14ac:dyDescent="0.35">
      <c r="A449">
        <v>10416</v>
      </c>
      <c r="B449">
        <v>53</v>
      </c>
      <c r="C449">
        <v>26.2</v>
      </c>
      <c r="D449">
        <v>10</v>
      </c>
      <c r="E449">
        <v>0</v>
      </c>
      <c r="F449">
        <v>262</v>
      </c>
      <c r="G449" t="str">
        <f>VLOOKUP(VLOOKUP(order_details[[#This Row],[ProductID]], products[], 4, FALSE), categories[], 2, FALSE)</f>
        <v>Meat/Poultry</v>
      </c>
      <c r="H449">
        <f>VLOOKUP(order_details[[#This Row],[ProductID]], products[], 4, FALSE)</f>
        <v>6</v>
      </c>
      <c r="I449" t="str">
        <f>VLOOKUP(order_details[[#This Row],[OrderID]], orders[[OrderID]:[ShipCountry]], 14, FALSE)</f>
        <v>Finland</v>
      </c>
      <c r="J449" s="1">
        <f>_xlfn.XLOOKUP(order_details[[#This Row],[OrderID]], orders[OrderID], orders[Month])</f>
        <v>2</v>
      </c>
    </row>
    <row r="450" spans="1:10" x14ac:dyDescent="0.35">
      <c r="A450">
        <v>10416</v>
      </c>
      <c r="B450">
        <v>57</v>
      </c>
      <c r="C450">
        <v>15.6</v>
      </c>
      <c r="D450">
        <v>20</v>
      </c>
      <c r="E450">
        <v>0</v>
      </c>
      <c r="F450">
        <v>312</v>
      </c>
      <c r="G450" t="str">
        <f>VLOOKUP(VLOOKUP(order_details[[#This Row],[ProductID]], products[], 4, FALSE), categories[], 2, FALSE)</f>
        <v>Grains/Cereals</v>
      </c>
      <c r="H450">
        <f>VLOOKUP(order_details[[#This Row],[ProductID]], products[], 4, FALSE)</f>
        <v>5</v>
      </c>
      <c r="I450" t="str">
        <f>VLOOKUP(order_details[[#This Row],[OrderID]], orders[[OrderID]:[ShipCountry]], 14, FALSE)</f>
        <v>Finland</v>
      </c>
      <c r="J450" s="1">
        <f>_xlfn.XLOOKUP(order_details[[#This Row],[OrderID]], orders[OrderID], orders[Month])</f>
        <v>2</v>
      </c>
    </row>
    <row r="451" spans="1:10" x14ac:dyDescent="0.35">
      <c r="A451">
        <v>10417</v>
      </c>
      <c r="B451">
        <v>38</v>
      </c>
      <c r="C451">
        <v>210.8</v>
      </c>
      <c r="D451">
        <v>50</v>
      </c>
      <c r="E451">
        <v>0</v>
      </c>
      <c r="F451">
        <v>10540</v>
      </c>
      <c r="G451" t="str">
        <f>VLOOKUP(VLOOKUP(order_details[[#This Row],[ProductID]], products[], 4, FALSE), categories[], 2, FALSE)</f>
        <v>Beverages</v>
      </c>
      <c r="H451">
        <f>VLOOKUP(order_details[[#This Row],[ProductID]], products[], 4, FALSE)</f>
        <v>1</v>
      </c>
      <c r="I451" t="str">
        <f>VLOOKUP(order_details[[#This Row],[OrderID]], orders[[OrderID]:[ShipCountry]], 14, FALSE)</f>
        <v>Denmark</v>
      </c>
      <c r="J451" s="1">
        <f>_xlfn.XLOOKUP(order_details[[#This Row],[OrderID]], orders[OrderID], orders[Month])</f>
        <v>2</v>
      </c>
    </row>
    <row r="452" spans="1:10" x14ac:dyDescent="0.35">
      <c r="A452">
        <v>10417</v>
      </c>
      <c r="B452">
        <v>46</v>
      </c>
      <c r="C452">
        <v>9.6</v>
      </c>
      <c r="D452">
        <v>2</v>
      </c>
      <c r="E452">
        <v>0.25</v>
      </c>
      <c r="F452">
        <v>14.399999999999999</v>
      </c>
      <c r="G452" t="str">
        <f>VLOOKUP(VLOOKUP(order_details[[#This Row],[ProductID]], products[], 4, FALSE), categories[], 2, FALSE)</f>
        <v>Seafood</v>
      </c>
      <c r="H452">
        <f>VLOOKUP(order_details[[#This Row],[ProductID]], products[], 4, FALSE)</f>
        <v>8</v>
      </c>
      <c r="I452" t="str">
        <f>VLOOKUP(order_details[[#This Row],[OrderID]], orders[[OrderID]:[ShipCountry]], 14, FALSE)</f>
        <v>Denmark</v>
      </c>
      <c r="J452" s="1">
        <f>_xlfn.XLOOKUP(order_details[[#This Row],[OrderID]], orders[OrderID], orders[Month])</f>
        <v>2</v>
      </c>
    </row>
    <row r="453" spans="1:10" x14ac:dyDescent="0.35">
      <c r="A453">
        <v>10417</v>
      </c>
      <c r="B453">
        <v>68</v>
      </c>
      <c r="C453">
        <v>10</v>
      </c>
      <c r="D453">
        <v>36</v>
      </c>
      <c r="E453">
        <v>0.25</v>
      </c>
      <c r="F453">
        <v>270</v>
      </c>
      <c r="G453" t="str">
        <f>VLOOKUP(VLOOKUP(order_details[[#This Row],[ProductID]], products[], 4, FALSE), categories[], 2, FALSE)</f>
        <v>Confections</v>
      </c>
      <c r="H453">
        <f>VLOOKUP(order_details[[#This Row],[ProductID]], products[], 4, FALSE)</f>
        <v>3</v>
      </c>
      <c r="I453" t="str">
        <f>VLOOKUP(order_details[[#This Row],[OrderID]], orders[[OrderID]:[ShipCountry]], 14, FALSE)</f>
        <v>Denmark</v>
      </c>
      <c r="J453" s="1">
        <f>_xlfn.XLOOKUP(order_details[[#This Row],[OrderID]], orders[OrderID], orders[Month])</f>
        <v>2</v>
      </c>
    </row>
    <row r="454" spans="1:10" x14ac:dyDescent="0.35">
      <c r="A454">
        <v>10417</v>
      </c>
      <c r="B454">
        <v>77</v>
      </c>
      <c r="C454">
        <v>10.4</v>
      </c>
      <c r="D454">
        <v>35</v>
      </c>
      <c r="E454">
        <v>0</v>
      </c>
      <c r="F454">
        <v>364</v>
      </c>
      <c r="G454" t="str">
        <f>VLOOKUP(VLOOKUP(order_details[[#This Row],[ProductID]], products[], 4, FALSE), categories[], 2, FALSE)</f>
        <v>Condiments</v>
      </c>
      <c r="H454">
        <f>VLOOKUP(order_details[[#This Row],[ProductID]], products[], 4, FALSE)</f>
        <v>2</v>
      </c>
      <c r="I454" t="str">
        <f>VLOOKUP(order_details[[#This Row],[OrderID]], orders[[OrderID]:[ShipCountry]], 14, FALSE)</f>
        <v>Denmark</v>
      </c>
      <c r="J454" s="1">
        <f>_xlfn.XLOOKUP(order_details[[#This Row],[OrderID]], orders[OrderID], orders[Month])</f>
        <v>2</v>
      </c>
    </row>
    <row r="455" spans="1:10" x14ac:dyDescent="0.35">
      <c r="A455">
        <v>10418</v>
      </c>
      <c r="B455">
        <v>2</v>
      </c>
      <c r="C455">
        <v>15.2</v>
      </c>
      <c r="D455">
        <v>60</v>
      </c>
      <c r="E455">
        <v>0</v>
      </c>
      <c r="F455">
        <v>912</v>
      </c>
      <c r="G455" t="str">
        <f>VLOOKUP(VLOOKUP(order_details[[#This Row],[ProductID]], products[], 4, FALSE), categories[], 2, FALSE)</f>
        <v>Beverages</v>
      </c>
      <c r="H455">
        <f>VLOOKUP(order_details[[#This Row],[ProductID]], products[], 4, FALSE)</f>
        <v>1</v>
      </c>
      <c r="I455" t="str">
        <f>VLOOKUP(order_details[[#This Row],[OrderID]], orders[[OrderID]:[ShipCountry]], 14, FALSE)</f>
        <v>Germany</v>
      </c>
      <c r="J455" s="1">
        <f>_xlfn.XLOOKUP(order_details[[#This Row],[OrderID]], orders[OrderID], orders[Month])</f>
        <v>2</v>
      </c>
    </row>
    <row r="456" spans="1:10" x14ac:dyDescent="0.35">
      <c r="A456">
        <v>10418</v>
      </c>
      <c r="B456">
        <v>47</v>
      </c>
      <c r="C456">
        <v>7.6</v>
      </c>
      <c r="D456">
        <v>55</v>
      </c>
      <c r="E456">
        <v>0</v>
      </c>
      <c r="F456">
        <v>418</v>
      </c>
      <c r="G456" t="str">
        <f>VLOOKUP(VLOOKUP(order_details[[#This Row],[ProductID]], products[], 4, FALSE), categories[], 2, FALSE)</f>
        <v>Confections</v>
      </c>
      <c r="H456">
        <f>VLOOKUP(order_details[[#This Row],[ProductID]], products[], 4, FALSE)</f>
        <v>3</v>
      </c>
      <c r="I456" t="str">
        <f>VLOOKUP(order_details[[#This Row],[OrderID]], orders[[OrderID]:[ShipCountry]], 14, FALSE)</f>
        <v>Germany</v>
      </c>
      <c r="J456" s="1">
        <f>_xlfn.XLOOKUP(order_details[[#This Row],[OrderID]], orders[OrderID], orders[Month])</f>
        <v>2</v>
      </c>
    </row>
    <row r="457" spans="1:10" x14ac:dyDescent="0.35">
      <c r="A457">
        <v>10418</v>
      </c>
      <c r="B457">
        <v>61</v>
      </c>
      <c r="C457">
        <v>22.8</v>
      </c>
      <c r="D457">
        <v>16</v>
      </c>
      <c r="E457">
        <v>0</v>
      </c>
      <c r="F457">
        <v>364.8</v>
      </c>
      <c r="G457" t="str">
        <f>VLOOKUP(VLOOKUP(order_details[[#This Row],[ProductID]], products[], 4, FALSE), categories[], 2, FALSE)</f>
        <v>Condiments</v>
      </c>
      <c r="H457">
        <f>VLOOKUP(order_details[[#This Row],[ProductID]], products[], 4, FALSE)</f>
        <v>2</v>
      </c>
      <c r="I457" t="str">
        <f>VLOOKUP(order_details[[#This Row],[OrderID]], orders[[OrderID]:[ShipCountry]], 14, FALSE)</f>
        <v>Germany</v>
      </c>
      <c r="J457" s="1">
        <f>_xlfn.XLOOKUP(order_details[[#This Row],[OrderID]], orders[OrderID], orders[Month])</f>
        <v>2</v>
      </c>
    </row>
    <row r="458" spans="1:10" x14ac:dyDescent="0.35">
      <c r="A458">
        <v>10418</v>
      </c>
      <c r="B458">
        <v>74</v>
      </c>
      <c r="C458">
        <v>8</v>
      </c>
      <c r="D458">
        <v>15</v>
      </c>
      <c r="E458">
        <v>0</v>
      </c>
      <c r="F458">
        <v>120</v>
      </c>
      <c r="G458" t="str">
        <f>VLOOKUP(VLOOKUP(order_details[[#This Row],[ProductID]], products[], 4, FALSE), categories[], 2, FALSE)</f>
        <v>Produce</v>
      </c>
      <c r="H458">
        <f>VLOOKUP(order_details[[#This Row],[ProductID]], products[], 4, FALSE)</f>
        <v>7</v>
      </c>
      <c r="I458" t="str">
        <f>VLOOKUP(order_details[[#This Row],[OrderID]], orders[[OrderID]:[ShipCountry]], 14, FALSE)</f>
        <v>Germany</v>
      </c>
      <c r="J458" s="1">
        <f>_xlfn.XLOOKUP(order_details[[#This Row],[OrderID]], orders[OrderID], orders[Month])</f>
        <v>2</v>
      </c>
    </row>
    <row r="459" spans="1:10" x14ac:dyDescent="0.35">
      <c r="A459">
        <v>10419</v>
      </c>
      <c r="B459">
        <v>60</v>
      </c>
      <c r="C459">
        <v>27.2</v>
      </c>
      <c r="D459">
        <v>60</v>
      </c>
      <c r="E459">
        <v>0.05</v>
      </c>
      <c r="F459">
        <v>1550.3999999999999</v>
      </c>
      <c r="G459" t="str">
        <f>VLOOKUP(VLOOKUP(order_details[[#This Row],[ProductID]], products[], 4, FALSE), categories[], 2, FALSE)</f>
        <v>Dairy Products</v>
      </c>
      <c r="H459">
        <f>VLOOKUP(order_details[[#This Row],[ProductID]], products[], 4, FALSE)</f>
        <v>4</v>
      </c>
      <c r="I459" t="str">
        <f>VLOOKUP(order_details[[#This Row],[OrderID]], orders[[OrderID]:[ShipCountry]], 14, FALSE)</f>
        <v>Switzerland</v>
      </c>
      <c r="J459" s="1">
        <f>_xlfn.XLOOKUP(order_details[[#This Row],[OrderID]], orders[OrderID], orders[Month])</f>
        <v>2</v>
      </c>
    </row>
    <row r="460" spans="1:10" x14ac:dyDescent="0.35">
      <c r="A460">
        <v>10419</v>
      </c>
      <c r="B460">
        <v>69</v>
      </c>
      <c r="C460">
        <v>28.8</v>
      </c>
      <c r="D460">
        <v>20</v>
      </c>
      <c r="E460">
        <v>0.05</v>
      </c>
      <c r="F460">
        <v>547.19999999999993</v>
      </c>
      <c r="G460" t="str">
        <f>VLOOKUP(VLOOKUP(order_details[[#This Row],[ProductID]], products[], 4, FALSE), categories[], 2, FALSE)</f>
        <v>Dairy Products</v>
      </c>
      <c r="H460">
        <f>VLOOKUP(order_details[[#This Row],[ProductID]], products[], 4, FALSE)</f>
        <v>4</v>
      </c>
      <c r="I460" t="str">
        <f>VLOOKUP(order_details[[#This Row],[OrderID]], orders[[OrderID]:[ShipCountry]], 14, FALSE)</f>
        <v>Switzerland</v>
      </c>
      <c r="J460" s="1">
        <f>_xlfn.XLOOKUP(order_details[[#This Row],[OrderID]], orders[OrderID], orders[Month])</f>
        <v>2</v>
      </c>
    </row>
    <row r="461" spans="1:10" x14ac:dyDescent="0.35">
      <c r="A461">
        <v>10420</v>
      </c>
      <c r="B461">
        <v>9</v>
      </c>
      <c r="C461">
        <v>77.599999999999994</v>
      </c>
      <c r="D461">
        <v>20</v>
      </c>
      <c r="E461">
        <v>0.1</v>
      </c>
      <c r="F461">
        <v>1396.8</v>
      </c>
      <c r="G461" t="str">
        <f>VLOOKUP(VLOOKUP(order_details[[#This Row],[ProductID]], products[], 4, FALSE), categories[], 2, FALSE)</f>
        <v>Meat/Poultry</v>
      </c>
      <c r="H461">
        <f>VLOOKUP(order_details[[#This Row],[ProductID]], products[], 4, FALSE)</f>
        <v>6</v>
      </c>
      <c r="I461" t="str">
        <f>VLOOKUP(order_details[[#This Row],[OrderID]], orders[[OrderID]:[ShipCountry]], 14, FALSE)</f>
        <v>Brazil</v>
      </c>
      <c r="J461" s="1">
        <f>_xlfn.XLOOKUP(order_details[[#This Row],[OrderID]], orders[OrderID], orders[Month])</f>
        <v>2</v>
      </c>
    </row>
    <row r="462" spans="1:10" x14ac:dyDescent="0.35">
      <c r="A462">
        <v>10420</v>
      </c>
      <c r="B462">
        <v>13</v>
      </c>
      <c r="C462">
        <v>4.8</v>
      </c>
      <c r="D462">
        <v>2</v>
      </c>
      <c r="E462">
        <v>0.1</v>
      </c>
      <c r="F462">
        <v>8.64</v>
      </c>
      <c r="G462" t="str">
        <f>VLOOKUP(VLOOKUP(order_details[[#This Row],[ProductID]], products[], 4, FALSE), categories[], 2, FALSE)</f>
        <v>Seafood</v>
      </c>
      <c r="H462">
        <f>VLOOKUP(order_details[[#This Row],[ProductID]], products[], 4, FALSE)</f>
        <v>8</v>
      </c>
      <c r="I462" t="str">
        <f>VLOOKUP(order_details[[#This Row],[OrderID]], orders[[OrderID]:[ShipCountry]], 14, FALSE)</f>
        <v>Brazil</v>
      </c>
      <c r="J462" s="1">
        <f>_xlfn.XLOOKUP(order_details[[#This Row],[OrderID]], orders[OrderID], orders[Month])</f>
        <v>2</v>
      </c>
    </row>
    <row r="463" spans="1:10" x14ac:dyDescent="0.35">
      <c r="A463">
        <v>10420</v>
      </c>
      <c r="B463">
        <v>70</v>
      </c>
      <c r="C463">
        <v>12</v>
      </c>
      <c r="D463">
        <v>8</v>
      </c>
      <c r="E463">
        <v>0.1</v>
      </c>
      <c r="F463">
        <v>86.4</v>
      </c>
      <c r="G463" t="str">
        <f>VLOOKUP(VLOOKUP(order_details[[#This Row],[ProductID]], products[], 4, FALSE), categories[], 2, FALSE)</f>
        <v>Beverages</v>
      </c>
      <c r="H463">
        <f>VLOOKUP(order_details[[#This Row],[ProductID]], products[], 4, FALSE)</f>
        <v>1</v>
      </c>
      <c r="I463" t="str">
        <f>VLOOKUP(order_details[[#This Row],[OrderID]], orders[[OrderID]:[ShipCountry]], 14, FALSE)</f>
        <v>Brazil</v>
      </c>
      <c r="J463" s="1">
        <f>_xlfn.XLOOKUP(order_details[[#This Row],[OrderID]], orders[OrderID], orders[Month])</f>
        <v>2</v>
      </c>
    </row>
    <row r="464" spans="1:10" x14ac:dyDescent="0.35">
      <c r="A464">
        <v>10420</v>
      </c>
      <c r="B464">
        <v>73</v>
      </c>
      <c r="C464">
        <v>12</v>
      </c>
      <c r="D464">
        <v>20</v>
      </c>
      <c r="E464">
        <v>0.1</v>
      </c>
      <c r="F464">
        <v>216</v>
      </c>
      <c r="G464" t="str">
        <f>VLOOKUP(VLOOKUP(order_details[[#This Row],[ProductID]], products[], 4, FALSE), categories[], 2, FALSE)</f>
        <v>Seafood</v>
      </c>
      <c r="H464">
        <f>VLOOKUP(order_details[[#This Row],[ProductID]], products[], 4, FALSE)</f>
        <v>8</v>
      </c>
      <c r="I464" t="str">
        <f>VLOOKUP(order_details[[#This Row],[OrderID]], orders[[OrderID]:[ShipCountry]], 14, FALSE)</f>
        <v>Brazil</v>
      </c>
      <c r="J464" s="1">
        <f>_xlfn.XLOOKUP(order_details[[#This Row],[OrderID]], orders[OrderID], orders[Month])</f>
        <v>2</v>
      </c>
    </row>
    <row r="465" spans="1:10" x14ac:dyDescent="0.35">
      <c r="A465">
        <v>10421</v>
      </c>
      <c r="B465">
        <v>19</v>
      </c>
      <c r="C465">
        <v>7.3</v>
      </c>
      <c r="D465">
        <v>4</v>
      </c>
      <c r="E465">
        <v>0.15</v>
      </c>
      <c r="F465">
        <v>24.82</v>
      </c>
      <c r="G465" t="str">
        <f>VLOOKUP(VLOOKUP(order_details[[#This Row],[ProductID]], products[], 4, FALSE), categories[], 2, FALSE)</f>
        <v>Confections</v>
      </c>
      <c r="H465">
        <f>VLOOKUP(order_details[[#This Row],[ProductID]], products[], 4, FALSE)</f>
        <v>3</v>
      </c>
      <c r="I465" t="str">
        <f>VLOOKUP(order_details[[#This Row],[OrderID]], orders[[OrderID]:[ShipCountry]], 14, FALSE)</f>
        <v>Brazil</v>
      </c>
      <c r="J465" s="1">
        <f>_xlfn.XLOOKUP(order_details[[#This Row],[OrderID]], orders[OrderID], orders[Month])</f>
        <v>2</v>
      </c>
    </row>
    <row r="466" spans="1:10" x14ac:dyDescent="0.35">
      <c r="A466">
        <v>10421</v>
      </c>
      <c r="B466">
        <v>26</v>
      </c>
      <c r="C466">
        <v>24.9</v>
      </c>
      <c r="D466">
        <v>30</v>
      </c>
      <c r="E466">
        <v>0</v>
      </c>
      <c r="F466">
        <v>747</v>
      </c>
      <c r="G466" t="str">
        <f>VLOOKUP(VLOOKUP(order_details[[#This Row],[ProductID]], products[], 4, FALSE), categories[], 2, FALSE)</f>
        <v>Confections</v>
      </c>
      <c r="H466">
        <f>VLOOKUP(order_details[[#This Row],[ProductID]], products[], 4, FALSE)</f>
        <v>3</v>
      </c>
      <c r="I466" t="str">
        <f>VLOOKUP(order_details[[#This Row],[OrderID]], orders[[OrderID]:[ShipCountry]], 14, FALSE)</f>
        <v>Brazil</v>
      </c>
      <c r="J466" s="1">
        <f>_xlfn.XLOOKUP(order_details[[#This Row],[OrderID]], orders[OrderID], orders[Month])</f>
        <v>2</v>
      </c>
    </row>
    <row r="467" spans="1:10" x14ac:dyDescent="0.35">
      <c r="A467">
        <v>10421</v>
      </c>
      <c r="B467">
        <v>53</v>
      </c>
      <c r="C467">
        <v>26.2</v>
      </c>
      <c r="D467">
        <v>15</v>
      </c>
      <c r="E467">
        <v>0.15</v>
      </c>
      <c r="F467">
        <v>334.05</v>
      </c>
      <c r="G467" t="str">
        <f>VLOOKUP(VLOOKUP(order_details[[#This Row],[ProductID]], products[], 4, FALSE), categories[], 2, FALSE)</f>
        <v>Meat/Poultry</v>
      </c>
      <c r="H467">
        <f>VLOOKUP(order_details[[#This Row],[ProductID]], products[], 4, FALSE)</f>
        <v>6</v>
      </c>
      <c r="I467" t="str">
        <f>VLOOKUP(order_details[[#This Row],[OrderID]], orders[[OrderID]:[ShipCountry]], 14, FALSE)</f>
        <v>Brazil</v>
      </c>
      <c r="J467" s="1">
        <f>_xlfn.XLOOKUP(order_details[[#This Row],[OrderID]], orders[OrderID], orders[Month])</f>
        <v>2</v>
      </c>
    </row>
    <row r="468" spans="1:10" x14ac:dyDescent="0.35">
      <c r="A468">
        <v>10421</v>
      </c>
      <c r="B468">
        <v>77</v>
      </c>
      <c r="C468">
        <v>10.4</v>
      </c>
      <c r="D468">
        <v>10</v>
      </c>
      <c r="E468">
        <v>0.15</v>
      </c>
      <c r="F468">
        <v>88.399999999999991</v>
      </c>
      <c r="G468" t="str">
        <f>VLOOKUP(VLOOKUP(order_details[[#This Row],[ProductID]], products[], 4, FALSE), categories[], 2, FALSE)</f>
        <v>Condiments</v>
      </c>
      <c r="H468">
        <f>VLOOKUP(order_details[[#This Row],[ProductID]], products[], 4, FALSE)</f>
        <v>2</v>
      </c>
      <c r="I468" t="str">
        <f>VLOOKUP(order_details[[#This Row],[OrderID]], orders[[OrderID]:[ShipCountry]], 14, FALSE)</f>
        <v>Brazil</v>
      </c>
      <c r="J468" s="1">
        <f>_xlfn.XLOOKUP(order_details[[#This Row],[OrderID]], orders[OrderID], orders[Month])</f>
        <v>2</v>
      </c>
    </row>
    <row r="469" spans="1:10" x14ac:dyDescent="0.35">
      <c r="A469">
        <v>10422</v>
      </c>
      <c r="B469">
        <v>26</v>
      </c>
      <c r="C469">
        <v>24.9</v>
      </c>
      <c r="D469">
        <v>2</v>
      </c>
      <c r="E469">
        <v>0</v>
      </c>
      <c r="F469">
        <v>49.8</v>
      </c>
      <c r="G469" t="str">
        <f>VLOOKUP(VLOOKUP(order_details[[#This Row],[ProductID]], products[], 4, FALSE), categories[], 2, FALSE)</f>
        <v>Confections</v>
      </c>
      <c r="H469">
        <f>VLOOKUP(order_details[[#This Row],[ProductID]], products[], 4, FALSE)</f>
        <v>3</v>
      </c>
      <c r="I469" t="str">
        <f>VLOOKUP(order_details[[#This Row],[OrderID]], orders[[OrderID]:[ShipCountry]], 14, FALSE)</f>
        <v>Italy</v>
      </c>
      <c r="J469" s="1">
        <f>_xlfn.XLOOKUP(order_details[[#This Row],[OrderID]], orders[OrderID], orders[Month])</f>
        <v>2</v>
      </c>
    </row>
    <row r="470" spans="1:10" x14ac:dyDescent="0.35">
      <c r="A470">
        <v>10423</v>
      </c>
      <c r="B470">
        <v>31</v>
      </c>
      <c r="C470">
        <v>10</v>
      </c>
      <c r="D470">
        <v>14</v>
      </c>
      <c r="E470">
        <v>0</v>
      </c>
      <c r="F470">
        <v>140</v>
      </c>
      <c r="G470" t="str">
        <f>VLOOKUP(VLOOKUP(order_details[[#This Row],[ProductID]], products[], 4, FALSE), categories[], 2, FALSE)</f>
        <v>Dairy Products</v>
      </c>
      <c r="H470">
        <f>VLOOKUP(order_details[[#This Row],[ProductID]], products[], 4, FALSE)</f>
        <v>4</v>
      </c>
      <c r="I470" t="str">
        <f>VLOOKUP(order_details[[#This Row],[OrderID]], orders[[OrderID]:[ShipCountry]], 14, FALSE)</f>
        <v>Brazil</v>
      </c>
      <c r="J470" s="1">
        <f>_xlfn.XLOOKUP(order_details[[#This Row],[OrderID]], orders[OrderID], orders[Month])</f>
        <v>2</v>
      </c>
    </row>
    <row r="471" spans="1:10" x14ac:dyDescent="0.35">
      <c r="A471">
        <v>10423</v>
      </c>
      <c r="B471">
        <v>59</v>
      </c>
      <c r="C471">
        <v>44</v>
      </c>
      <c r="D471">
        <v>20</v>
      </c>
      <c r="E471">
        <v>0</v>
      </c>
      <c r="F471">
        <v>880</v>
      </c>
      <c r="G471" t="str">
        <f>VLOOKUP(VLOOKUP(order_details[[#This Row],[ProductID]], products[], 4, FALSE), categories[], 2, FALSE)</f>
        <v>Dairy Products</v>
      </c>
      <c r="H471">
        <f>VLOOKUP(order_details[[#This Row],[ProductID]], products[], 4, FALSE)</f>
        <v>4</v>
      </c>
      <c r="I471" t="str">
        <f>VLOOKUP(order_details[[#This Row],[OrderID]], orders[[OrderID]:[ShipCountry]], 14, FALSE)</f>
        <v>Brazil</v>
      </c>
      <c r="J471" s="1">
        <f>_xlfn.XLOOKUP(order_details[[#This Row],[OrderID]], orders[OrderID], orders[Month])</f>
        <v>2</v>
      </c>
    </row>
    <row r="472" spans="1:10" x14ac:dyDescent="0.35">
      <c r="A472">
        <v>10424</v>
      </c>
      <c r="B472">
        <v>35</v>
      </c>
      <c r="C472">
        <v>14.4</v>
      </c>
      <c r="D472">
        <v>60</v>
      </c>
      <c r="E472">
        <v>0.2</v>
      </c>
      <c r="F472">
        <v>691.2</v>
      </c>
      <c r="G472" t="str">
        <f>VLOOKUP(VLOOKUP(order_details[[#This Row],[ProductID]], products[], 4, FALSE), categories[], 2, FALSE)</f>
        <v>Beverages</v>
      </c>
      <c r="H472">
        <f>VLOOKUP(order_details[[#This Row],[ProductID]], products[], 4, FALSE)</f>
        <v>1</v>
      </c>
      <c r="I472" t="str">
        <f>VLOOKUP(order_details[[#This Row],[OrderID]], orders[[OrderID]:[ShipCountry]], 14, FALSE)</f>
        <v>Canada</v>
      </c>
      <c r="J472" s="1">
        <f>_xlfn.XLOOKUP(order_details[[#This Row],[OrderID]], orders[OrderID], orders[Month])</f>
        <v>2</v>
      </c>
    </row>
    <row r="473" spans="1:10" x14ac:dyDescent="0.35">
      <c r="A473">
        <v>10424</v>
      </c>
      <c r="B473">
        <v>38</v>
      </c>
      <c r="C473">
        <v>210.8</v>
      </c>
      <c r="D473">
        <v>49</v>
      </c>
      <c r="E473">
        <v>0.2</v>
      </c>
      <c r="F473">
        <v>8263.36</v>
      </c>
      <c r="G473" t="str">
        <f>VLOOKUP(VLOOKUP(order_details[[#This Row],[ProductID]], products[], 4, FALSE), categories[], 2, FALSE)</f>
        <v>Beverages</v>
      </c>
      <c r="H473">
        <f>VLOOKUP(order_details[[#This Row],[ProductID]], products[], 4, FALSE)</f>
        <v>1</v>
      </c>
      <c r="I473" t="str">
        <f>VLOOKUP(order_details[[#This Row],[OrderID]], orders[[OrderID]:[ShipCountry]], 14, FALSE)</f>
        <v>Canada</v>
      </c>
      <c r="J473" s="1">
        <f>_xlfn.XLOOKUP(order_details[[#This Row],[OrderID]], orders[OrderID], orders[Month])</f>
        <v>2</v>
      </c>
    </row>
    <row r="474" spans="1:10" x14ac:dyDescent="0.35">
      <c r="A474">
        <v>10424</v>
      </c>
      <c r="B474">
        <v>68</v>
      </c>
      <c r="C474">
        <v>10</v>
      </c>
      <c r="D474">
        <v>30</v>
      </c>
      <c r="E474">
        <v>0.2</v>
      </c>
      <c r="F474">
        <v>240</v>
      </c>
      <c r="G474" t="str">
        <f>VLOOKUP(VLOOKUP(order_details[[#This Row],[ProductID]], products[], 4, FALSE), categories[], 2, FALSE)</f>
        <v>Confections</v>
      </c>
      <c r="H474">
        <f>VLOOKUP(order_details[[#This Row],[ProductID]], products[], 4, FALSE)</f>
        <v>3</v>
      </c>
      <c r="I474" t="str">
        <f>VLOOKUP(order_details[[#This Row],[OrderID]], orders[[OrderID]:[ShipCountry]], 14, FALSE)</f>
        <v>Canada</v>
      </c>
      <c r="J474" s="1">
        <f>_xlfn.XLOOKUP(order_details[[#This Row],[OrderID]], orders[OrderID], orders[Month])</f>
        <v>2</v>
      </c>
    </row>
    <row r="475" spans="1:10" x14ac:dyDescent="0.35">
      <c r="A475">
        <v>10425</v>
      </c>
      <c r="B475">
        <v>55</v>
      </c>
      <c r="C475">
        <v>19.2</v>
      </c>
      <c r="D475">
        <v>10</v>
      </c>
      <c r="E475">
        <v>0.25</v>
      </c>
      <c r="F475">
        <v>144</v>
      </c>
      <c r="G475" t="str">
        <f>VLOOKUP(VLOOKUP(order_details[[#This Row],[ProductID]], products[], 4, FALSE), categories[], 2, FALSE)</f>
        <v>Meat/Poultry</v>
      </c>
      <c r="H475">
        <f>VLOOKUP(order_details[[#This Row],[ProductID]], products[], 4, FALSE)</f>
        <v>6</v>
      </c>
      <c r="I475" t="str">
        <f>VLOOKUP(order_details[[#This Row],[OrderID]], orders[[OrderID]:[ShipCountry]], 14, FALSE)</f>
        <v>France</v>
      </c>
      <c r="J475" s="1">
        <f>_xlfn.XLOOKUP(order_details[[#This Row],[OrderID]], orders[OrderID], orders[Month])</f>
        <v>2</v>
      </c>
    </row>
    <row r="476" spans="1:10" x14ac:dyDescent="0.35">
      <c r="A476">
        <v>10425</v>
      </c>
      <c r="B476">
        <v>76</v>
      </c>
      <c r="C476">
        <v>14.4</v>
      </c>
      <c r="D476">
        <v>20</v>
      </c>
      <c r="E476">
        <v>0.25</v>
      </c>
      <c r="F476">
        <v>216</v>
      </c>
      <c r="G476" t="str">
        <f>VLOOKUP(VLOOKUP(order_details[[#This Row],[ProductID]], products[], 4, FALSE), categories[], 2, FALSE)</f>
        <v>Beverages</v>
      </c>
      <c r="H476">
        <f>VLOOKUP(order_details[[#This Row],[ProductID]], products[], 4, FALSE)</f>
        <v>1</v>
      </c>
      <c r="I476" t="str">
        <f>VLOOKUP(order_details[[#This Row],[OrderID]], orders[[OrderID]:[ShipCountry]], 14, FALSE)</f>
        <v>France</v>
      </c>
      <c r="J476" s="1">
        <f>_xlfn.XLOOKUP(order_details[[#This Row],[OrderID]], orders[OrderID], orders[Month])</f>
        <v>2</v>
      </c>
    </row>
    <row r="477" spans="1:10" x14ac:dyDescent="0.35">
      <c r="A477">
        <v>10426</v>
      </c>
      <c r="B477">
        <v>56</v>
      </c>
      <c r="C477">
        <v>30.4</v>
      </c>
      <c r="D477">
        <v>5</v>
      </c>
      <c r="E477">
        <v>0</v>
      </c>
      <c r="F477">
        <v>152</v>
      </c>
      <c r="G477" t="str">
        <f>VLOOKUP(VLOOKUP(order_details[[#This Row],[ProductID]], products[], 4, FALSE), categories[], 2, FALSE)</f>
        <v>Grains/Cereals</v>
      </c>
      <c r="H477">
        <f>VLOOKUP(order_details[[#This Row],[ProductID]], products[], 4, FALSE)</f>
        <v>5</v>
      </c>
      <c r="I477" t="str">
        <f>VLOOKUP(order_details[[#This Row],[OrderID]], orders[[OrderID]:[ShipCountry]], 14, FALSE)</f>
        <v>Spain</v>
      </c>
      <c r="J477" s="1">
        <f>_xlfn.XLOOKUP(order_details[[#This Row],[OrderID]], orders[OrderID], orders[Month])</f>
        <v>2</v>
      </c>
    </row>
    <row r="478" spans="1:10" x14ac:dyDescent="0.35">
      <c r="A478">
        <v>10426</v>
      </c>
      <c r="B478">
        <v>64</v>
      </c>
      <c r="C478">
        <v>26.6</v>
      </c>
      <c r="D478">
        <v>7</v>
      </c>
      <c r="E478">
        <v>0</v>
      </c>
      <c r="F478">
        <v>186.20000000000002</v>
      </c>
      <c r="G478" t="str">
        <f>VLOOKUP(VLOOKUP(order_details[[#This Row],[ProductID]], products[], 4, FALSE), categories[], 2, FALSE)</f>
        <v>Grains/Cereals</v>
      </c>
      <c r="H478">
        <f>VLOOKUP(order_details[[#This Row],[ProductID]], products[], 4, FALSE)</f>
        <v>5</v>
      </c>
      <c r="I478" t="str">
        <f>VLOOKUP(order_details[[#This Row],[OrderID]], orders[[OrderID]:[ShipCountry]], 14, FALSE)</f>
        <v>Spain</v>
      </c>
      <c r="J478" s="1">
        <f>_xlfn.XLOOKUP(order_details[[#This Row],[OrderID]], orders[OrderID], orders[Month])</f>
        <v>2</v>
      </c>
    </row>
    <row r="479" spans="1:10" x14ac:dyDescent="0.35">
      <c r="A479">
        <v>10427</v>
      </c>
      <c r="B479">
        <v>14</v>
      </c>
      <c r="C479">
        <v>18.600000000000001</v>
      </c>
      <c r="D479">
        <v>35</v>
      </c>
      <c r="E479">
        <v>0</v>
      </c>
      <c r="F479">
        <v>651</v>
      </c>
      <c r="G479" t="str">
        <f>VLOOKUP(VLOOKUP(order_details[[#This Row],[ProductID]], products[], 4, FALSE), categories[], 2, FALSE)</f>
        <v>Produce</v>
      </c>
      <c r="H479">
        <f>VLOOKUP(order_details[[#This Row],[ProductID]], products[], 4, FALSE)</f>
        <v>7</v>
      </c>
      <c r="I479" t="str">
        <f>VLOOKUP(order_details[[#This Row],[OrderID]], orders[[OrderID]:[ShipCountry]], 14, FALSE)</f>
        <v>Austria</v>
      </c>
      <c r="J479" s="1">
        <f>_xlfn.XLOOKUP(order_details[[#This Row],[OrderID]], orders[OrderID], orders[Month])</f>
        <v>2</v>
      </c>
    </row>
    <row r="480" spans="1:10" x14ac:dyDescent="0.35">
      <c r="A480">
        <v>10428</v>
      </c>
      <c r="B480">
        <v>46</v>
      </c>
      <c r="C480">
        <v>9.6</v>
      </c>
      <c r="D480">
        <v>20</v>
      </c>
      <c r="E480">
        <v>0</v>
      </c>
      <c r="F480">
        <v>192</v>
      </c>
      <c r="G480" t="str">
        <f>VLOOKUP(VLOOKUP(order_details[[#This Row],[ProductID]], products[], 4, FALSE), categories[], 2, FALSE)</f>
        <v>Seafood</v>
      </c>
      <c r="H480">
        <f>VLOOKUP(order_details[[#This Row],[ProductID]], products[], 4, FALSE)</f>
        <v>8</v>
      </c>
      <c r="I480" t="str">
        <f>VLOOKUP(order_details[[#This Row],[OrderID]], orders[[OrderID]:[ShipCountry]], 14, FALSE)</f>
        <v>Italy</v>
      </c>
      <c r="J480" s="1">
        <f>_xlfn.XLOOKUP(order_details[[#This Row],[OrderID]], orders[OrderID], orders[Month])</f>
        <v>2</v>
      </c>
    </row>
    <row r="481" spans="1:10" x14ac:dyDescent="0.35">
      <c r="A481">
        <v>10429</v>
      </c>
      <c r="B481">
        <v>50</v>
      </c>
      <c r="C481">
        <v>13</v>
      </c>
      <c r="D481">
        <v>40</v>
      </c>
      <c r="E481">
        <v>0</v>
      </c>
      <c r="F481">
        <v>520</v>
      </c>
      <c r="G481" t="str">
        <f>VLOOKUP(VLOOKUP(order_details[[#This Row],[ProductID]], products[], 4, FALSE), categories[], 2, FALSE)</f>
        <v>Confections</v>
      </c>
      <c r="H481">
        <f>VLOOKUP(order_details[[#This Row],[ProductID]], products[], 4, FALSE)</f>
        <v>3</v>
      </c>
      <c r="I481" t="str">
        <f>VLOOKUP(order_details[[#This Row],[OrderID]], orders[[OrderID]:[ShipCountry]], 14, FALSE)</f>
        <v>Ireland</v>
      </c>
      <c r="J481" s="1">
        <f>_xlfn.XLOOKUP(order_details[[#This Row],[OrderID]], orders[OrderID], orders[Month])</f>
        <v>3</v>
      </c>
    </row>
    <row r="482" spans="1:10" x14ac:dyDescent="0.35">
      <c r="A482">
        <v>10429</v>
      </c>
      <c r="B482">
        <v>63</v>
      </c>
      <c r="C482">
        <v>35.1</v>
      </c>
      <c r="D482">
        <v>35</v>
      </c>
      <c r="E482">
        <v>0.25</v>
      </c>
      <c r="F482">
        <v>921.375</v>
      </c>
      <c r="G482" t="str">
        <f>VLOOKUP(VLOOKUP(order_details[[#This Row],[ProductID]], products[], 4, FALSE), categories[], 2, FALSE)</f>
        <v>Condiments</v>
      </c>
      <c r="H482">
        <f>VLOOKUP(order_details[[#This Row],[ProductID]], products[], 4, FALSE)</f>
        <v>2</v>
      </c>
      <c r="I482" t="str">
        <f>VLOOKUP(order_details[[#This Row],[OrderID]], orders[[OrderID]:[ShipCountry]], 14, FALSE)</f>
        <v>Ireland</v>
      </c>
      <c r="J482" s="1">
        <f>_xlfn.XLOOKUP(order_details[[#This Row],[OrderID]], orders[OrderID], orders[Month])</f>
        <v>3</v>
      </c>
    </row>
    <row r="483" spans="1:10" x14ac:dyDescent="0.35">
      <c r="A483">
        <v>10430</v>
      </c>
      <c r="B483">
        <v>17</v>
      </c>
      <c r="C483">
        <v>31.2</v>
      </c>
      <c r="D483">
        <v>45</v>
      </c>
      <c r="E483">
        <v>0.2</v>
      </c>
      <c r="F483">
        <v>1123.2</v>
      </c>
      <c r="G483" t="str">
        <f>VLOOKUP(VLOOKUP(order_details[[#This Row],[ProductID]], products[], 4, FALSE), categories[], 2, FALSE)</f>
        <v>Meat/Poultry</v>
      </c>
      <c r="H483">
        <f>VLOOKUP(order_details[[#This Row],[ProductID]], products[], 4, FALSE)</f>
        <v>6</v>
      </c>
      <c r="I483" t="str">
        <f>VLOOKUP(order_details[[#This Row],[OrderID]], orders[[OrderID]:[ShipCountry]], 14, FALSE)</f>
        <v>Austria</v>
      </c>
      <c r="J483" s="1">
        <f>_xlfn.XLOOKUP(order_details[[#This Row],[OrderID]], orders[OrderID], orders[Month])</f>
        <v>3</v>
      </c>
    </row>
    <row r="484" spans="1:10" x14ac:dyDescent="0.35">
      <c r="A484">
        <v>10430</v>
      </c>
      <c r="B484">
        <v>21</v>
      </c>
      <c r="C484">
        <v>8</v>
      </c>
      <c r="D484">
        <v>50</v>
      </c>
      <c r="E484">
        <v>0</v>
      </c>
      <c r="F484">
        <v>400</v>
      </c>
      <c r="G484" t="str">
        <f>VLOOKUP(VLOOKUP(order_details[[#This Row],[ProductID]], products[], 4, FALSE), categories[], 2, FALSE)</f>
        <v>Confections</v>
      </c>
      <c r="H484">
        <f>VLOOKUP(order_details[[#This Row],[ProductID]], products[], 4, FALSE)</f>
        <v>3</v>
      </c>
      <c r="I484" t="str">
        <f>VLOOKUP(order_details[[#This Row],[OrderID]], orders[[OrderID]:[ShipCountry]], 14, FALSE)</f>
        <v>Austria</v>
      </c>
      <c r="J484" s="1">
        <f>_xlfn.XLOOKUP(order_details[[#This Row],[OrderID]], orders[OrderID], orders[Month])</f>
        <v>3</v>
      </c>
    </row>
    <row r="485" spans="1:10" x14ac:dyDescent="0.35">
      <c r="A485">
        <v>10430</v>
      </c>
      <c r="B485">
        <v>56</v>
      </c>
      <c r="C485">
        <v>30.4</v>
      </c>
      <c r="D485">
        <v>30</v>
      </c>
      <c r="E485">
        <v>0</v>
      </c>
      <c r="F485">
        <v>912</v>
      </c>
      <c r="G485" t="str">
        <f>VLOOKUP(VLOOKUP(order_details[[#This Row],[ProductID]], products[], 4, FALSE), categories[], 2, FALSE)</f>
        <v>Grains/Cereals</v>
      </c>
      <c r="H485">
        <f>VLOOKUP(order_details[[#This Row],[ProductID]], products[], 4, FALSE)</f>
        <v>5</v>
      </c>
      <c r="I485" t="str">
        <f>VLOOKUP(order_details[[#This Row],[OrderID]], orders[[OrderID]:[ShipCountry]], 14, FALSE)</f>
        <v>Austria</v>
      </c>
      <c r="J485" s="1">
        <f>_xlfn.XLOOKUP(order_details[[#This Row],[OrderID]], orders[OrderID], orders[Month])</f>
        <v>3</v>
      </c>
    </row>
    <row r="486" spans="1:10" x14ac:dyDescent="0.35">
      <c r="A486">
        <v>10430</v>
      </c>
      <c r="B486">
        <v>59</v>
      </c>
      <c r="C486">
        <v>44</v>
      </c>
      <c r="D486">
        <v>70</v>
      </c>
      <c r="E486">
        <v>0.2</v>
      </c>
      <c r="F486">
        <v>2464</v>
      </c>
      <c r="G486" t="str">
        <f>VLOOKUP(VLOOKUP(order_details[[#This Row],[ProductID]], products[], 4, FALSE), categories[], 2, FALSE)</f>
        <v>Dairy Products</v>
      </c>
      <c r="H486">
        <f>VLOOKUP(order_details[[#This Row],[ProductID]], products[], 4, FALSE)</f>
        <v>4</v>
      </c>
      <c r="I486" t="str">
        <f>VLOOKUP(order_details[[#This Row],[OrderID]], orders[[OrderID]:[ShipCountry]], 14, FALSE)</f>
        <v>Austria</v>
      </c>
      <c r="J486" s="1">
        <f>_xlfn.XLOOKUP(order_details[[#This Row],[OrderID]], orders[OrderID], orders[Month])</f>
        <v>3</v>
      </c>
    </row>
    <row r="487" spans="1:10" x14ac:dyDescent="0.35">
      <c r="A487">
        <v>10431</v>
      </c>
      <c r="B487">
        <v>17</v>
      </c>
      <c r="C487">
        <v>31.2</v>
      </c>
      <c r="D487">
        <v>50</v>
      </c>
      <c r="E487">
        <v>0.25</v>
      </c>
      <c r="F487">
        <v>1170</v>
      </c>
      <c r="G487" t="str">
        <f>VLOOKUP(VLOOKUP(order_details[[#This Row],[ProductID]], products[], 4, FALSE), categories[], 2, FALSE)</f>
        <v>Meat/Poultry</v>
      </c>
      <c r="H487">
        <f>VLOOKUP(order_details[[#This Row],[ProductID]], products[], 4, FALSE)</f>
        <v>6</v>
      </c>
      <c r="I487" t="str">
        <f>VLOOKUP(order_details[[#This Row],[OrderID]], orders[[OrderID]:[ShipCountry]], 14, FALSE)</f>
        <v>Canada</v>
      </c>
      <c r="J487" s="1">
        <f>_xlfn.XLOOKUP(order_details[[#This Row],[OrderID]], orders[OrderID], orders[Month])</f>
        <v>3</v>
      </c>
    </row>
    <row r="488" spans="1:10" x14ac:dyDescent="0.35">
      <c r="A488">
        <v>10431</v>
      </c>
      <c r="B488">
        <v>40</v>
      </c>
      <c r="C488">
        <v>14.7</v>
      </c>
      <c r="D488">
        <v>50</v>
      </c>
      <c r="E488">
        <v>0.25</v>
      </c>
      <c r="F488">
        <v>551.25</v>
      </c>
      <c r="G488" t="str">
        <f>VLOOKUP(VLOOKUP(order_details[[#This Row],[ProductID]], products[], 4, FALSE), categories[], 2, FALSE)</f>
        <v>Seafood</v>
      </c>
      <c r="H488">
        <f>VLOOKUP(order_details[[#This Row],[ProductID]], products[], 4, FALSE)</f>
        <v>8</v>
      </c>
      <c r="I488" t="str">
        <f>VLOOKUP(order_details[[#This Row],[OrderID]], orders[[OrderID]:[ShipCountry]], 14, FALSE)</f>
        <v>Canada</v>
      </c>
      <c r="J488" s="1">
        <f>_xlfn.XLOOKUP(order_details[[#This Row],[OrderID]], orders[OrderID], orders[Month])</f>
        <v>3</v>
      </c>
    </row>
    <row r="489" spans="1:10" x14ac:dyDescent="0.35">
      <c r="A489">
        <v>10431</v>
      </c>
      <c r="B489">
        <v>47</v>
      </c>
      <c r="C489">
        <v>7.6</v>
      </c>
      <c r="D489">
        <v>30</v>
      </c>
      <c r="E489">
        <v>0.25</v>
      </c>
      <c r="F489">
        <v>171</v>
      </c>
      <c r="G489" t="str">
        <f>VLOOKUP(VLOOKUP(order_details[[#This Row],[ProductID]], products[], 4, FALSE), categories[], 2, FALSE)</f>
        <v>Confections</v>
      </c>
      <c r="H489">
        <f>VLOOKUP(order_details[[#This Row],[ProductID]], products[], 4, FALSE)</f>
        <v>3</v>
      </c>
      <c r="I489" t="str">
        <f>VLOOKUP(order_details[[#This Row],[OrderID]], orders[[OrderID]:[ShipCountry]], 14, FALSE)</f>
        <v>Canada</v>
      </c>
      <c r="J489" s="1">
        <f>_xlfn.XLOOKUP(order_details[[#This Row],[OrderID]], orders[OrderID], orders[Month])</f>
        <v>3</v>
      </c>
    </row>
    <row r="490" spans="1:10" x14ac:dyDescent="0.35">
      <c r="A490">
        <v>10432</v>
      </c>
      <c r="B490">
        <v>26</v>
      </c>
      <c r="C490">
        <v>24.9</v>
      </c>
      <c r="D490">
        <v>10</v>
      </c>
      <c r="E490">
        <v>0</v>
      </c>
      <c r="F490">
        <v>249</v>
      </c>
      <c r="G490" t="str">
        <f>VLOOKUP(VLOOKUP(order_details[[#This Row],[ProductID]], products[], 4, FALSE), categories[], 2, FALSE)</f>
        <v>Confections</v>
      </c>
      <c r="H490">
        <f>VLOOKUP(order_details[[#This Row],[ProductID]], products[], 4, FALSE)</f>
        <v>3</v>
      </c>
      <c r="I490" t="str">
        <f>VLOOKUP(order_details[[#This Row],[OrderID]], orders[[OrderID]:[ShipCountry]], 14, FALSE)</f>
        <v>USA</v>
      </c>
      <c r="J490" s="1">
        <f>_xlfn.XLOOKUP(order_details[[#This Row],[OrderID]], orders[OrderID], orders[Month])</f>
        <v>3</v>
      </c>
    </row>
    <row r="491" spans="1:10" x14ac:dyDescent="0.35">
      <c r="A491">
        <v>10432</v>
      </c>
      <c r="B491">
        <v>54</v>
      </c>
      <c r="C491">
        <v>5.9</v>
      </c>
      <c r="D491">
        <v>40</v>
      </c>
      <c r="E491">
        <v>0</v>
      </c>
      <c r="F491">
        <v>236</v>
      </c>
      <c r="G491" t="str">
        <f>VLOOKUP(VLOOKUP(order_details[[#This Row],[ProductID]], products[], 4, FALSE), categories[], 2, FALSE)</f>
        <v>Meat/Poultry</v>
      </c>
      <c r="H491">
        <f>VLOOKUP(order_details[[#This Row],[ProductID]], products[], 4, FALSE)</f>
        <v>6</v>
      </c>
      <c r="I491" t="str">
        <f>VLOOKUP(order_details[[#This Row],[OrderID]], orders[[OrderID]:[ShipCountry]], 14, FALSE)</f>
        <v>USA</v>
      </c>
      <c r="J491" s="1">
        <f>_xlfn.XLOOKUP(order_details[[#This Row],[OrderID]], orders[OrderID], orders[Month])</f>
        <v>3</v>
      </c>
    </row>
    <row r="492" spans="1:10" x14ac:dyDescent="0.35">
      <c r="A492">
        <v>10433</v>
      </c>
      <c r="B492">
        <v>56</v>
      </c>
      <c r="C492">
        <v>30.4</v>
      </c>
      <c r="D492">
        <v>28</v>
      </c>
      <c r="E492">
        <v>0</v>
      </c>
      <c r="F492">
        <v>851.19999999999993</v>
      </c>
      <c r="G492" t="str">
        <f>VLOOKUP(VLOOKUP(order_details[[#This Row],[ProductID]], products[], 4, FALSE), categories[], 2, FALSE)</f>
        <v>Grains/Cereals</v>
      </c>
      <c r="H492">
        <f>VLOOKUP(order_details[[#This Row],[ProductID]], products[], 4, FALSE)</f>
        <v>5</v>
      </c>
      <c r="I492" t="str">
        <f>VLOOKUP(order_details[[#This Row],[OrderID]], orders[[OrderID]:[ShipCountry]], 14, FALSE)</f>
        <v>Portugal</v>
      </c>
      <c r="J492" s="1">
        <f>_xlfn.XLOOKUP(order_details[[#This Row],[OrderID]], orders[OrderID], orders[Month])</f>
        <v>3</v>
      </c>
    </row>
    <row r="493" spans="1:10" x14ac:dyDescent="0.35">
      <c r="A493">
        <v>10434</v>
      </c>
      <c r="B493">
        <v>11</v>
      </c>
      <c r="C493">
        <v>16.8</v>
      </c>
      <c r="D493">
        <v>6</v>
      </c>
      <c r="E493">
        <v>0</v>
      </c>
      <c r="F493">
        <v>100.80000000000001</v>
      </c>
      <c r="G493" t="str">
        <f>VLOOKUP(VLOOKUP(order_details[[#This Row],[ProductID]], products[], 4, FALSE), categories[], 2, FALSE)</f>
        <v>Dairy Products</v>
      </c>
      <c r="H493">
        <f>VLOOKUP(order_details[[#This Row],[ProductID]], products[], 4, FALSE)</f>
        <v>4</v>
      </c>
      <c r="I493" t="str">
        <f>VLOOKUP(order_details[[#This Row],[OrderID]], orders[[OrderID]:[ShipCountry]], 14, FALSE)</f>
        <v>Sweden</v>
      </c>
      <c r="J493" s="1">
        <f>_xlfn.XLOOKUP(order_details[[#This Row],[OrderID]], orders[OrderID], orders[Month])</f>
        <v>3</v>
      </c>
    </row>
    <row r="494" spans="1:10" x14ac:dyDescent="0.35">
      <c r="A494">
        <v>10434</v>
      </c>
      <c r="B494">
        <v>76</v>
      </c>
      <c r="C494">
        <v>14.4</v>
      </c>
      <c r="D494">
        <v>18</v>
      </c>
      <c r="E494">
        <v>0.15</v>
      </c>
      <c r="F494">
        <v>220.32</v>
      </c>
      <c r="G494" t="str">
        <f>VLOOKUP(VLOOKUP(order_details[[#This Row],[ProductID]], products[], 4, FALSE), categories[], 2, FALSE)</f>
        <v>Beverages</v>
      </c>
      <c r="H494">
        <f>VLOOKUP(order_details[[#This Row],[ProductID]], products[], 4, FALSE)</f>
        <v>1</v>
      </c>
      <c r="I494" t="str">
        <f>VLOOKUP(order_details[[#This Row],[OrderID]], orders[[OrderID]:[ShipCountry]], 14, FALSE)</f>
        <v>Sweden</v>
      </c>
      <c r="J494" s="1">
        <f>_xlfn.XLOOKUP(order_details[[#This Row],[OrderID]], orders[OrderID], orders[Month])</f>
        <v>3</v>
      </c>
    </row>
    <row r="495" spans="1:10" x14ac:dyDescent="0.35">
      <c r="A495">
        <v>10435</v>
      </c>
      <c r="B495">
        <v>2</v>
      </c>
      <c r="C495">
        <v>15.2</v>
      </c>
      <c r="D495">
        <v>10</v>
      </c>
      <c r="E495">
        <v>0</v>
      </c>
      <c r="F495">
        <v>152</v>
      </c>
      <c r="G495" t="str">
        <f>VLOOKUP(VLOOKUP(order_details[[#This Row],[ProductID]], products[], 4, FALSE), categories[], 2, FALSE)</f>
        <v>Beverages</v>
      </c>
      <c r="H495">
        <f>VLOOKUP(order_details[[#This Row],[ProductID]], products[], 4, FALSE)</f>
        <v>1</v>
      </c>
      <c r="I495" t="str">
        <f>VLOOKUP(order_details[[#This Row],[OrderID]], orders[[OrderID]:[ShipCountry]], 14, FALSE)</f>
        <v>UK</v>
      </c>
      <c r="J495" s="1">
        <f>_xlfn.XLOOKUP(order_details[[#This Row],[OrderID]], orders[OrderID], orders[Month])</f>
        <v>3</v>
      </c>
    </row>
    <row r="496" spans="1:10" x14ac:dyDescent="0.35">
      <c r="A496">
        <v>10435</v>
      </c>
      <c r="B496">
        <v>22</v>
      </c>
      <c r="C496">
        <v>16.8</v>
      </c>
      <c r="D496">
        <v>12</v>
      </c>
      <c r="E496">
        <v>0</v>
      </c>
      <c r="F496">
        <v>201.60000000000002</v>
      </c>
      <c r="G496" t="str">
        <f>VLOOKUP(VLOOKUP(order_details[[#This Row],[ProductID]], products[], 4, FALSE), categories[], 2, FALSE)</f>
        <v>Grains/Cereals</v>
      </c>
      <c r="H496">
        <f>VLOOKUP(order_details[[#This Row],[ProductID]], products[], 4, FALSE)</f>
        <v>5</v>
      </c>
      <c r="I496" t="str">
        <f>VLOOKUP(order_details[[#This Row],[OrderID]], orders[[OrderID]:[ShipCountry]], 14, FALSE)</f>
        <v>UK</v>
      </c>
      <c r="J496" s="1">
        <f>_xlfn.XLOOKUP(order_details[[#This Row],[OrderID]], orders[OrderID], orders[Month])</f>
        <v>3</v>
      </c>
    </row>
    <row r="497" spans="1:10" x14ac:dyDescent="0.35">
      <c r="A497">
        <v>10435</v>
      </c>
      <c r="B497">
        <v>72</v>
      </c>
      <c r="C497">
        <v>27.8</v>
      </c>
      <c r="D497">
        <v>10</v>
      </c>
      <c r="E497">
        <v>0</v>
      </c>
      <c r="F497">
        <v>278</v>
      </c>
      <c r="G497" t="str">
        <f>VLOOKUP(VLOOKUP(order_details[[#This Row],[ProductID]], products[], 4, FALSE), categories[], 2, FALSE)</f>
        <v>Dairy Products</v>
      </c>
      <c r="H497">
        <f>VLOOKUP(order_details[[#This Row],[ProductID]], products[], 4, FALSE)</f>
        <v>4</v>
      </c>
      <c r="I497" t="str">
        <f>VLOOKUP(order_details[[#This Row],[OrderID]], orders[[OrderID]:[ShipCountry]], 14, FALSE)</f>
        <v>UK</v>
      </c>
      <c r="J497" s="1">
        <f>_xlfn.XLOOKUP(order_details[[#This Row],[OrderID]], orders[OrderID], orders[Month])</f>
        <v>3</v>
      </c>
    </row>
    <row r="498" spans="1:10" x14ac:dyDescent="0.35">
      <c r="A498">
        <v>10436</v>
      </c>
      <c r="B498">
        <v>46</v>
      </c>
      <c r="C498">
        <v>9.6</v>
      </c>
      <c r="D498">
        <v>5</v>
      </c>
      <c r="E498">
        <v>0</v>
      </c>
      <c r="F498">
        <v>48</v>
      </c>
      <c r="G498" t="str">
        <f>VLOOKUP(VLOOKUP(order_details[[#This Row],[ProductID]], products[], 4, FALSE), categories[], 2, FALSE)</f>
        <v>Seafood</v>
      </c>
      <c r="H498">
        <f>VLOOKUP(order_details[[#This Row],[ProductID]], products[], 4, FALSE)</f>
        <v>8</v>
      </c>
      <c r="I498" t="str">
        <f>VLOOKUP(order_details[[#This Row],[OrderID]], orders[[OrderID]:[ShipCountry]], 14, FALSE)</f>
        <v>France</v>
      </c>
      <c r="J498" s="1">
        <f>_xlfn.XLOOKUP(order_details[[#This Row],[OrderID]], orders[OrderID], orders[Month])</f>
        <v>3</v>
      </c>
    </row>
    <row r="499" spans="1:10" x14ac:dyDescent="0.35">
      <c r="A499">
        <v>10436</v>
      </c>
      <c r="B499">
        <v>56</v>
      </c>
      <c r="C499">
        <v>30.4</v>
      </c>
      <c r="D499">
        <v>40</v>
      </c>
      <c r="E499">
        <v>0.1</v>
      </c>
      <c r="F499">
        <v>1094.4000000000001</v>
      </c>
      <c r="G499" t="str">
        <f>VLOOKUP(VLOOKUP(order_details[[#This Row],[ProductID]], products[], 4, FALSE), categories[], 2, FALSE)</f>
        <v>Grains/Cereals</v>
      </c>
      <c r="H499">
        <f>VLOOKUP(order_details[[#This Row],[ProductID]], products[], 4, FALSE)</f>
        <v>5</v>
      </c>
      <c r="I499" t="str">
        <f>VLOOKUP(order_details[[#This Row],[OrderID]], orders[[OrderID]:[ShipCountry]], 14, FALSE)</f>
        <v>France</v>
      </c>
      <c r="J499" s="1">
        <f>_xlfn.XLOOKUP(order_details[[#This Row],[OrderID]], orders[OrderID], orders[Month])</f>
        <v>3</v>
      </c>
    </row>
    <row r="500" spans="1:10" x14ac:dyDescent="0.35">
      <c r="A500">
        <v>10436</v>
      </c>
      <c r="B500">
        <v>64</v>
      </c>
      <c r="C500">
        <v>26.6</v>
      </c>
      <c r="D500">
        <v>30</v>
      </c>
      <c r="E500">
        <v>0.1</v>
      </c>
      <c r="F500">
        <v>718.2</v>
      </c>
      <c r="G500" t="str">
        <f>VLOOKUP(VLOOKUP(order_details[[#This Row],[ProductID]], products[], 4, FALSE), categories[], 2, FALSE)</f>
        <v>Grains/Cereals</v>
      </c>
      <c r="H500">
        <f>VLOOKUP(order_details[[#This Row],[ProductID]], products[], 4, FALSE)</f>
        <v>5</v>
      </c>
      <c r="I500" t="str">
        <f>VLOOKUP(order_details[[#This Row],[OrderID]], orders[[OrderID]:[ShipCountry]], 14, FALSE)</f>
        <v>France</v>
      </c>
      <c r="J500" s="1">
        <f>_xlfn.XLOOKUP(order_details[[#This Row],[OrderID]], orders[OrderID], orders[Month])</f>
        <v>3</v>
      </c>
    </row>
    <row r="501" spans="1:10" x14ac:dyDescent="0.35">
      <c r="A501">
        <v>10436</v>
      </c>
      <c r="B501">
        <v>75</v>
      </c>
      <c r="C501">
        <v>6.2</v>
      </c>
      <c r="D501">
        <v>24</v>
      </c>
      <c r="E501">
        <v>0.1</v>
      </c>
      <c r="F501">
        <v>133.92000000000002</v>
      </c>
      <c r="G501" t="str">
        <f>VLOOKUP(VLOOKUP(order_details[[#This Row],[ProductID]], products[], 4, FALSE), categories[], 2, FALSE)</f>
        <v>Beverages</v>
      </c>
      <c r="H501">
        <f>VLOOKUP(order_details[[#This Row],[ProductID]], products[], 4, FALSE)</f>
        <v>1</v>
      </c>
      <c r="I501" t="str">
        <f>VLOOKUP(order_details[[#This Row],[OrderID]], orders[[OrderID]:[ShipCountry]], 14, FALSE)</f>
        <v>France</v>
      </c>
      <c r="J501" s="1">
        <f>_xlfn.XLOOKUP(order_details[[#This Row],[OrderID]], orders[OrderID], orders[Month])</f>
        <v>3</v>
      </c>
    </row>
    <row r="502" spans="1:10" x14ac:dyDescent="0.35">
      <c r="A502">
        <v>10437</v>
      </c>
      <c r="B502">
        <v>53</v>
      </c>
      <c r="C502">
        <v>26.2</v>
      </c>
      <c r="D502">
        <v>15</v>
      </c>
      <c r="E502">
        <v>0</v>
      </c>
      <c r="F502">
        <v>393</v>
      </c>
      <c r="G502" t="str">
        <f>VLOOKUP(VLOOKUP(order_details[[#This Row],[ProductID]], products[], 4, FALSE), categories[], 2, FALSE)</f>
        <v>Meat/Poultry</v>
      </c>
      <c r="H502">
        <f>VLOOKUP(order_details[[#This Row],[ProductID]], products[], 4, FALSE)</f>
        <v>6</v>
      </c>
      <c r="I502" t="str">
        <f>VLOOKUP(order_details[[#This Row],[OrderID]], orders[[OrderID]:[ShipCountry]], 14, FALSE)</f>
        <v>Finland</v>
      </c>
      <c r="J502" s="1">
        <f>_xlfn.XLOOKUP(order_details[[#This Row],[OrderID]], orders[OrderID], orders[Month])</f>
        <v>3</v>
      </c>
    </row>
    <row r="503" spans="1:10" x14ac:dyDescent="0.35">
      <c r="A503">
        <v>10438</v>
      </c>
      <c r="B503">
        <v>19</v>
      </c>
      <c r="C503">
        <v>7.3</v>
      </c>
      <c r="D503">
        <v>15</v>
      </c>
      <c r="E503">
        <v>0.2</v>
      </c>
      <c r="F503">
        <v>87.600000000000009</v>
      </c>
      <c r="G503" t="str">
        <f>VLOOKUP(VLOOKUP(order_details[[#This Row],[ProductID]], products[], 4, FALSE), categories[], 2, FALSE)</f>
        <v>Confections</v>
      </c>
      <c r="H503">
        <f>VLOOKUP(order_details[[#This Row],[ProductID]], products[], 4, FALSE)</f>
        <v>3</v>
      </c>
      <c r="I503" t="str">
        <f>VLOOKUP(order_details[[#This Row],[OrderID]], orders[[OrderID]:[ShipCountry]], 14, FALSE)</f>
        <v>Germany</v>
      </c>
      <c r="J503" s="1">
        <f>_xlfn.XLOOKUP(order_details[[#This Row],[OrderID]], orders[OrderID], orders[Month])</f>
        <v>3</v>
      </c>
    </row>
    <row r="504" spans="1:10" x14ac:dyDescent="0.35">
      <c r="A504">
        <v>10438</v>
      </c>
      <c r="B504">
        <v>34</v>
      </c>
      <c r="C504">
        <v>11.2</v>
      </c>
      <c r="D504">
        <v>20</v>
      </c>
      <c r="E504">
        <v>0.2</v>
      </c>
      <c r="F504">
        <v>179.20000000000002</v>
      </c>
      <c r="G504" t="str">
        <f>VLOOKUP(VLOOKUP(order_details[[#This Row],[ProductID]], products[], 4, FALSE), categories[], 2, FALSE)</f>
        <v>Beverages</v>
      </c>
      <c r="H504">
        <f>VLOOKUP(order_details[[#This Row],[ProductID]], products[], 4, FALSE)</f>
        <v>1</v>
      </c>
      <c r="I504" t="str">
        <f>VLOOKUP(order_details[[#This Row],[OrderID]], orders[[OrderID]:[ShipCountry]], 14, FALSE)</f>
        <v>Germany</v>
      </c>
      <c r="J504" s="1">
        <f>_xlfn.XLOOKUP(order_details[[#This Row],[OrderID]], orders[OrderID], orders[Month])</f>
        <v>3</v>
      </c>
    </row>
    <row r="505" spans="1:10" x14ac:dyDescent="0.35">
      <c r="A505">
        <v>10438</v>
      </c>
      <c r="B505">
        <v>57</v>
      </c>
      <c r="C505">
        <v>15.6</v>
      </c>
      <c r="D505">
        <v>15</v>
      </c>
      <c r="E505">
        <v>0.2</v>
      </c>
      <c r="F505">
        <v>187.20000000000002</v>
      </c>
      <c r="G505" t="str">
        <f>VLOOKUP(VLOOKUP(order_details[[#This Row],[ProductID]], products[], 4, FALSE), categories[], 2, FALSE)</f>
        <v>Grains/Cereals</v>
      </c>
      <c r="H505">
        <f>VLOOKUP(order_details[[#This Row],[ProductID]], products[], 4, FALSE)</f>
        <v>5</v>
      </c>
      <c r="I505" t="str">
        <f>VLOOKUP(order_details[[#This Row],[OrderID]], orders[[OrderID]:[ShipCountry]], 14, FALSE)</f>
        <v>Germany</v>
      </c>
      <c r="J505" s="1">
        <f>_xlfn.XLOOKUP(order_details[[#This Row],[OrderID]], orders[OrderID], orders[Month])</f>
        <v>3</v>
      </c>
    </row>
    <row r="506" spans="1:10" x14ac:dyDescent="0.35">
      <c r="A506">
        <v>10439</v>
      </c>
      <c r="B506">
        <v>12</v>
      </c>
      <c r="C506">
        <v>30.4</v>
      </c>
      <c r="D506">
        <v>15</v>
      </c>
      <c r="E506">
        <v>0</v>
      </c>
      <c r="F506">
        <v>456</v>
      </c>
      <c r="G506" t="str">
        <f>VLOOKUP(VLOOKUP(order_details[[#This Row],[ProductID]], products[], 4, FALSE), categories[], 2, FALSE)</f>
        <v>Dairy Products</v>
      </c>
      <c r="H506">
        <f>VLOOKUP(order_details[[#This Row],[ProductID]], products[], 4, FALSE)</f>
        <v>4</v>
      </c>
      <c r="I506" t="str">
        <f>VLOOKUP(order_details[[#This Row],[OrderID]], orders[[OrderID]:[ShipCountry]], 14, FALSE)</f>
        <v>Canada</v>
      </c>
      <c r="J506" s="1">
        <f>_xlfn.XLOOKUP(order_details[[#This Row],[OrderID]], orders[OrderID], orders[Month])</f>
        <v>3</v>
      </c>
    </row>
    <row r="507" spans="1:10" x14ac:dyDescent="0.35">
      <c r="A507">
        <v>10439</v>
      </c>
      <c r="B507">
        <v>16</v>
      </c>
      <c r="C507">
        <v>13.9</v>
      </c>
      <c r="D507">
        <v>16</v>
      </c>
      <c r="E507">
        <v>0</v>
      </c>
      <c r="F507">
        <v>222.4</v>
      </c>
      <c r="G507" t="str">
        <f>VLOOKUP(VLOOKUP(order_details[[#This Row],[ProductID]], products[], 4, FALSE), categories[], 2, FALSE)</f>
        <v>Confections</v>
      </c>
      <c r="H507">
        <f>VLOOKUP(order_details[[#This Row],[ProductID]], products[], 4, FALSE)</f>
        <v>3</v>
      </c>
      <c r="I507" t="str">
        <f>VLOOKUP(order_details[[#This Row],[OrderID]], orders[[OrderID]:[ShipCountry]], 14, FALSE)</f>
        <v>Canada</v>
      </c>
      <c r="J507" s="1">
        <f>_xlfn.XLOOKUP(order_details[[#This Row],[OrderID]], orders[OrderID], orders[Month])</f>
        <v>3</v>
      </c>
    </row>
    <row r="508" spans="1:10" x14ac:dyDescent="0.35">
      <c r="A508">
        <v>10439</v>
      </c>
      <c r="B508">
        <v>64</v>
      </c>
      <c r="C508">
        <v>26.6</v>
      </c>
      <c r="D508">
        <v>6</v>
      </c>
      <c r="E508">
        <v>0</v>
      </c>
      <c r="F508">
        <v>159.60000000000002</v>
      </c>
      <c r="G508" t="str">
        <f>VLOOKUP(VLOOKUP(order_details[[#This Row],[ProductID]], products[], 4, FALSE), categories[], 2, FALSE)</f>
        <v>Grains/Cereals</v>
      </c>
      <c r="H508">
        <f>VLOOKUP(order_details[[#This Row],[ProductID]], products[], 4, FALSE)</f>
        <v>5</v>
      </c>
      <c r="I508" t="str">
        <f>VLOOKUP(order_details[[#This Row],[OrderID]], orders[[OrderID]:[ShipCountry]], 14, FALSE)</f>
        <v>Canada</v>
      </c>
      <c r="J508" s="1">
        <f>_xlfn.XLOOKUP(order_details[[#This Row],[OrderID]], orders[OrderID], orders[Month])</f>
        <v>3</v>
      </c>
    </row>
    <row r="509" spans="1:10" x14ac:dyDescent="0.35">
      <c r="A509">
        <v>10439</v>
      </c>
      <c r="B509">
        <v>74</v>
      </c>
      <c r="C509">
        <v>8</v>
      </c>
      <c r="D509">
        <v>30</v>
      </c>
      <c r="E509">
        <v>0</v>
      </c>
      <c r="F509">
        <v>240</v>
      </c>
      <c r="G509" t="str">
        <f>VLOOKUP(VLOOKUP(order_details[[#This Row],[ProductID]], products[], 4, FALSE), categories[], 2, FALSE)</f>
        <v>Produce</v>
      </c>
      <c r="H509">
        <f>VLOOKUP(order_details[[#This Row],[ProductID]], products[], 4, FALSE)</f>
        <v>7</v>
      </c>
      <c r="I509" t="str">
        <f>VLOOKUP(order_details[[#This Row],[OrderID]], orders[[OrderID]:[ShipCountry]], 14, FALSE)</f>
        <v>Canada</v>
      </c>
      <c r="J509" s="1">
        <f>_xlfn.XLOOKUP(order_details[[#This Row],[OrderID]], orders[OrderID], orders[Month])</f>
        <v>3</v>
      </c>
    </row>
    <row r="510" spans="1:10" x14ac:dyDescent="0.35">
      <c r="A510">
        <v>10440</v>
      </c>
      <c r="B510">
        <v>2</v>
      </c>
      <c r="C510">
        <v>15.2</v>
      </c>
      <c r="D510">
        <v>45</v>
      </c>
      <c r="E510">
        <v>0.15</v>
      </c>
      <c r="F510">
        <v>581.4</v>
      </c>
      <c r="G510" t="str">
        <f>VLOOKUP(VLOOKUP(order_details[[#This Row],[ProductID]], products[], 4, FALSE), categories[], 2, FALSE)</f>
        <v>Beverages</v>
      </c>
      <c r="H510">
        <f>VLOOKUP(order_details[[#This Row],[ProductID]], products[], 4, FALSE)</f>
        <v>1</v>
      </c>
      <c r="I510" t="str">
        <f>VLOOKUP(order_details[[#This Row],[OrderID]], orders[[OrderID]:[ShipCountry]], 14, FALSE)</f>
        <v>USA</v>
      </c>
      <c r="J510" s="1">
        <f>_xlfn.XLOOKUP(order_details[[#This Row],[OrderID]], orders[OrderID], orders[Month])</f>
        <v>3</v>
      </c>
    </row>
    <row r="511" spans="1:10" x14ac:dyDescent="0.35">
      <c r="A511">
        <v>10440</v>
      </c>
      <c r="B511">
        <v>16</v>
      </c>
      <c r="C511">
        <v>13.9</v>
      </c>
      <c r="D511">
        <v>49</v>
      </c>
      <c r="E511">
        <v>0.15</v>
      </c>
      <c r="F511">
        <v>578.93500000000006</v>
      </c>
      <c r="G511" t="str">
        <f>VLOOKUP(VLOOKUP(order_details[[#This Row],[ProductID]], products[], 4, FALSE), categories[], 2, FALSE)</f>
        <v>Confections</v>
      </c>
      <c r="H511">
        <f>VLOOKUP(order_details[[#This Row],[ProductID]], products[], 4, FALSE)</f>
        <v>3</v>
      </c>
      <c r="I511" t="str">
        <f>VLOOKUP(order_details[[#This Row],[OrderID]], orders[[OrderID]:[ShipCountry]], 14, FALSE)</f>
        <v>USA</v>
      </c>
      <c r="J511" s="1">
        <f>_xlfn.XLOOKUP(order_details[[#This Row],[OrderID]], orders[OrderID], orders[Month])</f>
        <v>3</v>
      </c>
    </row>
    <row r="512" spans="1:10" x14ac:dyDescent="0.35">
      <c r="A512">
        <v>10440</v>
      </c>
      <c r="B512">
        <v>29</v>
      </c>
      <c r="C512">
        <v>99</v>
      </c>
      <c r="D512">
        <v>24</v>
      </c>
      <c r="E512">
        <v>0.15</v>
      </c>
      <c r="F512">
        <v>2019.6</v>
      </c>
      <c r="G512" t="str">
        <f>VLOOKUP(VLOOKUP(order_details[[#This Row],[ProductID]], products[], 4, FALSE), categories[], 2, FALSE)</f>
        <v>Meat/Poultry</v>
      </c>
      <c r="H512">
        <f>VLOOKUP(order_details[[#This Row],[ProductID]], products[], 4, FALSE)</f>
        <v>6</v>
      </c>
      <c r="I512" t="str">
        <f>VLOOKUP(order_details[[#This Row],[OrderID]], orders[[OrderID]:[ShipCountry]], 14, FALSE)</f>
        <v>USA</v>
      </c>
      <c r="J512" s="1">
        <f>_xlfn.XLOOKUP(order_details[[#This Row],[OrderID]], orders[OrderID], orders[Month])</f>
        <v>3</v>
      </c>
    </row>
    <row r="513" spans="1:10" x14ac:dyDescent="0.35">
      <c r="A513">
        <v>10440</v>
      </c>
      <c r="B513">
        <v>61</v>
      </c>
      <c r="C513">
        <v>22.8</v>
      </c>
      <c r="D513">
        <v>90</v>
      </c>
      <c r="E513">
        <v>0.15</v>
      </c>
      <c r="F513">
        <v>1744.2</v>
      </c>
      <c r="G513" t="str">
        <f>VLOOKUP(VLOOKUP(order_details[[#This Row],[ProductID]], products[], 4, FALSE), categories[], 2, FALSE)</f>
        <v>Condiments</v>
      </c>
      <c r="H513">
        <f>VLOOKUP(order_details[[#This Row],[ProductID]], products[], 4, FALSE)</f>
        <v>2</v>
      </c>
      <c r="I513" t="str">
        <f>VLOOKUP(order_details[[#This Row],[OrderID]], orders[[OrderID]:[ShipCountry]], 14, FALSE)</f>
        <v>USA</v>
      </c>
      <c r="J513" s="1">
        <f>_xlfn.XLOOKUP(order_details[[#This Row],[OrderID]], orders[OrderID], orders[Month])</f>
        <v>3</v>
      </c>
    </row>
    <row r="514" spans="1:10" x14ac:dyDescent="0.35">
      <c r="A514">
        <v>10441</v>
      </c>
      <c r="B514">
        <v>27</v>
      </c>
      <c r="C514">
        <v>35.1</v>
      </c>
      <c r="D514">
        <v>50</v>
      </c>
      <c r="E514">
        <v>0</v>
      </c>
      <c r="F514">
        <v>1755</v>
      </c>
      <c r="G514" t="str">
        <f>VLOOKUP(VLOOKUP(order_details[[#This Row],[ProductID]], products[], 4, FALSE), categories[], 2, FALSE)</f>
        <v>Confections</v>
      </c>
      <c r="H514">
        <f>VLOOKUP(order_details[[#This Row],[ProductID]], products[], 4, FALSE)</f>
        <v>3</v>
      </c>
      <c r="I514" t="str">
        <f>VLOOKUP(order_details[[#This Row],[OrderID]], orders[[OrderID]:[ShipCountry]], 14, FALSE)</f>
        <v>USA</v>
      </c>
      <c r="J514" s="1">
        <f>_xlfn.XLOOKUP(order_details[[#This Row],[OrderID]], orders[OrderID], orders[Month])</f>
        <v>3</v>
      </c>
    </row>
    <row r="515" spans="1:10" x14ac:dyDescent="0.35">
      <c r="A515">
        <v>10442</v>
      </c>
      <c r="B515">
        <v>11</v>
      </c>
      <c r="C515">
        <v>16.8</v>
      </c>
      <c r="D515">
        <v>30</v>
      </c>
      <c r="E515">
        <v>0</v>
      </c>
      <c r="F515">
        <v>504</v>
      </c>
      <c r="G515" t="str">
        <f>VLOOKUP(VLOOKUP(order_details[[#This Row],[ProductID]], products[], 4, FALSE), categories[], 2, FALSE)</f>
        <v>Dairy Products</v>
      </c>
      <c r="H515">
        <f>VLOOKUP(order_details[[#This Row],[ProductID]], products[], 4, FALSE)</f>
        <v>4</v>
      </c>
      <c r="I515" t="str">
        <f>VLOOKUP(order_details[[#This Row],[OrderID]], orders[[OrderID]:[ShipCountry]], 14, FALSE)</f>
        <v>Austria</v>
      </c>
      <c r="J515" s="1">
        <f>_xlfn.XLOOKUP(order_details[[#This Row],[OrderID]], orders[OrderID], orders[Month])</f>
        <v>3</v>
      </c>
    </row>
    <row r="516" spans="1:10" x14ac:dyDescent="0.35">
      <c r="A516">
        <v>10442</v>
      </c>
      <c r="B516">
        <v>54</v>
      </c>
      <c r="C516">
        <v>5.9</v>
      </c>
      <c r="D516">
        <v>80</v>
      </c>
      <c r="E516">
        <v>0</v>
      </c>
      <c r="F516">
        <v>472</v>
      </c>
      <c r="G516" t="str">
        <f>VLOOKUP(VLOOKUP(order_details[[#This Row],[ProductID]], products[], 4, FALSE), categories[], 2, FALSE)</f>
        <v>Meat/Poultry</v>
      </c>
      <c r="H516">
        <f>VLOOKUP(order_details[[#This Row],[ProductID]], products[], 4, FALSE)</f>
        <v>6</v>
      </c>
      <c r="I516" t="str">
        <f>VLOOKUP(order_details[[#This Row],[OrderID]], orders[[OrderID]:[ShipCountry]], 14, FALSE)</f>
        <v>Austria</v>
      </c>
      <c r="J516" s="1">
        <f>_xlfn.XLOOKUP(order_details[[#This Row],[OrderID]], orders[OrderID], orders[Month])</f>
        <v>3</v>
      </c>
    </row>
    <row r="517" spans="1:10" x14ac:dyDescent="0.35">
      <c r="A517">
        <v>10442</v>
      </c>
      <c r="B517">
        <v>66</v>
      </c>
      <c r="C517">
        <v>13.6</v>
      </c>
      <c r="D517">
        <v>60</v>
      </c>
      <c r="E517">
        <v>0</v>
      </c>
      <c r="F517">
        <v>816</v>
      </c>
      <c r="G517" t="str">
        <f>VLOOKUP(VLOOKUP(order_details[[#This Row],[ProductID]], products[], 4, FALSE), categories[], 2, FALSE)</f>
        <v>Condiments</v>
      </c>
      <c r="H517">
        <f>VLOOKUP(order_details[[#This Row],[ProductID]], products[], 4, FALSE)</f>
        <v>2</v>
      </c>
      <c r="I517" t="str">
        <f>VLOOKUP(order_details[[#This Row],[OrderID]], orders[[OrderID]:[ShipCountry]], 14, FALSE)</f>
        <v>Austria</v>
      </c>
      <c r="J517" s="1">
        <f>_xlfn.XLOOKUP(order_details[[#This Row],[OrderID]], orders[OrderID], orders[Month])</f>
        <v>3</v>
      </c>
    </row>
    <row r="518" spans="1:10" x14ac:dyDescent="0.35">
      <c r="A518">
        <v>10443</v>
      </c>
      <c r="B518">
        <v>11</v>
      </c>
      <c r="C518">
        <v>16.8</v>
      </c>
      <c r="D518">
        <v>6</v>
      </c>
      <c r="E518">
        <v>0.2</v>
      </c>
      <c r="F518">
        <v>80.640000000000015</v>
      </c>
      <c r="G518" t="str">
        <f>VLOOKUP(VLOOKUP(order_details[[#This Row],[ProductID]], products[], 4, FALSE), categories[], 2, FALSE)</f>
        <v>Dairy Products</v>
      </c>
      <c r="H518">
        <f>VLOOKUP(order_details[[#This Row],[ProductID]], products[], 4, FALSE)</f>
        <v>4</v>
      </c>
      <c r="I518" t="str">
        <f>VLOOKUP(order_details[[#This Row],[OrderID]], orders[[OrderID]:[ShipCountry]], 14, FALSE)</f>
        <v>Italy</v>
      </c>
      <c r="J518" s="1">
        <f>_xlfn.XLOOKUP(order_details[[#This Row],[OrderID]], orders[OrderID], orders[Month])</f>
        <v>3</v>
      </c>
    </row>
    <row r="519" spans="1:10" x14ac:dyDescent="0.35">
      <c r="A519">
        <v>10443</v>
      </c>
      <c r="B519">
        <v>28</v>
      </c>
      <c r="C519">
        <v>36.4</v>
      </c>
      <c r="D519">
        <v>12</v>
      </c>
      <c r="E519">
        <v>0</v>
      </c>
      <c r="F519">
        <v>436.79999999999995</v>
      </c>
      <c r="G519" t="str">
        <f>VLOOKUP(VLOOKUP(order_details[[#This Row],[ProductID]], products[], 4, FALSE), categories[], 2, FALSE)</f>
        <v>Produce</v>
      </c>
      <c r="H519">
        <f>VLOOKUP(order_details[[#This Row],[ProductID]], products[], 4, FALSE)</f>
        <v>7</v>
      </c>
      <c r="I519" t="str">
        <f>VLOOKUP(order_details[[#This Row],[OrderID]], orders[[OrderID]:[ShipCountry]], 14, FALSE)</f>
        <v>Italy</v>
      </c>
      <c r="J519" s="1">
        <f>_xlfn.XLOOKUP(order_details[[#This Row],[OrderID]], orders[OrderID], orders[Month])</f>
        <v>3</v>
      </c>
    </row>
    <row r="520" spans="1:10" x14ac:dyDescent="0.35">
      <c r="A520">
        <v>10444</v>
      </c>
      <c r="B520">
        <v>17</v>
      </c>
      <c r="C520">
        <v>31.2</v>
      </c>
      <c r="D520">
        <v>10</v>
      </c>
      <c r="E520">
        <v>0</v>
      </c>
      <c r="F520">
        <v>312</v>
      </c>
      <c r="G520" t="str">
        <f>VLOOKUP(VLOOKUP(order_details[[#This Row],[ProductID]], products[], 4, FALSE), categories[], 2, FALSE)</f>
        <v>Meat/Poultry</v>
      </c>
      <c r="H520">
        <f>VLOOKUP(order_details[[#This Row],[ProductID]], products[], 4, FALSE)</f>
        <v>6</v>
      </c>
      <c r="I520" t="str">
        <f>VLOOKUP(order_details[[#This Row],[OrderID]], orders[[OrderID]:[ShipCountry]], 14, FALSE)</f>
        <v>Sweden</v>
      </c>
      <c r="J520" s="1">
        <f>_xlfn.XLOOKUP(order_details[[#This Row],[OrderID]], orders[OrderID], orders[Month])</f>
        <v>3</v>
      </c>
    </row>
    <row r="521" spans="1:10" x14ac:dyDescent="0.35">
      <c r="A521">
        <v>10444</v>
      </c>
      <c r="B521">
        <v>26</v>
      </c>
      <c r="C521">
        <v>24.9</v>
      </c>
      <c r="D521">
        <v>15</v>
      </c>
      <c r="E521">
        <v>0</v>
      </c>
      <c r="F521">
        <v>373.5</v>
      </c>
      <c r="G521" t="str">
        <f>VLOOKUP(VLOOKUP(order_details[[#This Row],[ProductID]], products[], 4, FALSE), categories[], 2, FALSE)</f>
        <v>Confections</v>
      </c>
      <c r="H521">
        <f>VLOOKUP(order_details[[#This Row],[ProductID]], products[], 4, FALSE)</f>
        <v>3</v>
      </c>
      <c r="I521" t="str">
        <f>VLOOKUP(order_details[[#This Row],[OrderID]], orders[[OrderID]:[ShipCountry]], 14, FALSE)</f>
        <v>Sweden</v>
      </c>
      <c r="J521" s="1">
        <f>_xlfn.XLOOKUP(order_details[[#This Row],[OrderID]], orders[OrderID], orders[Month])</f>
        <v>3</v>
      </c>
    </row>
    <row r="522" spans="1:10" x14ac:dyDescent="0.35">
      <c r="A522">
        <v>10444</v>
      </c>
      <c r="B522">
        <v>35</v>
      </c>
      <c r="C522">
        <v>14.4</v>
      </c>
      <c r="D522">
        <v>8</v>
      </c>
      <c r="E522">
        <v>0</v>
      </c>
      <c r="F522">
        <v>115.2</v>
      </c>
      <c r="G522" t="str">
        <f>VLOOKUP(VLOOKUP(order_details[[#This Row],[ProductID]], products[], 4, FALSE), categories[], 2, FALSE)</f>
        <v>Beverages</v>
      </c>
      <c r="H522">
        <f>VLOOKUP(order_details[[#This Row],[ProductID]], products[], 4, FALSE)</f>
        <v>1</v>
      </c>
      <c r="I522" t="str">
        <f>VLOOKUP(order_details[[#This Row],[OrderID]], orders[[OrderID]:[ShipCountry]], 14, FALSE)</f>
        <v>Sweden</v>
      </c>
      <c r="J522" s="1">
        <f>_xlfn.XLOOKUP(order_details[[#This Row],[OrderID]], orders[OrderID], orders[Month])</f>
        <v>3</v>
      </c>
    </row>
    <row r="523" spans="1:10" x14ac:dyDescent="0.35">
      <c r="A523">
        <v>10444</v>
      </c>
      <c r="B523">
        <v>41</v>
      </c>
      <c r="C523">
        <v>7.7</v>
      </c>
      <c r="D523">
        <v>30</v>
      </c>
      <c r="E523">
        <v>0</v>
      </c>
      <c r="F523">
        <v>231</v>
      </c>
      <c r="G523" t="str">
        <f>VLOOKUP(VLOOKUP(order_details[[#This Row],[ProductID]], products[], 4, FALSE), categories[], 2, FALSE)</f>
        <v>Seafood</v>
      </c>
      <c r="H523">
        <f>VLOOKUP(order_details[[#This Row],[ProductID]], products[], 4, FALSE)</f>
        <v>8</v>
      </c>
      <c r="I523" t="str">
        <f>VLOOKUP(order_details[[#This Row],[OrderID]], orders[[OrderID]:[ShipCountry]], 14, FALSE)</f>
        <v>Sweden</v>
      </c>
      <c r="J523" s="1">
        <f>_xlfn.XLOOKUP(order_details[[#This Row],[OrderID]], orders[OrderID], orders[Month])</f>
        <v>3</v>
      </c>
    </row>
    <row r="524" spans="1:10" x14ac:dyDescent="0.35">
      <c r="A524">
        <v>10445</v>
      </c>
      <c r="B524">
        <v>39</v>
      </c>
      <c r="C524">
        <v>14.4</v>
      </c>
      <c r="D524">
        <v>6</v>
      </c>
      <c r="E524">
        <v>0</v>
      </c>
      <c r="F524">
        <v>86.4</v>
      </c>
      <c r="G524" t="str">
        <f>VLOOKUP(VLOOKUP(order_details[[#This Row],[ProductID]], products[], 4, FALSE), categories[], 2, FALSE)</f>
        <v>Beverages</v>
      </c>
      <c r="H524">
        <f>VLOOKUP(order_details[[#This Row],[ProductID]], products[], 4, FALSE)</f>
        <v>1</v>
      </c>
      <c r="I524" t="str">
        <f>VLOOKUP(order_details[[#This Row],[OrderID]], orders[[OrderID]:[ShipCountry]], 14, FALSE)</f>
        <v>Sweden</v>
      </c>
      <c r="J524" s="1">
        <f>_xlfn.XLOOKUP(order_details[[#This Row],[OrderID]], orders[OrderID], orders[Month])</f>
        <v>3</v>
      </c>
    </row>
    <row r="525" spans="1:10" x14ac:dyDescent="0.35">
      <c r="A525">
        <v>10445</v>
      </c>
      <c r="B525">
        <v>54</v>
      </c>
      <c r="C525">
        <v>5.9</v>
      </c>
      <c r="D525">
        <v>15</v>
      </c>
      <c r="E525">
        <v>0</v>
      </c>
      <c r="F525">
        <v>88.5</v>
      </c>
      <c r="G525" t="str">
        <f>VLOOKUP(VLOOKUP(order_details[[#This Row],[ProductID]], products[], 4, FALSE), categories[], 2, FALSE)</f>
        <v>Meat/Poultry</v>
      </c>
      <c r="H525">
        <f>VLOOKUP(order_details[[#This Row],[ProductID]], products[], 4, FALSE)</f>
        <v>6</v>
      </c>
      <c r="I525" t="str">
        <f>VLOOKUP(order_details[[#This Row],[OrderID]], orders[[OrderID]:[ShipCountry]], 14, FALSE)</f>
        <v>Sweden</v>
      </c>
      <c r="J525" s="1">
        <f>_xlfn.XLOOKUP(order_details[[#This Row],[OrderID]], orders[OrderID], orders[Month])</f>
        <v>3</v>
      </c>
    </row>
    <row r="526" spans="1:10" x14ac:dyDescent="0.35">
      <c r="A526">
        <v>10446</v>
      </c>
      <c r="B526">
        <v>19</v>
      </c>
      <c r="C526">
        <v>7.3</v>
      </c>
      <c r="D526">
        <v>12</v>
      </c>
      <c r="E526">
        <v>0.1</v>
      </c>
      <c r="F526">
        <v>78.84</v>
      </c>
      <c r="G526" t="str">
        <f>VLOOKUP(VLOOKUP(order_details[[#This Row],[ProductID]], products[], 4, FALSE), categories[], 2, FALSE)</f>
        <v>Confections</v>
      </c>
      <c r="H526">
        <f>VLOOKUP(order_details[[#This Row],[ProductID]], products[], 4, FALSE)</f>
        <v>3</v>
      </c>
      <c r="I526" t="str">
        <f>VLOOKUP(order_details[[#This Row],[OrderID]], orders[[OrderID]:[ShipCountry]], 14, FALSE)</f>
        <v>Germany</v>
      </c>
      <c r="J526" s="1">
        <f>_xlfn.XLOOKUP(order_details[[#This Row],[OrderID]], orders[OrderID], orders[Month])</f>
        <v>3</v>
      </c>
    </row>
    <row r="527" spans="1:10" x14ac:dyDescent="0.35">
      <c r="A527">
        <v>10446</v>
      </c>
      <c r="B527">
        <v>24</v>
      </c>
      <c r="C527">
        <v>3.6</v>
      </c>
      <c r="D527">
        <v>20</v>
      </c>
      <c r="E527">
        <v>0.1</v>
      </c>
      <c r="F527">
        <v>64.8</v>
      </c>
      <c r="G527" t="str">
        <f>VLOOKUP(VLOOKUP(order_details[[#This Row],[ProductID]], products[], 4, FALSE), categories[], 2, FALSE)</f>
        <v>Beverages</v>
      </c>
      <c r="H527">
        <f>VLOOKUP(order_details[[#This Row],[ProductID]], products[], 4, FALSE)</f>
        <v>1</v>
      </c>
      <c r="I527" t="str">
        <f>VLOOKUP(order_details[[#This Row],[OrderID]], orders[[OrderID]:[ShipCountry]], 14, FALSE)</f>
        <v>Germany</v>
      </c>
      <c r="J527" s="1">
        <f>_xlfn.XLOOKUP(order_details[[#This Row],[OrderID]], orders[OrderID], orders[Month])</f>
        <v>3</v>
      </c>
    </row>
    <row r="528" spans="1:10" x14ac:dyDescent="0.35">
      <c r="A528">
        <v>10446</v>
      </c>
      <c r="B528">
        <v>31</v>
      </c>
      <c r="C528">
        <v>10</v>
      </c>
      <c r="D528">
        <v>3</v>
      </c>
      <c r="E528">
        <v>0.1</v>
      </c>
      <c r="F528">
        <v>27</v>
      </c>
      <c r="G528" t="str">
        <f>VLOOKUP(VLOOKUP(order_details[[#This Row],[ProductID]], products[], 4, FALSE), categories[], 2, FALSE)</f>
        <v>Dairy Products</v>
      </c>
      <c r="H528">
        <f>VLOOKUP(order_details[[#This Row],[ProductID]], products[], 4, FALSE)</f>
        <v>4</v>
      </c>
      <c r="I528" t="str">
        <f>VLOOKUP(order_details[[#This Row],[OrderID]], orders[[OrderID]:[ShipCountry]], 14, FALSE)</f>
        <v>Germany</v>
      </c>
      <c r="J528" s="1">
        <f>_xlfn.XLOOKUP(order_details[[#This Row],[OrderID]], orders[OrderID], orders[Month])</f>
        <v>3</v>
      </c>
    </row>
    <row r="529" spans="1:10" x14ac:dyDescent="0.35">
      <c r="A529">
        <v>10446</v>
      </c>
      <c r="B529">
        <v>52</v>
      </c>
      <c r="C529">
        <v>5.6</v>
      </c>
      <c r="D529">
        <v>15</v>
      </c>
      <c r="E529">
        <v>0.1</v>
      </c>
      <c r="F529">
        <v>75.600000000000009</v>
      </c>
      <c r="G529" t="str">
        <f>VLOOKUP(VLOOKUP(order_details[[#This Row],[ProductID]], products[], 4, FALSE), categories[], 2, FALSE)</f>
        <v>Grains/Cereals</v>
      </c>
      <c r="H529">
        <f>VLOOKUP(order_details[[#This Row],[ProductID]], products[], 4, FALSE)</f>
        <v>5</v>
      </c>
      <c r="I529" t="str">
        <f>VLOOKUP(order_details[[#This Row],[OrderID]], orders[[OrderID]:[ShipCountry]], 14, FALSE)</f>
        <v>Germany</v>
      </c>
      <c r="J529" s="1">
        <f>_xlfn.XLOOKUP(order_details[[#This Row],[OrderID]], orders[OrderID], orders[Month])</f>
        <v>3</v>
      </c>
    </row>
    <row r="530" spans="1:10" x14ac:dyDescent="0.35">
      <c r="A530">
        <v>10447</v>
      </c>
      <c r="B530">
        <v>19</v>
      </c>
      <c r="C530">
        <v>7.3</v>
      </c>
      <c r="D530">
        <v>40</v>
      </c>
      <c r="E530">
        <v>0</v>
      </c>
      <c r="F530">
        <v>292</v>
      </c>
      <c r="G530" t="str">
        <f>VLOOKUP(VLOOKUP(order_details[[#This Row],[ProductID]], products[], 4, FALSE), categories[], 2, FALSE)</f>
        <v>Confections</v>
      </c>
      <c r="H530">
        <f>VLOOKUP(order_details[[#This Row],[ProductID]], products[], 4, FALSE)</f>
        <v>3</v>
      </c>
      <c r="I530" t="str">
        <f>VLOOKUP(order_details[[#This Row],[OrderID]], orders[[OrderID]:[ShipCountry]], 14, FALSE)</f>
        <v>Brazil</v>
      </c>
      <c r="J530" s="1">
        <f>_xlfn.XLOOKUP(order_details[[#This Row],[OrderID]], orders[OrderID], orders[Month])</f>
        <v>3</v>
      </c>
    </row>
    <row r="531" spans="1:10" x14ac:dyDescent="0.35">
      <c r="A531">
        <v>10447</v>
      </c>
      <c r="B531">
        <v>65</v>
      </c>
      <c r="C531">
        <v>16.8</v>
      </c>
      <c r="D531">
        <v>35</v>
      </c>
      <c r="E531">
        <v>0</v>
      </c>
      <c r="F531">
        <v>588</v>
      </c>
      <c r="G531" t="str">
        <f>VLOOKUP(VLOOKUP(order_details[[#This Row],[ProductID]], products[], 4, FALSE), categories[], 2, FALSE)</f>
        <v>Condiments</v>
      </c>
      <c r="H531">
        <f>VLOOKUP(order_details[[#This Row],[ProductID]], products[], 4, FALSE)</f>
        <v>2</v>
      </c>
      <c r="I531" t="str">
        <f>VLOOKUP(order_details[[#This Row],[OrderID]], orders[[OrderID]:[ShipCountry]], 14, FALSE)</f>
        <v>Brazil</v>
      </c>
      <c r="J531" s="1">
        <f>_xlfn.XLOOKUP(order_details[[#This Row],[OrderID]], orders[OrderID], orders[Month])</f>
        <v>3</v>
      </c>
    </row>
    <row r="532" spans="1:10" x14ac:dyDescent="0.35">
      <c r="A532">
        <v>10447</v>
      </c>
      <c r="B532">
        <v>71</v>
      </c>
      <c r="C532">
        <v>17.2</v>
      </c>
      <c r="D532">
        <v>2</v>
      </c>
      <c r="E532">
        <v>0</v>
      </c>
      <c r="F532">
        <v>34.4</v>
      </c>
      <c r="G532" t="str">
        <f>VLOOKUP(VLOOKUP(order_details[[#This Row],[ProductID]], products[], 4, FALSE), categories[], 2, FALSE)</f>
        <v>Dairy Products</v>
      </c>
      <c r="H532">
        <f>VLOOKUP(order_details[[#This Row],[ProductID]], products[], 4, FALSE)</f>
        <v>4</v>
      </c>
      <c r="I532" t="str">
        <f>VLOOKUP(order_details[[#This Row],[OrderID]], orders[[OrderID]:[ShipCountry]], 14, FALSE)</f>
        <v>Brazil</v>
      </c>
      <c r="J532" s="1">
        <f>_xlfn.XLOOKUP(order_details[[#This Row],[OrderID]], orders[OrderID], orders[Month])</f>
        <v>3</v>
      </c>
    </row>
    <row r="533" spans="1:10" x14ac:dyDescent="0.35">
      <c r="A533">
        <v>10448</v>
      </c>
      <c r="B533">
        <v>26</v>
      </c>
      <c r="C533">
        <v>24.9</v>
      </c>
      <c r="D533">
        <v>6</v>
      </c>
      <c r="E533">
        <v>0</v>
      </c>
      <c r="F533">
        <v>149.39999999999998</v>
      </c>
      <c r="G533" t="str">
        <f>VLOOKUP(VLOOKUP(order_details[[#This Row],[ProductID]], products[], 4, FALSE), categories[], 2, FALSE)</f>
        <v>Confections</v>
      </c>
      <c r="H533">
        <f>VLOOKUP(order_details[[#This Row],[ProductID]], products[], 4, FALSE)</f>
        <v>3</v>
      </c>
      <c r="I533" t="str">
        <f>VLOOKUP(order_details[[#This Row],[OrderID]], orders[[OrderID]:[ShipCountry]], 14, FALSE)</f>
        <v>Argentina</v>
      </c>
      <c r="J533" s="1">
        <f>_xlfn.XLOOKUP(order_details[[#This Row],[OrderID]], orders[OrderID], orders[Month])</f>
        <v>3</v>
      </c>
    </row>
    <row r="534" spans="1:10" x14ac:dyDescent="0.35">
      <c r="A534">
        <v>10448</v>
      </c>
      <c r="B534">
        <v>40</v>
      </c>
      <c r="C534">
        <v>14.7</v>
      </c>
      <c r="D534">
        <v>20</v>
      </c>
      <c r="E534">
        <v>0</v>
      </c>
      <c r="F534">
        <v>294</v>
      </c>
      <c r="G534" t="str">
        <f>VLOOKUP(VLOOKUP(order_details[[#This Row],[ProductID]], products[], 4, FALSE), categories[], 2, FALSE)</f>
        <v>Seafood</v>
      </c>
      <c r="H534">
        <f>VLOOKUP(order_details[[#This Row],[ProductID]], products[], 4, FALSE)</f>
        <v>8</v>
      </c>
      <c r="I534" t="str">
        <f>VLOOKUP(order_details[[#This Row],[OrderID]], orders[[OrderID]:[ShipCountry]], 14, FALSE)</f>
        <v>Argentina</v>
      </c>
      <c r="J534" s="1">
        <f>_xlfn.XLOOKUP(order_details[[#This Row],[OrderID]], orders[OrderID], orders[Month])</f>
        <v>3</v>
      </c>
    </row>
    <row r="535" spans="1:10" x14ac:dyDescent="0.35">
      <c r="A535">
        <v>10449</v>
      </c>
      <c r="B535">
        <v>10</v>
      </c>
      <c r="C535">
        <v>24.8</v>
      </c>
      <c r="D535">
        <v>14</v>
      </c>
      <c r="E535">
        <v>0</v>
      </c>
      <c r="F535">
        <v>347.2</v>
      </c>
      <c r="G535" t="str">
        <f>VLOOKUP(VLOOKUP(order_details[[#This Row],[ProductID]], products[], 4, FALSE), categories[], 2, FALSE)</f>
        <v>Seafood</v>
      </c>
      <c r="H535">
        <f>VLOOKUP(order_details[[#This Row],[ProductID]], products[], 4, FALSE)</f>
        <v>8</v>
      </c>
      <c r="I535" t="str">
        <f>VLOOKUP(order_details[[#This Row],[OrderID]], orders[[OrderID]:[ShipCountry]], 14, FALSE)</f>
        <v>France</v>
      </c>
      <c r="J535" s="1">
        <f>_xlfn.XLOOKUP(order_details[[#This Row],[OrderID]], orders[OrderID], orders[Month])</f>
        <v>3</v>
      </c>
    </row>
    <row r="536" spans="1:10" x14ac:dyDescent="0.35">
      <c r="A536">
        <v>10449</v>
      </c>
      <c r="B536">
        <v>52</v>
      </c>
      <c r="C536">
        <v>5.6</v>
      </c>
      <c r="D536">
        <v>20</v>
      </c>
      <c r="E536">
        <v>0</v>
      </c>
      <c r="F536">
        <v>112</v>
      </c>
      <c r="G536" t="str">
        <f>VLOOKUP(VLOOKUP(order_details[[#This Row],[ProductID]], products[], 4, FALSE), categories[], 2, FALSE)</f>
        <v>Grains/Cereals</v>
      </c>
      <c r="H536">
        <f>VLOOKUP(order_details[[#This Row],[ProductID]], products[], 4, FALSE)</f>
        <v>5</v>
      </c>
      <c r="I536" t="str">
        <f>VLOOKUP(order_details[[#This Row],[OrderID]], orders[[OrderID]:[ShipCountry]], 14, FALSE)</f>
        <v>France</v>
      </c>
      <c r="J536" s="1">
        <f>_xlfn.XLOOKUP(order_details[[#This Row],[OrderID]], orders[OrderID], orders[Month])</f>
        <v>3</v>
      </c>
    </row>
    <row r="537" spans="1:10" x14ac:dyDescent="0.35">
      <c r="A537">
        <v>10449</v>
      </c>
      <c r="B537">
        <v>62</v>
      </c>
      <c r="C537">
        <v>39.4</v>
      </c>
      <c r="D537">
        <v>35</v>
      </c>
      <c r="E537">
        <v>0</v>
      </c>
      <c r="F537">
        <v>1379</v>
      </c>
      <c r="G537" t="str">
        <f>VLOOKUP(VLOOKUP(order_details[[#This Row],[ProductID]], products[], 4, FALSE), categories[], 2, FALSE)</f>
        <v>Confections</v>
      </c>
      <c r="H537">
        <f>VLOOKUP(order_details[[#This Row],[ProductID]], products[], 4, FALSE)</f>
        <v>3</v>
      </c>
      <c r="I537" t="str">
        <f>VLOOKUP(order_details[[#This Row],[OrderID]], orders[[OrderID]:[ShipCountry]], 14, FALSE)</f>
        <v>France</v>
      </c>
      <c r="J537" s="1">
        <f>_xlfn.XLOOKUP(order_details[[#This Row],[OrderID]], orders[OrderID], orders[Month])</f>
        <v>3</v>
      </c>
    </row>
    <row r="538" spans="1:10" x14ac:dyDescent="0.35">
      <c r="A538">
        <v>10450</v>
      </c>
      <c r="B538">
        <v>10</v>
      </c>
      <c r="C538">
        <v>24.8</v>
      </c>
      <c r="D538">
        <v>20</v>
      </c>
      <c r="E538">
        <v>0.2</v>
      </c>
      <c r="F538">
        <v>396.8</v>
      </c>
      <c r="G538" t="str">
        <f>VLOOKUP(VLOOKUP(order_details[[#This Row],[ProductID]], products[], 4, FALSE), categories[], 2, FALSE)</f>
        <v>Seafood</v>
      </c>
      <c r="H538">
        <f>VLOOKUP(order_details[[#This Row],[ProductID]], products[], 4, FALSE)</f>
        <v>8</v>
      </c>
      <c r="I538" t="str">
        <f>VLOOKUP(order_details[[#This Row],[OrderID]], orders[[OrderID]:[ShipCountry]], 14, FALSE)</f>
        <v>France</v>
      </c>
      <c r="J538" s="1">
        <f>_xlfn.XLOOKUP(order_details[[#This Row],[OrderID]], orders[OrderID], orders[Month])</f>
        <v>3</v>
      </c>
    </row>
    <row r="539" spans="1:10" x14ac:dyDescent="0.35">
      <c r="A539">
        <v>10450</v>
      </c>
      <c r="B539">
        <v>54</v>
      </c>
      <c r="C539">
        <v>5.9</v>
      </c>
      <c r="D539">
        <v>6</v>
      </c>
      <c r="E539">
        <v>0.2</v>
      </c>
      <c r="F539">
        <v>28.320000000000007</v>
      </c>
      <c r="G539" t="str">
        <f>VLOOKUP(VLOOKUP(order_details[[#This Row],[ProductID]], products[], 4, FALSE), categories[], 2, FALSE)</f>
        <v>Meat/Poultry</v>
      </c>
      <c r="H539">
        <f>VLOOKUP(order_details[[#This Row],[ProductID]], products[], 4, FALSE)</f>
        <v>6</v>
      </c>
      <c r="I539" t="str">
        <f>VLOOKUP(order_details[[#This Row],[OrderID]], orders[[OrderID]:[ShipCountry]], 14, FALSE)</f>
        <v>France</v>
      </c>
      <c r="J539" s="1">
        <f>_xlfn.XLOOKUP(order_details[[#This Row],[OrderID]], orders[OrderID], orders[Month])</f>
        <v>3</v>
      </c>
    </row>
    <row r="540" spans="1:10" x14ac:dyDescent="0.35">
      <c r="A540">
        <v>10451</v>
      </c>
      <c r="B540">
        <v>55</v>
      </c>
      <c r="C540">
        <v>19.2</v>
      </c>
      <c r="D540">
        <v>120</v>
      </c>
      <c r="E540">
        <v>0.1</v>
      </c>
      <c r="F540">
        <v>2073.6</v>
      </c>
      <c r="G540" t="str">
        <f>VLOOKUP(VLOOKUP(order_details[[#This Row],[ProductID]], products[], 4, FALSE), categories[], 2, FALSE)</f>
        <v>Meat/Poultry</v>
      </c>
      <c r="H540">
        <f>VLOOKUP(order_details[[#This Row],[ProductID]], products[], 4, FALSE)</f>
        <v>6</v>
      </c>
      <c r="I540" t="str">
        <f>VLOOKUP(order_details[[#This Row],[OrderID]], orders[[OrderID]:[ShipCountry]], 14, FALSE)</f>
        <v>Germany</v>
      </c>
      <c r="J540" s="1">
        <f>_xlfn.XLOOKUP(order_details[[#This Row],[OrderID]], orders[OrderID], orders[Month])</f>
        <v>3</v>
      </c>
    </row>
    <row r="541" spans="1:10" x14ac:dyDescent="0.35">
      <c r="A541">
        <v>10451</v>
      </c>
      <c r="B541">
        <v>64</v>
      </c>
      <c r="C541">
        <v>26.6</v>
      </c>
      <c r="D541">
        <v>35</v>
      </c>
      <c r="E541">
        <v>0.1</v>
      </c>
      <c r="F541">
        <v>837.9</v>
      </c>
      <c r="G541" t="str">
        <f>VLOOKUP(VLOOKUP(order_details[[#This Row],[ProductID]], products[], 4, FALSE), categories[], 2, FALSE)</f>
        <v>Grains/Cereals</v>
      </c>
      <c r="H541">
        <f>VLOOKUP(order_details[[#This Row],[ProductID]], products[], 4, FALSE)</f>
        <v>5</v>
      </c>
      <c r="I541" t="str">
        <f>VLOOKUP(order_details[[#This Row],[OrderID]], orders[[OrderID]:[ShipCountry]], 14, FALSE)</f>
        <v>Germany</v>
      </c>
      <c r="J541" s="1">
        <f>_xlfn.XLOOKUP(order_details[[#This Row],[OrderID]], orders[OrderID], orders[Month])</f>
        <v>3</v>
      </c>
    </row>
    <row r="542" spans="1:10" x14ac:dyDescent="0.35">
      <c r="A542">
        <v>10451</v>
      </c>
      <c r="B542">
        <v>65</v>
      </c>
      <c r="C542">
        <v>16.8</v>
      </c>
      <c r="D542">
        <v>28</v>
      </c>
      <c r="E542">
        <v>0.1</v>
      </c>
      <c r="F542">
        <v>423.36</v>
      </c>
      <c r="G542" t="str">
        <f>VLOOKUP(VLOOKUP(order_details[[#This Row],[ProductID]], products[], 4, FALSE), categories[], 2, FALSE)</f>
        <v>Condiments</v>
      </c>
      <c r="H542">
        <f>VLOOKUP(order_details[[#This Row],[ProductID]], products[], 4, FALSE)</f>
        <v>2</v>
      </c>
      <c r="I542" t="str">
        <f>VLOOKUP(order_details[[#This Row],[OrderID]], orders[[OrderID]:[ShipCountry]], 14, FALSE)</f>
        <v>Germany</v>
      </c>
      <c r="J542" s="1">
        <f>_xlfn.XLOOKUP(order_details[[#This Row],[OrderID]], orders[OrderID], orders[Month])</f>
        <v>3</v>
      </c>
    </row>
    <row r="543" spans="1:10" x14ac:dyDescent="0.35">
      <c r="A543">
        <v>10451</v>
      </c>
      <c r="B543">
        <v>77</v>
      </c>
      <c r="C543">
        <v>10.4</v>
      </c>
      <c r="D543">
        <v>55</v>
      </c>
      <c r="E543">
        <v>0.1</v>
      </c>
      <c r="F543">
        <v>514.80000000000007</v>
      </c>
      <c r="G543" t="str">
        <f>VLOOKUP(VLOOKUP(order_details[[#This Row],[ProductID]], products[], 4, FALSE), categories[], 2, FALSE)</f>
        <v>Condiments</v>
      </c>
      <c r="H543">
        <f>VLOOKUP(order_details[[#This Row],[ProductID]], products[], 4, FALSE)</f>
        <v>2</v>
      </c>
      <c r="I543" t="str">
        <f>VLOOKUP(order_details[[#This Row],[OrderID]], orders[[OrderID]:[ShipCountry]], 14, FALSE)</f>
        <v>Germany</v>
      </c>
      <c r="J543" s="1">
        <f>_xlfn.XLOOKUP(order_details[[#This Row],[OrderID]], orders[OrderID], orders[Month])</f>
        <v>3</v>
      </c>
    </row>
    <row r="544" spans="1:10" x14ac:dyDescent="0.35">
      <c r="A544">
        <v>10452</v>
      </c>
      <c r="B544">
        <v>28</v>
      </c>
      <c r="C544">
        <v>36.4</v>
      </c>
      <c r="D544">
        <v>15</v>
      </c>
      <c r="E544">
        <v>0</v>
      </c>
      <c r="F544">
        <v>546</v>
      </c>
      <c r="G544" t="str">
        <f>VLOOKUP(VLOOKUP(order_details[[#This Row],[ProductID]], products[], 4, FALSE), categories[], 2, FALSE)</f>
        <v>Produce</v>
      </c>
      <c r="H544">
        <f>VLOOKUP(order_details[[#This Row],[ProductID]], products[], 4, FALSE)</f>
        <v>7</v>
      </c>
      <c r="I544" t="str">
        <f>VLOOKUP(order_details[[#This Row],[OrderID]], orders[[OrderID]:[ShipCountry]], 14, FALSE)</f>
        <v>USA</v>
      </c>
      <c r="J544" s="1">
        <f>_xlfn.XLOOKUP(order_details[[#This Row],[OrderID]], orders[OrderID], orders[Month])</f>
        <v>3</v>
      </c>
    </row>
    <row r="545" spans="1:10" x14ac:dyDescent="0.35">
      <c r="A545">
        <v>10452</v>
      </c>
      <c r="B545">
        <v>44</v>
      </c>
      <c r="C545">
        <v>15.5</v>
      </c>
      <c r="D545">
        <v>100</v>
      </c>
      <c r="E545">
        <v>0.05</v>
      </c>
      <c r="F545">
        <v>1472.5</v>
      </c>
      <c r="G545" t="str">
        <f>VLOOKUP(VLOOKUP(order_details[[#This Row],[ProductID]], products[], 4, FALSE), categories[], 2, FALSE)</f>
        <v>Condiments</v>
      </c>
      <c r="H545">
        <f>VLOOKUP(order_details[[#This Row],[ProductID]], products[], 4, FALSE)</f>
        <v>2</v>
      </c>
      <c r="I545" t="str">
        <f>VLOOKUP(order_details[[#This Row],[OrderID]], orders[[OrderID]:[ShipCountry]], 14, FALSE)</f>
        <v>USA</v>
      </c>
      <c r="J545" s="1">
        <f>_xlfn.XLOOKUP(order_details[[#This Row],[OrderID]], orders[OrderID], orders[Month])</f>
        <v>3</v>
      </c>
    </row>
    <row r="546" spans="1:10" x14ac:dyDescent="0.35">
      <c r="A546">
        <v>10453</v>
      </c>
      <c r="B546">
        <v>48</v>
      </c>
      <c r="C546">
        <v>10.199999999999999</v>
      </c>
      <c r="D546">
        <v>15</v>
      </c>
      <c r="E546">
        <v>0.1</v>
      </c>
      <c r="F546">
        <v>137.70000000000002</v>
      </c>
      <c r="G546" t="str">
        <f>VLOOKUP(VLOOKUP(order_details[[#This Row],[ProductID]], products[], 4, FALSE), categories[], 2, FALSE)</f>
        <v>Confections</v>
      </c>
      <c r="H546">
        <f>VLOOKUP(order_details[[#This Row],[ProductID]], products[], 4, FALSE)</f>
        <v>3</v>
      </c>
      <c r="I546" t="str">
        <f>VLOOKUP(order_details[[#This Row],[OrderID]], orders[[OrderID]:[ShipCountry]], 14, FALSE)</f>
        <v>UK</v>
      </c>
      <c r="J546" s="1">
        <f>_xlfn.XLOOKUP(order_details[[#This Row],[OrderID]], orders[OrderID], orders[Month])</f>
        <v>3</v>
      </c>
    </row>
    <row r="547" spans="1:10" x14ac:dyDescent="0.35">
      <c r="A547">
        <v>10453</v>
      </c>
      <c r="B547">
        <v>70</v>
      </c>
      <c r="C547">
        <v>12</v>
      </c>
      <c r="D547">
        <v>25</v>
      </c>
      <c r="E547">
        <v>0.1</v>
      </c>
      <c r="F547">
        <v>270</v>
      </c>
      <c r="G547" t="str">
        <f>VLOOKUP(VLOOKUP(order_details[[#This Row],[ProductID]], products[], 4, FALSE), categories[], 2, FALSE)</f>
        <v>Beverages</v>
      </c>
      <c r="H547">
        <f>VLOOKUP(order_details[[#This Row],[ProductID]], products[], 4, FALSE)</f>
        <v>1</v>
      </c>
      <c r="I547" t="str">
        <f>VLOOKUP(order_details[[#This Row],[OrderID]], orders[[OrderID]:[ShipCountry]], 14, FALSE)</f>
        <v>UK</v>
      </c>
      <c r="J547" s="1">
        <f>_xlfn.XLOOKUP(order_details[[#This Row],[OrderID]], orders[OrderID], orders[Month])</f>
        <v>3</v>
      </c>
    </row>
    <row r="548" spans="1:10" x14ac:dyDescent="0.35">
      <c r="A548">
        <v>10454</v>
      </c>
      <c r="B548">
        <v>16</v>
      </c>
      <c r="C548">
        <v>13.9</v>
      </c>
      <c r="D548">
        <v>20</v>
      </c>
      <c r="E548">
        <v>0.2</v>
      </c>
      <c r="F548">
        <v>222.4</v>
      </c>
      <c r="G548" t="str">
        <f>VLOOKUP(VLOOKUP(order_details[[#This Row],[ProductID]], products[], 4, FALSE), categories[], 2, FALSE)</f>
        <v>Confections</v>
      </c>
      <c r="H548">
        <f>VLOOKUP(order_details[[#This Row],[ProductID]], products[], 4, FALSE)</f>
        <v>3</v>
      </c>
      <c r="I548" t="str">
        <f>VLOOKUP(order_details[[#This Row],[OrderID]], orders[[OrderID]:[ShipCountry]], 14, FALSE)</f>
        <v>France</v>
      </c>
      <c r="J548" s="1">
        <f>_xlfn.XLOOKUP(order_details[[#This Row],[OrderID]], orders[OrderID], orders[Month])</f>
        <v>3</v>
      </c>
    </row>
    <row r="549" spans="1:10" x14ac:dyDescent="0.35">
      <c r="A549">
        <v>10454</v>
      </c>
      <c r="B549">
        <v>33</v>
      </c>
      <c r="C549">
        <v>2</v>
      </c>
      <c r="D549">
        <v>20</v>
      </c>
      <c r="E549">
        <v>0.2</v>
      </c>
      <c r="F549">
        <v>32</v>
      </c>
      <c r="G549" t="str">
        <f>VLOOKUP(VLOOKUP(order_details[[#This Row],[ProductID]], products[], 4, FALSE), categories[], 2, FALSE)</f>
        <v>Dairy Products</v>
      </c>
      <c r="H549">
        <f>VLOOKUP(order_details[[#This Row],[ProductID]], products[], 4, FALSE)</f>
        <v>4</v>
      </c>
      <c r="I549" t="str">
        <f>VLOOKUP(order_details[[#This Row],[OrderID]], orders[[OrderID]:[ShipCountry]], 14, FALSE)</f>
        <v>France</v>
      </c>
      <c r="J549" s="1">
        <f>_xlfn.XLOOKUP(order_details[[#This Row],[OrderID]], orders[OrderID], orders[Month])</f>
        <v>3</v>
      </c>
    </row>
    <row r="550" spans="1:10" x14ac:dyDescent="0.35">
      <c r="A550">
        <v>10454</v>
      </c>
      <c r="B550">
        <v>46</v>
      </c>
      <c r="C550">
        <v>9.6</v>
      </c>
      <c r="D550">
        <v>10</v>
      </c>
      <c r="E550">
        <v>0.2</v>
      </c>
      <c r="F550">
        <v>76.800000000000011</v>
      </c>
      <c r="G550" t="str">
        <f>VLOOKUP(VLOOKUP(order_details[[#This Row],[ProductID]], products[], 4, FALSE), categories[], 2, FALSE)</f>
        <v>Seafood</v>
      </c>
      <c r="H550">
        <f>VLOOKUP(order_details[[#This Row],[ProductID]], products[], 4, FALSE)</f>
        <v>8</v>
      </c>
      <c r="I550" t="str">
        <f>VLOOKUP(order_details[[#This Row],[OrderID]], orders[[OrderID]:[ShipCountry]], 14, FALSE)</f>
        <v>France</v>
      </c>
      <c r="J550" s="1">
        <f>_xlfn.XLOOKUP(order_details[[#This Row],[OrderID]], orders[OrderID], orders[Month])</f>
        <v>3</v>
      </c>
    </row>
    <row r="551" spans="1:10" x14ac:dyDescent="0.35">
      <c r="A551">
        <v>10455</v>
      </c>
      <c r="B551">
        <v>39</v>
      </c>
      <c r="C551">
        <v>14.4</v>
      </c>
      <c r="D551">
        <v>20</v>
      </c>
      <c r="E551">
        <v>0</v>
      </c>
      <c r="F551">
        <v>288</v>
      </c>
      <c r="G551" t="str">
        <f>VLOOKUP(VLOOKUP(order_details[[#This Row],[ProductID]], products[], 4, FALSE), categories[], 2, FALSE)</f>
        <v>Beverages</v>
      </c>
      <c r="H551">
        <f>VLOOKUP(order_details[[#This Row],[ProductID]], products[], 4, FALSE)</f>
        <v>1</v>
      </c>
      <c r="I551" t="str">
        <f>VLOOKUP(order_details[[#This Row],[OrderID]], orders[[OrderID]:[ShipCountry]], 14, FALSE)</f>
        <v>Finland</v>
      </c>
      <c r="J551" s="1">
        <f>_xlfn.XLOOKUP(order_details[[#This Row],[OrderID]], orders[OrderID], orders[Month])</f>
        <v>3</v>
      </c>
    </row>
    <row r="552" spans="1:10" x14ac:dyDescent="0.35">
      <c r="A552">
        <v>10455</v>
      </c>
      <c r="B552">
        <v>53</v>
      </c>
      <c r="C552">
        <v>26.2</v>
      </c>
      <c r="D552">
        <v>50</v>
      </c>
      <c r="E552">
        <v>0</v>
      </c>
      <c r="F552">
        <v>1310</v>
      </c>
      <c r="G552" t="str">
        <f>VLOOKUP(VLOOKUP(order_details[[#This Row],[ProductID]], products[], 4, FALSE), categories[], 2, FALSE)</f>
        <v>Meat/Poultry</v>
      </c>
      <c r="H552">
        <f>VLOOKUP(order_details[[#This Row],[ProductID]], products[], 4, FALSE)</f>
        <v>6</v>
      </c>
      <c r="I552" t="str">
        <f>VLOOKUP(order_details[[#This Row],[OrderID]], orders[[OrderID]:[ShipCountry]], 14, FALSE)</f>
        <v>Finland</v>
      </c>
      <c r="J552" s="1">
        <f>_xlfn.XLOOKUP(order_details[[#This Row],[OrderID]], orders[OrderID], orders[Month])</f>
        <v>3</v>
      </c>
    </row>
    <row r="553" spans="1:10" x14ac:dyDescent="0.35">
      <c r="A553">
        <v>10455</v>
      </c>
      <c r="B553">
        <v>61</v>
      </c>
      <c r="C553">
        <v>22.8</v>
      </c>
      <c r="D553">
        <v>25</v>
      </c>
      <c r="E553">
        <v>0</v>
      </c>
      <c r="F553">
        <v>570</v>
      </c>
      <c r="G553" t="str">
        <f>VLOOKUP(VLOOKUP(order_details[[#This Row],[ProductID]], products[], 4, FALSE), categories[], 2, FALSE)</f>
        <v>Condiments</v>
      </c>
      <c r="H553">
        <f>VLOOKUP(order_details[[#This Row],[ProductID]], products[], 4, FALSE)</f>
        <v>2</v>
      </c>
      <c r="I553" t="str">
        <f>VLOOKUP(order_details[[#This Row],[OrderID]], orders[[OrderID]:[ShipCountry]], 14, FALSE)</f>
        <v>Finland</v>
      </c>
      <c r="J553" s="1">
        <f>_xlfn.XLOOKUP(order_details[[#This Row],[OrderID]], orders[OrderID], orders[Month])</f>
        <v>3</v>
      </c>
    </row>
    <row r="554" spans="1:10" x14ac:dyDescent="0.35">
      <c r="A554">
        <v>10455</v>
      </c>
      <c r="B554">
        <v>71</v>
      </c>
      <c r="C554">
        <v>17.2</v>
      </c>
      <c r="D554">
        <v>30</v>
      </c>
      <c r="E554">
        <v>0</v>
      </c>
      <c r="F554">
        <v>516</v>
      </c>
      <c r="G554" t="str">
        <f>VLOOKUP(VLOOKUP(order_details[[#This Row],[ProductID]], products[], 4, FALSE), categories[], 2, FALSE)</f>
        <v>Dairy Products</v>
      </c>
      <c r="H554">
        <f>VLOOKUP(order_details[[#This Row],[ProductID]], products[], 4, FALSE)</f>
        <v>4</v>
      </c>
      <c r="I554" t="str">
        <f>VLOOKUP(order_details[[#This Row],[OrderID]], orders[[OrderID]:[ShipCountry]], 14, FALSE)</f>
        <v>Finland</v>
      </c>
      <c r="J554" s="1">
        <f>_xlfn.XLOOKUP(order_details[[#This Row],[OrderID]], orders[OrderID], orders[Month])</f>
        <v>3</v>
      </c>
    </row>
    <row r="555" spans="1:10" x14ac:dyDescent="0.35">
      <c r="A555">
        <v>10456</v>
      </c>
      <c r="B555">
        <v>21</v>
      </c>
      <c r="C555">
        <v>8</v>
      </c>
      <c r="D555">
        <v>40</v>
      </c>
      <c r="E555">
        <v>0.15</v>
      </c>
      <c r="F555">
        <v>272</v>
      </c>
      <c r="G555" t="str">
        <f>VLOOKUP(VLOOKUP(order_details[[#This Row],[ProductID]], products[], 4, FALSE), categories[], 2, FALSE)</f>
        <v>Confections</v>
      </c>
      <c r="H555">
        <f>VLOOKUP(order_details[[#This Row],[ProductID]], products[], 4, FALSE)</f>
        <v>3</v>
      </c>
      <c r="I555" t="str">
        <f>VLOOKUP(order_details[[#This Row],[OrderID]], orders[[OrderID]:[ShipCountry]], 14, FALSE)</f>
        <v>Germany</v>
      </c>
      <c r="J555" s="1">
        <f>_xlfn.XLOOKUP(order_details[[#This Row],[OrderID]], orders[OrderID], orders[Month])</f>
        <v>3</v>
      </c>
    </row>
    <row r="556" spans="1:10" x14ac:dyDescent="0.35">
      <c r="A556">
        <v>10456</v>
      </c>
      <c r="B556">
        <v>49</v>
      </c>
      <c r="C556">
        <v>16</v>
      </c>
      <c r="D556">
        <v>21</v>
      </c>
      <c r="E556">
        <v>0.15</v>
      </c>
      <c r="F556">
        <v>285.59999999999997</v>
      </c>
      <c r="G556" t="str">
        <f>VLOOKUP(VLOOKUP(order_details[[#This Row],[ProductID]], products[], 4, FALSE), categories[], 2, FALSE)</f>
        <v>Confections</v>
      </c>
      <c r="H556">
        <f>VLOOKUP(order_details[[#This Row],[ProductID]], products[], 4, FALSE)</f>
        <v>3</v>
      </c>
      <c r="I556" t="str">
        <f>VLOOKUP(order_details[[#This Row],[OrderID]], orders[[OrderID]:[ShipCountry]], 14, FALSE)</f>
        <v>Germany</v>
      </c>
      <c r="J556" s="1">
        <f>_xlfn.XLOOKUP(order_details[[#This Row],[OrderID]], orders[OrderID], orders[Month])</f>
        <v>3</v>
      </c>
    </row>
    <row r="557" spans="1:10" x14ac:dyDescent="0.35">
      <c r="A557">
        <v>10457</v>
      </c>
      <c r="B557">
        <v>59</v>
      </c>
      <c r="C557">
        <v>44</v>
      </c>
      <c r="D557">
        <v>36</v>
      </c>
      <c r="E557">
        <v>0</v>
      </c>
      <c r="F557">
        <v>1584</v>
      </c>
      <c r="G557" t="str">
        <f>VLOOKUP(VLOOKUP(order_details[[#This Row],[ProductID]], products[], 4, FALSE), categories[], 2, FALSE)</f>
        <v>Dairy Products</v>
      </c>
      <c r="H557">
        <f>VLOOKUP(order_details[[#This Row],[ProductID]], products[], 4, FALSE)</f>
        <v>4</v>
      </c>
      <c r="I557" t="str">
        <f>VLOOKUP(order_details[[#This Row],[OrderID]], orders[[OrderID]:[ShipCountry]], 14, FALSE)</f>
        <v>Germany</v>
      </c>
      <c r="J557" s="1">
        <f>_xlfn.XLOOKUP(order_details[[#This Row],[OrderID]], orders[OrderID], orders[Month])</f>
        <v>3</v>
      </c>
    </row>
    <row r="558" spans="1:10" x14ac:dyDescent="0.35">
      <c r="A558">
        <v>10458</v>
      </c>
      <c r="B558">
        <v>26</v>
      </c>
      <c r="C558">
        <v>24.9</v>
      </c>
      <c r="D558">
        <v>30</v>
      </c>
      <c r="E558">
        <v>0</v>
      </c>
      <c r="F558">
        <v>747</v>
      </c>
      <c r="G558" t="str">
        <f>VLOOKUP(VLOOKUP(order_details[[#This Row],[ProductID]], products[], 4, FALSE), categories[], 2, FALSE)</f>
        <v>Confections</v>
      </c>
      <c r="H558">
        <f>VLOOKUP(order_details[[#This Row],[ProductID]], products[], 4, FALSE)</f>
        <v>3</v>
      </c>
      <c r="I558" t="str">
        <f>VLOOKUP(order_details[[#This Row],[OrderID]], orders[[OrderID]:[ShipCountry]], 14, FALSE)</f>
        <v>Belgium</v>
      </c>
      <c r="J558" s="1">
        <f>_xlfn.XLOOKUP(order_details[[#This Row],[OrderID]], orders[OrderID], orders[Month])</f>
        <v>3</v>
      </c>
    </row>
    <row r="559" spans="1:10" x14ac:dyDescent="0.35">
      <c r="A559">
        <v>10458</v>
      </c>
      <c r="B559">
        <v>28</v>
      </c>
      <c r="C559">
        <v>36.4</v>
      </c>
      <c r="D559">
        <v>30</v>
      </c>
      <c r="E559">
        <v>0</v>
      </c>
      <c r="F559">
        <v>1092</v>
      </c>
      <c r="G559" t="str">
        <f>VLOOKUP(VLOOKUP(order_details[[#This Row],[ProductID]], products[], 4, FALSE), categories[], 2, FALSE)</f>
        <v>Produce</v>
      </c>
      <c r="H559">
        <f>VLOOKUP(order_details[[#This Row],[ProductID]], products[], 4, FALSE)</f>
        <v>7</v>
      </c>
      <c r="I559" t="str">
        <f>VLOOKUP(order_details[[#This Row],[OrderID]], orders[[OrderID]:[ShipCountry]], 14, FALSE)</f>
        <v>Belgium</v>
      </c>
      <c r="J559" s="1">
        <f>_xlfn.XLOOKUP(order_details[[#This Row],[OrderID]], orders[OrderID], orders[Month])</f>
        <v>3</v>
      </c>
    </row>
    <row r="560" spans="1:10" x14ac:dyDescent="0.35">
      <c r="A560">
        <v>10458</v>
      </c>
      <c r="B560">
        <v>43</v>
      </c>
      <c r="C560">
        <v>36.799999999999997</v>
      </c>
      <c r="D560">
        <v>20</v>
      </c>
      <c r="E560">
        <v>0</v>
      </c>
      <c r="F560">
        <v>736</v>
      </c>
      <c r="G560" t="str">
        <f>VLOOKUP(VLOOKUP(order_details[[#This Row],[ProductID]], products[], 4, FALSE), categories[], 2, FALSE)</f>
        <v>Beverages</v>
      </c>
      <c r="H560">
        <f>VLOOKUP(order_details[[#This Row],[ProductID]], products[], 4, FALSE)</f>
        <v>1</v>
      </c>
      <c r="I560" t="str">
        <f>VLOOKUP(order_details[[#This Row],[OrderID]], orders[[OrderID]:[ShipCountry]], 14, FALSE)</f>
        <v>Belgium</v>
      </c>
      <c r="J560" s="1">
        <f>_xlfn.XLOOKUP(order_details[[#This Row],[OrderID]], orders[OrderID], orders[Month])</f>
        <v>3</v>
      </c>
    </row>
    <row r="561" spans="1:10" x14ac:dyDescent="0.35">
      <c r="A561">
        <v>10458</v>
      </c>
      <c r="B561">
        <v>56</v>
      </c>
      <c r="C561">
        <v>30.4</v>
      </c>
      <c r="D561">
        <v>15</v>
      </c>
      <c r="E561">
        <v>0</v>
      </c>
      <c r="F561">
        <v>456</v>
      </c>
      <c r="G561" t="str">
        <f>VLOOKUP(VLOOKUP(order_details[[#This Row],[ProductID]], products[], 4, FALSE), categories[], 2, FALSE)</f>
        <v>Grains/Cereals</v>
      </c>
      <c r="H561">
        <f>VLOOKUP(order_details[[#This Row],[ProductID]], products[], 4, FALSE)</f>
        <v>5</v>
      </c>
      <c r="I561" t="str">
        <f>VLOOKUP(order_details[[#This Row],[OrderID]], orders[[OrderID]:[ShipCountry]], 14, FALSE)</f>
        <v>Belgium</v>
      </c>
      <c r="J561" s="1">
        <f>_xlfn.XLOOKUP(order_details[[#This Row],[OrderID]], orders[OrderID], orders[Month])</f>
        <v>3</v>
      </c>
    </row>
    <row r="562" spans="1:10" x14ac:dyDescent="0.35">
      <c r="A562">
        <v>10458</v>
      </c>
      <c r="B562">
        <v>71</v>
      </c>
      <c r="C562">
        <v>17.2</v>
      </c>
      <c r="D562">
        <v>50</v>
      </c>
      <c r="E562">
        <v>0</v>
      </c>
      <c r="F562">
        <v>860</v>
      </c>
      <c r="G562" t="str">
        <f>VLOOKUP(VLOOKUP(order_details[[#This Row],[ProductID]], products[], 4, FALSE), categories[], 2, FALSE)</f>
        <v>Dairy Products</v>
      </c>
      <c r="H562">
        <f>VLOOKUP(order_details[[#This Row],[ProductID]], products[], 4, FALSE)</f>
        <v>4</v>
      </c>
      <c r="I562" t="str">
        <f>VLOOKUP(order_details[[#This Row],[OrderID]], orders[[OrderID]:[ShipCountry]], 14, FALSE)</f>
        <v>Belgium</v>
      </c>
      <c r="J562" s="1">
        <f>_xlfn.XLOOKUP(order_details[[#This Row],[OrderID]], orders[OrderID], orders[Month])</f>
        <v>3</v>
      </c>
    </row>
    <row r="563" spans="1:10" x14ac:dyDescent="0.35">
      <c r="A563">
        <v>10459</v>
      </c>
      <c r="B563">
        <v>7</v>
      </c>
      <c r="C563">
        <v>24</v>
      </c>
      <c r="D563">
        <v>16</v>
      </c>
      <c r="E563">
        <v>0.05</v>
      </c>
      <c r="F563">
        <v>364.79999999999995</v>
      </c>
      <c r="G563" t="str">
        <f>VLOOKUP(VLOOKUP(order_details[[#This Row],[ProductID]], products[], 4, FALSE), categories[], 2, FALSE)</f>
        <v>Produce</v>
      </c>
      <c r="H563">
        <f>VLOOKUP(order_details[[#This Row],[ProductID]], products[], 4, FALSE)</f>
        <v>7</v>
      </c>
      <c r="I563" t="str">
        <f>VLOOKUP(order_details[[#This Row],[OrderID]], orders[[OrderID]:[ShipCountry]], 14, FALSE)</f>
        <v>France</v>
      </c>
      <c r="J563" s="1">
        <f>_xlfn.XLOOKUP(order_details[[#This Row],[OrderID]], orders[OrderID], orders[Month])</f>
        <v>3</v>
      </c>
    </row>
    <row r="564" spans="1:10" x14ac:dyDescent="0.35">
      <c r="A564">
        <v>10459</v>
      </c>
      <c r="B564">
        <v>46</v>
      </c>
      <c r="C564">
        <v>9.6</v>
      </c>
      <c r="D564">
        <v>20</v>
      </c>
      <c r="E564">
        <v>0.05</v>
      </c>
      <c r="F564">
        <v>182.39999999999998</v>
      </c>
      <c r="G564" t="str">
        <f>VLOOKUP(VLOOKUP(order_details[[#This Row],[ProductID]], products[], 4, FALSE), categories[], 2, FALSE)</f>
        <v>Seafood</v>
      </c>
      <c r="H564">
        <f>VLOOKUP(order_details[[#This Row],[ProductID]], products[], 4, FALSE)</f>
        <v>8</v>
      </c>
      <c r="I564" t="str">
        <f>VLOOKUP(order_details[[#This Row],[OrderID]], orders[[OrderID]:[ShipCountry]], 14, FALSE)</f>
        <v>France</v>
      </c>
      <c r="J564" s="1">
        <f>_xlfn.XLOOKUP(order_details[[#This Row],[OrderID]], orders[OrderID], orders[Month])</f>
        <v>3</v>
      </c>
    </row>
    <row r="565" spans="1:10" x14ac:dyDescent="0.35">
      <c r="A565">
        <v>10459</v>
      </c>
      <c r="B565">
        <v>72</v>
      </c>
      <c r="C565">
        <v>27.8</v>
      </c>
      <c r="D565">
        <v>40</v>
      </c>
      <c r="E565">
        <v>0</v>
      </c>
      <c r="F565">
        <v>1112</v>
      </c>
      <c r="G565" t="str">
        <f>VLOOKUP(VLOOKUP(order_details[[#This Row],[ProductID]], products[], 4, FALSE), categories[], 2, FALSE)</f>
        <v>Dairy Products</v>
      </c>
      <c r="H565">
        <f>VLOOKUP(order_details[[#This Row],[ProductID]], products[], 4, FALSE)</f>
        <v>4</v>
      </c>
      <c r="I565" t="str">
        <f>VLOOKUP(order_details[[#This Row],[OrderID]], orders[[OrderID]:[ShipCountry]], 14, FALSE)</f>
        <v>France</v>
      </c>
      <c r="J565" s="1">
        <f>_xlfn.XLOOKUP(order_details[[#This Row],[OrderID]], orders[OrderID], orders[Month])</f>
        <v>3</v>
      </c>
    </row>
    <row r="566" spans="1:10" x14ac:dyDescent="0.35">
      <c r="A566">
        <v>10460</v>
      </c>
      <c r="B566">
        <v>68</v>
      </c>
      <c r="C566">
        <v>10</v>
      </c>
      <c r="D566">
        <v>21</v>
      </c>
      <c r="E566">
        <v>0.25</v>
      </c>
      <c r="F566">
        <v>157.5</v>
      </c>
      <c r="G566" t="str">
        <f>VLOOKUP(VLOOKUP(order_details[[#This Row],[ProductID]], products[], 4, FALSE), categories[], 2, FALSE)</f>
        <v>Confections</v>
      </c>
      <c r="H566">
        <f>VLOOKUP(order_details[[#This Row],[ProductID]], products[], 4, FALSE)</f>
        <v>3</v>
      </c>
      <c r="I566" t="str">
        <f>VLOOKUP(order_details[[#This Row],[OrderID]], orders[[OrderID]:[ShipCountry]], 14, FALSE)</f>
        <v>Sweden</v>
      </c>
      <c r="J566" s="1">
        <f>_xlfn.XLOOKUP(order_details[[#This Row],[OrderID]], orders[OrderID], orders[Month])</f>
        <v>3</v>
      </c>
    </row>
    <row r="567" spans="1:10" x14ac:dyDescent="0.35">
      <c r="A567">
        <v>10460</v>
      </c>
      <c r="B567">
        <v>75</v>
      </c>
      <c r="C567">
        <v>6.2</v>
      </c>
      <c r="D567">
        <v>4</v>
      </c>
      <c r="E567">
        <v>0.25</v>
      </c>
      <c r="F567">
        <v>18.600000000000001</v>
      </c>
      <c r="G567" t="str">
        <f>VLOOKUP(VLOOKUP(order_details[[#This Row],[ProductID]], products[], 4, FALSE), categories[], 2, FALSE)</f>
        <v>Beverages</v>
      </c>
      <c r="H567">
        <f>VLOOKUP(order_details[[#This Row],[ProductID]], products[], 4, FALSE)</f>
        <v>1</v>
      </c>
      <c r="I567" t="str">
        <f>VLOOKUP(order_details[[#This Row],[OrderID]], orders[[OrderID]:[ShipCountry]], 14, FALSE)</f>
        <v>Sweden</v>
      </c>
      <c r="J567" s="1">
        <f>_xlfn.XLOOKUP(order_details[[#This Row],[OrderID]], orders[OrderID], orders[Month])</f>
        <v>3</v>
      </c>
    </row>
    <row r="568" spans="1:10" x14ac:dyDescent="0.35">
      <c r="A568">
        <v>10461</v>
      </c>
      <c r="B568">
        <v>21</v>
      </c>
      <c r="C568">
        <v>8</v>
      </c>
      <c r="D568">
        <v>40</v>
      </c>
      <c r="E568">
        <v>0.25</v>
      </c>
      <c r="F568">
        <v>240</v>
      </c>
      <c r="G568" t="str">
        <f>VLOOKUP(VLOOKUP(order_details[[#This Row],[ProductID]], products[], 4, FALSE), categories[], 2, FALSE)</f>
        <v>Confections</v>
      </c>
      <c r="H568">
        <f>VLOOKUP(order_details[[#This Row],[ProductID]], products[], 4, FALSE)</f>
        <v>3</v>
      </c>
      <c r="I568" t="str">
        <f>VLOOKUP(order_details[[#This Row],[OrderID]], orders[[OrderID]:[ShipCountry]], 14, FALSE)</f>
        <v>Venezuela</v>
      </c>
      <c r="J568" s="1">
        <f>_xlfn.XLOOKUP(order_details[[#This Row],[OrderID]], orders[OrderID], orders[Month])</f>
        <v>3</v>
      </c>
    </row>
    <row r="569" spans="1:10" x14ac:dyDescent="0.35">
      <c r="A569">
        <v>10461</v>
      </c>
      <c r="B569">
        <v>30</v>
      </c>
      <c r="C569">
        <v>20.7</v>
      </c>
      <c r="D569">
        <v>28</v>
      </c>
      <c r="E569">
        <v>0.25</v>
      </c>
      <c r="F569">
        <v>434.70000000000005</v>
      </c>
      <c r="G569" t="str">
        <f>VLOOKUP(VLOOKUP(order_details[[#This Row],[ProductID]], products[], 4, FALSE), categories[], 2, FALSE)</f>
        <v>Seafood</v>
      </c>
      <c r="H569">
        <f>VLOOKUP(order_details[[#This Row],[ProductID]], products[], 4, FALSE)</f>
        <v>8</v>
      </c>
      <c r="I569" t="str">
        <f>VLOOKUP(order_details[[#This Row],[OrderID]], orders[[OrderID]:[ShipCountry]], 14, FALSE)</f>
        <v>Venezuela</v>
      </c>
      <c r="J569" s="1">
        <f>_xlfn.XLOOKUP(order_details[[#This Row],[OrderID]], orders[OrderID], orders[Month])</f>
        <v>3</v>
      </c>
    </row>
    <row r="570" spans="1:10" x14ac:dyDescent="0.35">
      <c r="A570">
        <v>10461</v>
      </c>
      <c r="B570">
        <v>55</v>
      </c>
      <c r="C570">
        <v>19.2</v>
      </c>
      <c r="D570">
        <v>60</v>
      </c>
      <c r="E570">
        <v>0.25</v>
      </c>
      <c r="F570">
        <v>864</v>
      </c>
      <c r="G570" t="str">
        <f>VLOOKUP(VLOOKUP(order_details[[#This Row],[ProductID]], products[], 4, FALSE), categories[], 2, FALSE)</f>
        <v>Meat/Poultry</v>
      </c>
      <c r="H570">
        <f>VLOOKUP(order_details[[#This Row],[ProductID]], products[], 4, FALSE)</f>
        <v>6</v>
      </c>
      <c r="I570" t="str">
        <f>VLOOKUP(order_details[[#This Row],[OrderID]], orders[[OrderID]:[ShipCountry]], 14, FALSE)</f>
        <v>Venezuela</v>
      </c>
      <c r="J570" s="1">
        <f>_xlfn.XLOOKUP(order_details[[#This Row],[OrderID]], orders[OrderID], orders[Month])</f>
        <v>3</v>
      </c>
    </row>
    <row r="571" spans="1:10" x14ac:dyDescent="0.35">
      <c r="A571">
        <v>10462</v>
      </c>
      <c r="B571">
        <v>13</v>
      </c>
      <c r="C571">
        <v>4.8</v>
      </c>
      <c r="D571">
        <v>1</v>
      </c>
      <c r="E571">
        <v>0</v>
      </c>
      <c r="F571">
        <v>4.8</v>
      </c>
      <c r="G571" t="str">
        <f>VLOOKUP(VLOOKUP(order_details[[#This Row],[ProductID]], products[], 4, FALSE), categories[], 2, FALSE)</f>
        <v>Seafood</v>
      </c>
      <c r="H571">
        <f>VLOOKUP(order_details[[#This Row],[ProductID]], products[], 4, FALSE)</f>
        <v>8</v>
      </c>
      <c r="I571" t="str">
        <f>VLOOKUP(order_details[[#This Row],[OrderID]], orders[[OrderID]:[ShipCountry]], 14, FALSE)</f>
        <v>UK</v>
      </c>
      <c r="J571" s="1">
        <f>_xlfn.XLOOKUP(order_details[[#This Row],[OrderID]], orders[OrderID], orders[Month])</f>
        <v>4</v>
      </c>
    </row>
    <row r="572" spans="1:10" x14ac:dyDescent="0.35">
      <c r="A572">
        <v>10462</v>
      </c>
      <c r="B572">
        <v>23</v>
      </c>
      <c r="C572">
        <v>7.2</v>
      </c>
      <c r="D572">
        <v>21</v>
      </c>
      <c r="E572">
        <v>0</v>
      </c>
      <c r="F572">
        <v>151.20000000000002</v>
      </c>
      <c r="G572" t="str">
        <f>VLOOKUP(VLOOKUP(order_details[[#This Row],[ProductID]], products[], 4, FALSE), categories[], 2, FALSE)</f>
        <v>Grains/Cereals</v>
      </c>
      <c r="H572">
        <f>VLOOKUP(order_details[[#This Row],[ProductID]], products[], 4, FALSE)</f>
        <v>5</v>
      </c>
      <c r="I572" t="str">
        <f>VLOOKUP(order_details[[#This Row],[OrderID]], orders[[OrderID]:[ShipCountry]], 14, FALSE)</f>
        <v>UK</v>
      </c>
      <c r="J572" s="1">
        <f>_xlfn.XLOOKUP(order_details[[#This Row],[OrderID]], orders[OrderID], orders[Month])</f>
        <v>4</v>
      </c>
    </row>
    <row r="573" spans="1:10" x14ac:dyDescent="0.35">
      <c r="A573">
        <v>10463</v>
      </c>
      <c r="B573">
        <v>19</v>
      </c>
      <c r="C573">
        <v>7.3</v>
      </c>
      <c r="D573">
        <v>21</v>
      </c>
      <c r="E573">
        <v>0</v>
      </c>
      <c r="F573">
        <v>153.29999999999998</v>
      </c>
      <c r="G573" t="str">
        <f>VLOOKUP(VLOOKUP(order_details[[#This Row],[ProductID]], products[], 4, FALSE), categories[], 2, FALSE)</f>
        <v>Confections</v>
      </c>
      <c r="H573">
        <f>VLOOKUP(order_details[[#This Row],[ProductID]], products[], 4, FALSE)</f>
        <v>3</v>
      </c>
      <c r="I573" t="str">
        <f>VLOOKUP(order_details[[#This Row],[OrderID]], orders[[OrderID]:[ShipCountry]], 14, FALSE)</f>
        <v>Belgium</v>
      </c>
      <c r="J573" s="1">
        <f>_xlfn.XLOOKUP(order_details[[#This Row],[OrderID]], orders[OrderID], orders[Month])</f>
        <v>4</v>
      </c>
    </row>
    <row r="574" spans="1:10" x14ac:dyDescent="0.35">
      <c r="A574">
        <v>10463</v>
      </c>
      <c r="B574">
        <v>42</v>
      </c>
      <c r="C574">
        <v>11.2</v>
      </c>
      <c r="D574">
        <v>50</v>
      </c>
      <c r="E574">
        <v>0</v>
      </c>
      <c r="F574">
        <v>560</v>
      </c>
      <c r="G574" t="str">
        <f>VLOOKUP(VLOOKUP(order_details[[#This Row],[ProductID]], products[], 4, FALSE), categories[], 2, FALSE)</f>
        <v>Grains/Cereals</v>
      </c>
      <c r="H574">
        <f>VLOOKUP(order_details[[#This Row],[ProductID]], products[], 4, FALSE)</f>
        <v>5</v>
      </c>
      <c r="I574" t="str">
        <f>VLOOKUP(order_details[[#This Row],[OrderID]], orders[[OrderID]:[ShipCountry]], 14, FALSE)</f>
        <v>Belgium</v>
      </c>
      <c r="J574" s="1">
        <f>_xlfn.XLOOKUP(order_details[[#This Row],[OrderID]], orders[OrderID], orders[Month])</f>
        <v>4</v>
      </c>
    </row>
    <row r="575" spans="1:10" x14ac:dyDescent="0.35">
      <c r="A575">
        <v>10464</v>
      </c>
      <c r="B575">
        <v>4</v>
      </c>
      <c r="C575">
        <v>17.600000000000001</v>
      </c>
      <c r="D575">
        <v>16</v>
      </c>
      <c r="E575">
        <v>0.2</v>
      </c>
      <c r="F575">
        <v>225.28000000000003</v>
      </c>
      <c r="G575" t="str">
        <f>VLOOKUP(VLOOKUP(order_details[[#This Row],[ProductID]], products[], 4, FALSE), categories[], 2, FALSE)</f>
        <v>Condiments</v>
      </c>
      <c r="H575">
        <f>VLOOKUP(order_details[[#This Row],[ProductID]], products[], 4, FALSE)</f>
        <v>2</v>
      </c>
      <c r="I575" t="str">
        <f>VLOOKUP(order_details[[#This Row],[OrderID]], orders[[OrderID]:[ShipCountry]], 14, FALSE)</f>
        <v>Portugal</v>
      </c>
      <c r="J575" s="1">
        <f>_xlfn.XLOOKUP(order_details[[#This Row],[OrderID]], orders[OrderID], orders[Month])</f>
        <v>4</v>
      </c>
    </row>
    <row r="576" spans="1:10" x14ac:dyDescent="0.35">
      <c r="A576">
        <v>10464</v>
      </c>
      <c r="B576">
        <v>43</v>
      </c>
      <c r="C576">
        <v>36.799999999999997</v>
      </c>
      <c r="D576">
        <v>3</v>
      </c>
      <c r="E576">
        <v>0</v>
      </c>
      <c r="F576">
        <v>110.39999999999999</v>
      </c>
      <c r="G576" t="str">
        <f>VLOOKUP(VLOOKUP(order_details[[#This Row],[ProductID]], products[], 4, FALSE), categories[], 2, FALSE)</f>
        <v>Beverages</v>
      </c>
      <c r="H576">
        <f>VLOOKUP(order_details[[#This Row],[ProductID]], products[], 4, FALSE)</f>
        <v>1</v>
      </c>
      <c r="I576" t="str">
        <f>VLOOKUP(order_details[[#This Row],[OrderID]], orders[[OrderID]:[ShipCountry]], 14, FALSE)</f>
        <v>Portugal</v>
      </c>
      <c r="J576" s="1">
        <f>_xlfn.XLOOKUP(order_details[[#This Row],[OrderID]], orders[OrderID], orders[Month])</f>
        <v>4</v>
      </c>
    </row>
    <row r="577" spans="1:10" x14ac:dyDescent="0.35">
      <c r="A577">
        <v>10464</v>
      </c>
      <c r="B577">
        <v>56</v>
      </c>
      <c r="C577">
        <v>30.4</v>
      </c>
      <c r="D577">
        <v>30</v>
      </c>
      <c r="E577">
        <v>0.2</v>
      </c>
      <c r="F577">
        <v>729.6</v>
      </c>
      <c r="G577" t="str">
        <f>VLOOKUP(VLOOKUP(order_details[[#This Row],[ProductID]], products[], 4, FALSE), categories[], 2, FALSE)</f>
        <v>Grains/Cereals</v>
      </c>
      <c r="H577">
        <f>VLOOKUP(order_details[[#This Row],[ProductID]], products[], 4, FALSE)</f>
        <v>5</v>
      </c>
      <c r="I577" t="str">
        <f>VLOOKUP(order_details[[#This Row],[OrderID]], orders[[OrderID]:[ShipCountry]], 14, FALSE)</f>
        <v>Portugal</v>
      </c>
      <c r="J577" s="1">
        <f>_xlfn.XLOOKUP(order_details[[#This Row],[OrderID]], orders[OrderID], orders[Month])</f>
        <v>4</v>
      </c>
    </row>
    <row r="578" spans="1:10" x14ac:dyDescent="0.35">
      <c r="A578">
        <v>10464</v>
      </c>
      <c r="B578">
        <v>60</v>
      </c>
      <c r="C578">
        <v>27.2</v>
      </c>
      <c r="D578">
        <v>20</v>
      </c>
      <c r="E578">
        <v>0</v>
      </c>
      <c r="F578">
        <v>544</v>
      </c>
      <c r="G578" t="str">
        <f>VLOOKUP(VLOOKUP(order_details[[#This Row],[ProductID]], products[], 4, FALSE), categories[], 2, FALSE)</f>
        <v>Dairy Products</v>
      </c>
      <c r="H578">
        <f>VLOOKUP(order_details[[#This Row],[ProductID]], products[], 4, FALSE)</f>
        <v>4</v>
      </c>
      <c r="I578" t="str">
        <f>VLOOKUP(order_details[[#This Row],[OrderID]], orders[[OrderID]:[ShipCountry]], 14, FALSE)</f>
        <v>Portugal</v>
      </c>
      <c r="J578" s="1">
        <f>_xlfn.XLOOKUP(order_details[[#This Row],[OrderID]], orders[OrderID], orders[Month])</f>
        <v>4</v>
      </c>
    </row>
    <row r="579" spans="1:10" x14ac:dyDescent="0.35">
      <c r="A579">
        <v>10465</v>
      </c>
      <c r="B579">
        <v>24</v>
      </c>
      <c r="C579">
        <v>3.6</v>
      </c>
      <c r="D579">
        <v>25</v>
      </c>
      <c r="E579">
        <v>0</v>
      </c>
      <c r="F579">
        <v>90</v>
      </c>
      <c r="G579" t="str">
        <f>VLOOKUP(VLOOKUP(order_details[[#This Row],[ProductID]], products[], 4, FALSE), categories[], 2, FALSE)</f>
        <v>Beverages</v>
      </c>
      <c r="H579">
        <f>VLOOKUP(order_details[[#This Row],[ProductID]], products[], 4, FALSE)</f>
        <v>1</v>
      </c>
      <c r="I579" t="str">
        <f>VLOOKUP(order_details[[#This Row],[OrderID]], orders[[OrderID]:[ShipCountry]], 14, FALSE)</f>
        <v>Denmark</v>
      </c>
      <c r="J579" s="1">
        <f>_xlfn.XLOOKUP(order_details[[#This Row],[OrderID]], orders[OrderID], orders[Month])</f>
        <v>4</v>
      </c>
    </row>
    <row r="580" spans="1:10" x14ac:dyDescent="0.35">
      <c r="A580">
        <v>10465</v>
      </c>
      <c r="B580">
        <v>29</v>
      </c>
      <c r="C580">
        <v>99</v>
      </c>
      <c r="D580">
        <v>18</v>
      </c>
      <c r="E580">
        <v>0.1</v>
      </c>
      <c r="F580">
        <v>1603.8</v>
      </c>
      <c r="G580" t="str">
        <f>VLOOKUP(VLOOKUP(order_details[[#This Row],[ProductID]], products[], 4, FALSE), categories[], 2, FALSE)</f>
        <v>Meat/Poultry</v>
      </c>
      <c r="H580">
        <f>VLOOKUP(order_details[[#This Row],[ProductID]], products[], 4, FALSE)</f>
        <v>6</v>
      </c>
      <c r="I580" t="str">
        <f>VLOOKUP(order_details[[#This Row],[OrderID]], orders[[OrderID]:[ShipCountry]], 14, FALSE)</f>
        <v>Denmark</v>
      </c>
      <c r="J580" s="1">
        <f>_xlfn.XLOOKUP(order_details[[#This Row],[OrderID]], orders[OrderID], orders[Month])</f>
        <v>4</v>
      </c>
    </row>
    <row r="581" spans="1:10" x14ac:dyDescent="0.35">
      <c r="A581">
        <v>10465</v>
      </c>
      <c r="B581">
        <v>40</v>
      </c>
      <c r="C581">
        <v>14.7</v>
      </c>
      <c r="D581">
        <v>20</v>
      </c>
      <c r="E581">
        <v>0</v>
      </c>
      <c r="F581">
        <v>294</v>
      </c>
      <c r="G581" t="str">
        <f>VLOOKUP(VLOOKUP(order_details[[#This Row],[ProductID]], products[], 4, FALSE), categories[], 2, FALSE)</f>
        <v>Seafood</v>
      </c>
      <c r="H581">
        <f>VLOOKUP(order_details[[#This Row],[ProductID]], products[], 4, FALSE)</f>
        <v>8</v>
      </c>
      <c r="I581" t="str">
        <f>VLOOKUP(order_details[[#This Row],[OrderID]], orders[[OrderID]:[ShipCountry]], 14, FALSE)</f>
        <v>Denmark</v>
      </c>
      <c r="J581" s="1">
        <f>_xlfn.XLOOKUP(order_details[[#This Row],[OrderID]], orders[OrderID], orders[Month])</f>
        <v>4</v>
      </c>
    </row>
    <row r="582" spans="1:10" x14ac:dyDescent="0.35">
      <c r="A582">
        <v>10465</v>
      </c>
      <c r="B582">
        <v>45</v>
      </c>
      <c r="C582">
        <v>7.6</v>
      </c>
      <c r="D582">
        <v>30</v>
      </c>
      <c r="E582">
        <v>0.1</v>
      </c>
      <c r="F582">
        <v>205.20000000000002</v>
      </c>
      <c r="G582" t="str">
        <f>VLOOKUP(VLOOKUP(order_details[[#This Row],[ProductID]], products[], 4, FALSE), categories[], 2, FALSE)</f>
        <v>Seafood</v>
      </c>
      <c r="H582">
        <f>VLOOKUP(order_details[[#This Row],[ProductID]], products[], 4, FALSE)</f>
        <v>8</v>
      </c>
      <c r="I582" t="str">
        <f>VLOOKUP(order_details[[#This Row],[OrderID]], orders[[OrderID]:[ShipCountry]], 14, FALSE)</f>
        <v>Denmark</v>
      </c>
      <c r="J582" s="1">
        <f>_xlfn.XLOOKUP(order_details[[#This Row],[OrderID]], orders[OrderID], orders[Month])</f>
        <v>4</v>
      </c>
    </row>
    <row r="583" spans="1:10" x14ac:dyDescent="0.35">
      <c r="A583">
        <v>10465</v>
      </c>
      <c r="B583">
        <v>50</v>
      </c>
      <c r="C583">
        <v>13</v>
      </c>
      <c r="D583">
        <v>25</v>
      </c>
      <c r="E583">
        <v>0</v>
      </c>
      <c r="F583">
        <v>325</v>
      </c>
      <c r="G583" t="str">
        <f>VLOOKUP(VLOOKUP(order_details[[#This Row],[ProductID]], products[], 4, FALSE), categories[], 2, FALSE)</f>
        <v>Confections</v>
      </c>
      <c r="H583">
        <f>VLOOKUP(order_details[[#This Row],[ProductID]], products[], 4, FALSE)</f>
        <v>3</v>
      </c>
      <c r="I583" t="str">
        <f>VLOOKUP(order_details[[#This Row],[OrderID]], orders[[OrderID]:[ShipCountry]], 14, FALSE)</f>
        <v>Denmark</v>
      </c>
      <c r="J583" s="1">
        <f>_xlfn.XLOOKUP(order_details[[#This Row],[OrderID]], orders[OrderID], orders[Month])</f>
        <v>4</v>
      </c>
    </row>
    <row r="584" spans="1:10" x14ac:dyDescent="0.35">
      <c r="A584">
        <v>10466</v>
      </c>
      <c r="B584">
        <v>11</v>
      </c>
      <c r="C584">
        <v>16.8</v>
      </c>
      <c r="D584">
        <v>10</v>
      </c>
      <c r="E584">
        <v>0</v>
      </c>
      <c r="F584">
        <v>168</v>
      </c>
      <c r="G584" t="str">
        <f>VLOOKUP(VLOOKUP(order_details[[#This Row],[ProductID]], products[], 4, FALSE), categories[], 2, FALSE)</f>
        <v>Dairy Products</v>
      </c>
      <c r="H584">
        <f>VLOOKUP(order_details[[#This Row],[ProductID]], products[], 4, FALSE)</f>
        <v>4</v>
      </c>
      <c r="I584" t="str">
        <f>VLOOKUP(order_details[[#This Row],[OrderID]], orders[[OrderID]:[ShipCountry]], 14, FALSE)</f>
        <v>Brazil</v>
      </c>
      <c r="J584" s="1">
        <f>_xlfn.XLOOKUP(order_details[[#This Row],[OrderID]], orders[OrderID], orders[Month])</f>
        <v>4</v>
      </c>
    </row>
    <row r="585" spans="1:10" x14ac:dyDescent="0.35">
      <c r="A585">
        <v>10466</v>
      </c>
      <c r="B585">
        <v>46</v>
      </c>
      <c r="C585">
        <v>9.6</v>
      </c>
      <c r="D585">
        <v>5</v>
      </c>
      <c r="E585">
        <v>0</v>
      </c>
      <c r="F585">
        <v>48</v>
      </c>
      <c r="G585" t="str">
        <f>VLOOKUP(VLOOKUP(order_details[[#This Row],[ProductID]], products[], 4, FALSE), categories[], 2, FALSE)</f>
        <v>Seafood</v>
      </c>
      <c r="H585">
        <f>VLOOKUP(order_details[[#This Row],[ProductID]], products[], 4, FALSE)</f>
        <v>8</v>
      </c>
      <c r="I585" t="str">
        <f>VLOOKUP(order_details[[#This Row],[OrderID]], orders[[OrderID]:[ShipCountry]], 14, FALSE)</f>
        <v>Brazil</v>
      </c>
      <c r="J585" s="1">
        <f>_xlfn.XLOOKUP(order_details[[#This Row],[OrderID]], orders[OrderID], orders[Month])</f>
        <v>4</v>
      </c>
    </row>
    <row r="586" spans="1:10" x14ac:dyDescent="0.35">
      <c r="A586">
        <v>10467</v>
      </c>
      <c r="B586">
        <v>24</v>
      </c>
      <c r="C586">
        <v>3.6</v>
      </c>
      <c r="D586">
        <v>28</v>
      </c>
      <c r="E586">
        <v>0</v>
      </c>
      <c r="F586">
        <v>100.8</v>
      </c>
      <c r="G586" t="str">
        <f>VLOOKUP(VLOOKUP(order_details[[#This Row],[ProductID]], products[], 4, FALSE), categories[], 2, FALSE)</f>
        <v>Beverages</v>
      </c>
      <c r="H586">
        <f>VLOOKUP(order_details[[#This Row],[ProductID]], products[], 4, FALSE)</f>
        <v>1</v>
      </c>
      <c r="I586" t="str">
        <f>VLOOKUP(order_details[[#This Row],[OrderID]], orders[[OrderID]:[ShipCountry]], 14, FALSE)</f>
        <v>Italy</v>
      </c>
      <c r="J586" s="1">
        <f>_xlfn.XLOOKUP(order_details[[#This Row],[OrderID]], orders[OrderID], orders[Month])</f>
        <v>4</v>
      </c>
    </row>
    <row r="587" spans="1:10" x14ac:dyDescent="0.35">
      <c r="A587">
        <v>10467</v>
      </c>
      <c r="B587">
        <v>25</v>
      </c>
      <c r="C587">
        <v>11.2</v>
      </c>
      <c r="D587">
        <v>12</v>
      </c>
      <c r="E587">
        <v>0</v>
      </c>
      <c r="F587">
        <v>134.39999999999998</v>
      </c>
      <c r="G587" t="str">
        <f>VLOOKUP(VLOOKUP(order_details[[#This Row],[ProductID]], products[], 4, FALSE), categories[], 2, FALSE)</f>
        <v>Confections</v>
      </c>
      <c r="H587">
        <f>VLOOKUP(order_details[[#This Row],[ProductID]], products[], 4, FALSE)</f>
        <v>3</v>
      </c>
      <c r="I587" t="str">
        <f>VLOOKUP(order_details[[#This Row],[OrderID]], orders[[OrderID]:[ShipCountry]], 14, FALSE)</f>
        <v>Italy</v>
      </c>
      <c r="J587" s="1">
        <f>_xlfn.XLOOKUP(order_details[[#This Row],[OrderID]], orders[OrderID], orders[Month])</f>
        <v>4</v>
      </c>
    </row>
    <row r="588" spans="1:10" x14ac:dyDescent="0.35">
      <c r="A588">
        <v>10468</v>
      </c>
      <c r="B588">
        <v>30</v>
      </c>
      <c r="C588">
        <v>20.7</v>
      </c>
      <c r="D588">
        <v>8</v>
      </c>
      <c r="E588">
        <v>0</v>
      </c>
      <c r="F588">
        <v>165.6</v>
      </c>
      <c r="G588" t="str">
        <f>VLOOKUP(VLOOKUP(order_details[[#This Row],[ProductID]], products[], 4, FALSE), categories[], 2, FALSE)</f>
        <v>Seafood</v>
      </c>
      <c r="H588">
        <f>VLOOKUP(order_details[[#This Row],[ProductID]], products[], 4, FALSE)</f>
        <v>8</v>
      </c>
      <c r="I588" t="str">
        <f>VLOOKUP(order_details[[#This Row],[OrderID]], orders[[OrderID]:[ShipCountry]], 14, FALSE)</f>
        <v>Germany</v>
      </c>
      <c r="J588" s="1">
        <f>_xlfn.XLOOKUP(order_details[[#This Row],[OrderID]], orders[OrderID], orders[Month])</f>
        <v>4</v>
      </c>
    </row>
    <row r="589" spans="1:10" x14ac:dyDescent="0.35">
      <c r="A589">
        <v>10468</v>
      </c>
      <c r="B589">
        <v>43</v>
      </c>
      <c r="C589">
        <v>36.799999999999997</v>
      </c>
      <c r="D589">
        <v>15</v>
      </c>
      <c r="E589">
        <v>0</v>
      </c>
      <c r="F589">
        <v>552</v>
      </c>
      <c r="G589" t="str">
        <f>VLOOKUP(VLOOKUP(order_details[[#This Row],[ProductID]], products[], 4, FALSE), categories[], 2, FALSE)</f>
        <v>Beverages</v>
      </c>
      <c r="H589">
        <f>VLOOKUP(order_details[[#This Row],[ProductID]], products[], 4, FALSE)</f>
        <v>1</v>
      </c>
      <c r="I589" t="str">
        <f>VLOOKUP(order_details[[#This Row],[OrderID]], orders[[OrderID]:[ShipCountry]], 14, FALSE)</f>
        <v>Germany</v>
      </c>
      <c r="J589" s="1">
        <f>_xlfn.XLOOKUP(order_details[[#This Row],[OrderID]], orders[OrderID], orders[Month])</f>
        <v>4</v>
      </c>
    </row>
    <row r="590" spans="1:10" x14ac:dyDescent="0.35">
      <c r="A590">
        <v>10469</v>
      </c>
      <c r="B590">
        <v>2</v>
      </c>
      <c r="C590">
        <v>15.2</v>
      </c>
      <c r="D590">
        <v>40</v>
      </c>
      <c r="E590">
        <v>0.15</v>
      </c>
      <c r="F590">
        <v>516.79999999999995</v>
      </c>
      <c r="G590" t="str">
        <f>VLOOKUP(VLOOKUP(order_details[[#This Row],[ProductID]], products[], 4, FALSE), categories[], 2, FALSE)</f>
        <v>Beverages</v>
      </c>
      <c r="H590">
        <f>VLOOKUP(order_details[[#This Row],[ProductID]], products[], 4, FALSE)</f>
        <v>1</v>
      </c>
      <c r="I590" t="str">
        <f>VLOOKUP(order_details[[#This Row],[OrderID]], orders[[OrderID]:[ShipCountry]], 14, FALSE)</f>
        <v>USA</v>
      </c>
      <c r="J590" s="1">
        <f>_xlfn.XLOOKUP(order_details[[#This Row],[OrderID]], orders[OrderID], orders[Month])</f>
        <v>4</v>
      </c>
    </row>
    <row r="591" spans="1:10" x14ac:dyDescent="0.35">
      <c r="A591">
        <v>10469</v>
      </c>
      <c r="B591">
        <v>16</v>
      </c>
      <c r="C591">
        <v>13.9</v>
      </c>
      <c r="D591">
        <v>35</v>
      </c>
      <c r="E591">
        <v>0.15</v>
      </c>
      <c r="F591">
        <v>413.52499999999998</v>
      </c>
      <c r="G591" t="str">
        <f>VLOOKUP(VLOOKUP(order_details[[#This Row],[ProductID]], products[], 4, FALSE), categories[], 2, FALSE)</f>
        <v>Confections</v>
      </c>
      <c r="H591">
        <f>VLOOKUP(order_details[[#This Row],[ProductID]], products[], 4, FALSE)</f>
        <v>3</v>
      </c>
      <c r="I591" t="str">
        <f>VLOOKUP(order_details[[#This Row],[OrderID]], orders[[OrderID]:[ShipCountry]], 14, FALSE)</f>
        <v>USA</v>
      </c>
      <c r="J591" s="1">
        <f>_xlfn.XLOOKUP(order_details[[#This Row],[OrderID]], orders[OrderID], orders[Month])</f>
        <v>4</v>
      </c>
    </row>
    <row r="592" spans="1:10" x14ac:dyDescent="0.35">
      <c r="A592">
        <v>10469</v>
      </c>
      <c r="B592">
        <v>44</v>
      </c>
      <c r="C592">
        <v>15.5</v>
      </c>
      <c r="D592">
        <v>2</v>
      </c>
      <c r="E592">
        <v>0.15</v>
      </c>
      <c r="F592">
        <v>26.349999999999998</v>
      </c>
      <c r="G592" t="str">
        <f>VLOOKUP(VLOOKUP(order_details[[#This Row],[ProductID]], products[], 4, FALSE), categories[], 2, FALSE)</f>
        <v>Condiments</v>
      </c>
      <c r="H592">
        <f>VLOOKUP(order_details[[#This Row],[ProductID]], products[], 4, FALSE)</f>
        <v>2</v>
      </c>
      <c r="I592" t="str">
        <f>VLOOKUP(order_details[[#This Row],[OrderID]], orders[[OrderID]:[ShipCountry]], 14, FALSE)</f>
        <v>USA</v>
      </c>
      <c r="J592" s="1">
        <f>_xlfn.XLOOKUP(order_details[[#This Row],[OrderID]], orders[OrderID], orders[Month])</f>
        <v>4</v>
      </c>
    </row>
    <row r="593" spans="1:10" x14ac:dyDescent="0.35">
      <c r="A593">
        <v>10470</v>
      </c>
      <c r="B593">
        <v>18</v>
      </c>
      <c r="C593">
        <v>50</v>
      </c>
      <c r="D593">
        <v>30</v>
      </c>
      <c r="E593">
        <v>0</v>
      </c>
      <c r="F593">
        <v>1500</v>
      </c>
      <c r="G593" t="str">
        <f>VLOOKUP(VLOOKUP(order_details[[#This Row],[ProductID]], products[], 4, FALSE), categories[], 2, FALSE)</f>
        <v>Seafood</v>
      </c>
      <c r="H593">
        <f>VLOOKUP(order_details[[#This Row],[ProductID]], products[], 4, FALSE)</f>
        <v>8</v>
      </c>
      <c r="I593" t="str">
        <f>VLOOKUP(order_details[[#This Row],[OrderID]], orders[[OrderID]:[ShipCountry]], 14, FALSE)</f>
        <v>France</v>
      </c>
      <c r="J593" s="1">
        <f>_xlfn.XLOOKUP(order_details[[#This Row],[OrderID]], orders[OrderID], orders[Month])</f>
        <v>4</v>
      </c>
    </row>
    <row r="594" spans="1:10" x14ac:dyDescent="0.35">
      <c r="A594">
        <v>10470</v>
      </c>
      <c r="B594">
        <v>23</v>
      </c>
      <c r="C594">
        <v>7.2</v>
      </c>
      <c r="D594">
        <v>15</v>
      </c>
      <c r="E594">
        <v>0</v>
      </c>
      <c r="F594">
        <v>108</v>
      </c>
      <c r="G594" t="str">
        <f>VLOOKUP(VLOOKUP(order_details[[#This Row],[ProductID]], products[], 4, FALSE), categories[], 2, FALSE)</f>
        <v>Grains/Cereals</v>
      </c>
      <c r="H594">
        <f>VLOOKUP(order_details[[#This Row],[ProductID]], products[], 4, FALSE)</f>
        <v>5</v>
      </c>
      <c r="I594" t="str">
        <f>VLOOKUP(order_details[[#This Row],[OrderID]], orders[[OrderID]:[ShipCountry]], 14, FALSE)</f>
        <v>France</v>
      </c>
      <c r="J594" s="1">
        <f>_xlfn.XLOOKUP(order_details[[#This Row],[OrderID]], orders[OrderID], orders[Month])</f>
        <v>4</v>
      </c>
    </row>
    <row r="595" spans="1:10" x14ac:dyDescent="0.35">
      <c r="A595">
        <v>10470</v>
      </c>
      <c r="B595">
        <v>64</v>
      </c>
      <c r="C595">
        <v>26.6</v>
      </c>
      <c r="D595">
        <v>8</v>
      </c>
      <c r="E595">
        <v>0</v>
      </c>
      <c r="F595">
        <v>212.8</v>
      </c>
      <c r="G595" t="str">
        <f>VLOOKUP(VLOOKUP(order_details[[#This Row],[ProductID]], products[], 4, FALSE), categories[], 2, FALSE)</f>
        <v>Grains/Cereals</v>
      </c>
      <c r="H595">
        <f>VLOOKUP(order_details[[#This Row],[ProductID]], products[], 4, FALSE)</f>
        <v>5</v>
      </c>
      <c r="I595" t="str">
        <f>VLOOKUP(order_details[[#This Row],[OrderID]], orders[[OrderID]:[ShipCountry]], 14, FALSE)</f>
        <v>France</v>
      </c>
      <c r="J595" s="1">
        <f>_xlfn.XLOOKUP(order_details[[#This Row],[OrderID]], orders[OrderID], orders[Month])</f>
        <v>4</v>
      </c>
    </row>
    <row r="596" spans="1:10" x14ac:dyDescent="0.35">
      <c r="A596">
        <v>10471</v>
      </c>
      <c r="B596">
        <v>7</v>
      </c>
      <c r="C596">
        <v>24</v>
      </c>
      <c r="D596">
        <v>30</v>
      </c>
      <c r="E596">
        <v>0</v>
      </c>
      <c r="F596">
        <v>720</v>
      </c>
      <c r="G596" t="str">
        <f>VLOOKUP(VLOOKUP(order_details[[#This Row],[ProductID]], products[], 4, FALSE), categories[], 2, FALSE)</f>
        <v>Produce</v>
      </c>
      <c r="H596">
        <f>VLOOKUP(order_details[[#This Row],[ProductID]], products[], 4, FALSE)</f>
        <v>7</v>
      </c>
      <c r="I596" t="str">
        <f>VLOOKUP(order_details[[#This Row],[OrderID]], orders[[OrderID]:[ShipCountry]], 14, FALSE)</f>
        <v>UK</v>
      </c>
      <c r="J596" s="1">
        <f>_xlfn.XLOOKUP(order_details[[#This Row],[OrderID]], orders[OrderID], orders[Month])</f>
        <v>4</v>
      </c>
    </row>
    <row r="597" spans="1:10" x14ac:dyDescent="0.35">
      <c r="A597">
        <v>10471</v>
      </c>
      <c r="B597">
        <v>56</v>
      </c>
      <c r="C597">
        <v>30.4</v>
      </c>
      <c r="D597">
        <v>20</v>
      </c>
      <c r="E597">
        <v>0</v>
      </c>
      <c r="F597">
        <v>608</v>
      </c>
      <c r="G597" t="str">
        <f>VLOOKUP(VLOOKUP(order_details[[#This Row],[ProductID]], products[], 4, FALSE), categories[], 2, FALSE)</f>
        <v>Grains/Cereals</v>
      </c>
      <c r="H597">
        <f>VLOOKUP(order_details[[#This Row],[ProductID]], products[], 4, FALSE)</f>
        <v>5</v>
      </c>
      <c r="I597" t="str">
        <f>VLOOKUP(order_details[[#This Row],[OrderID]], orders[[OrderID]:[ShipCountry]], 14, FALSE)</f>
        <v>UK</v>
      </c>
      <c r="J597" s="1">
        <f>_xlfn.XLOOKUP(order_details[[#This Row],[OrderID]], orders[OrderID], orders[Month])</f>
        <v>4</v>
      </c>
    </row>
    <row r="598" spans="1:10" x14ac:dyDescent="0.35">
      <c r="A598">
        <v>10472</v>
      </c>
      <c r="B598">
        <v>24</v>
      </c>
      <c r="C598">
        <v>3.6</v>
      </c>
      <c r="D598">
        <v>80</v>
      </c>
      <c r="E598">
        <v>0.05</v>
      </c>
      <c r="F598">
        <v>273.59999999999997</v>
      </c>
      <c r="G598" t="str">
        <f>VLOOKUP(VLOOKUP(order_details[[#This Row],[ProductID]], products[], 4, FALSE), categories[], 2, FALSE)</f>
        <v>Beverages</v>
      </c>
      <c r="H598">
        <f>VLOOKUP(order_details[[#This Row],[ProductID]], products[], 4, FALSE)</f>
        <v>1</v>
      </c>
      <c r="I598" t="str">
        <f>VLOOKUP(order_details[[#This Row],[OrderID]], orders[[OrderID]:[ShipCountry]], 14, FALSE)</f>
        <v>UK</v>
      </c>
      <c r="J598" s="1">
        <f>_xlfn.XLOOKUP(order_details[[#This Row],[OrderID]], orders[OrderID], orders[Month])</f>
        <v>4</v>
      </c>
    </row>
    <row r="599" spans="1:10" x14ac:dyDescent="0.35">
      <c r="A599">
        <v>10472</v>
      </c>
      <c r="B599">
        <v>51</v>
      </c>
      <c r="C599">
        <v>42.4</v>
      </c>
      <c r="D599">
        <v>18</v>
      </c>
      <c r="E599">
        <v>0</v>
      </c>
      <c r="F599">
        <v>763.19999999999993</v>
      </c>
      <c r="G599" t="str">
        <f>VLOOKUP(VLOOKUP(order_details[[#This Row],[ProductID]], products[], 4, FALSE), categories[], 2, FALSE)</f>
        <v>Produce</v>
      </c>
      <c r="H599">
        <f>VLOOKUP(order_details[[#This Row],[ProductID]], products[], 4, FALSE)</f>
        <v>7</v>
      </c>
      <c r="I599" t="str">
        <f>VLOOKUP(order_details[[#This Row],[OrderID]], orders[[OrderID]:[ShipCountry]], 14, FALSE)</f>
        <v>UK</v>
      </c>
      <c r="J599" s="1">
        <f>_xlfn.XLOOKUP(order_details[[#This Row],[OrderID]], orders[OrderID], orders[Month])</f>
        <v>4</v>
      </c>
    </row>
    <row r="600" spans="1:10" x14ac:dyDescent="0.35">
      <c r="A600">
        <v>10473</v>
      </c>
      <c r="B600">
        <v>33</v>
      </c>
      <c r="C600">
        <v>2</v>
      </c>
      <c r="D600">
        <v>12</v>
      </c>
      <c r="E600">
        <v>0</v>
      </c>
      <c r="F600">
        <v>24</v>
      </c>
      <c r="G600" t="str">
        <f>VLOOKUP(VLOOKUP(order_details[[#This Row],[ProductID]], products[], 4, FALSE), categories[], 2, FALSE)</f>
        <v>Dairy Products</v>
      </c>
      <c r="H600">
        <f>VLOOKUP(order_details[[#This Row],[ProductID]], products[], 4, FALSE)</f>
        <v>4</v>
      </c>
      <c r="I600" t="str">
        <f>VLOOKUP(order_details[[#This Row],[OrderID]], orders[[OrderID]:[ShipCountry]], 14, FALSE)</f>
        <v>UK</v>
      </c>
      <c r="J600" s="1">
        <f>_xlfn.XLOOKUP(order_details[[#This Row],[OrderID]], orders[OrderID], orders[Month])</f>
        <v>4</v>
      </c>
    </row>
    <row r="601" spans="1:10" x14ac:dyDescent="0.35">
      <c r="A601">
        <v>10473</v>
      </c>
      <c r="B601">
        <v>71</v>
      </c>
      <c r="C601">
        <v>17.2</v>
      </c>
      <c r="D601">
        <v>12</v>
      </c>
      <c r="E601">
        <v>0</v>
      </c>
      <c r="F601">
        <v>206.39999999999998</v>
      </c>
      <c r="G601" t="str">
        <f>VLOOKUP(VLOOKUP(order_details[[#This Row],[ProductID]], products[], 4, FALSE), categories[], 2, FALSE)</f>
        <v>Dairy Products</v>
      </c>
      <c r="H601">
        <f>VLOOKUP(order_details[[#This Row],[ProductID]], products[], 4, FALSE)</f>
        <v>4</v>
      </c>
      <c r="I601" t="str">
        <f>VLOOKUP(order_details[[#This Row],[OrderID]], orders[[OrderID]:[ShipCountry]], 14, FALSE)</f>
        <v>UK</v>
      </c>
      <c r="J601" s="1">
        <f>_xlfn.XLOOKUP(order_details[[#This Row],[OrderID]], orders[OrderID], orders[Month])</f>
        <v>4</v>
      </c>
    </row>
    <row r="602" spans="1:10" x14ac:dyDescent="0.35">
      <c r="A602">
        <v>10474</v>
      </c>
      <c r="B602">
        <v>14</v>
      </c>
      <c r="C602">
        <v>18.600000000000001</v>
      </c>
      <c r="D602">
        <v>12</v>
      </c>
      <c r="E602">
        <v>0</v>
      </c>
      <c r="F602">
        <v>223.20000000000002</v>
      </c>
      <c r="G602" t="str">
        <f>VLOOKUP(VLOOKUP(order_details[[#This Row],[ProductID]], products[], 4, FALSE), categories[], 2, FALSE)</f>
        <v>Produce</v>
      </c>
      <c r="H602">
        <f>VLOOKUP(order_details[[#This Row],[ProductID]], products[], 4, FALSE)</f>
        <v>7</v>
      </c>
      <c r="I602" t="str">
        <f>VLOOKUP(order_details[[#This Row],[OrderID]], orders[[OrderID]:[ShipCountry]], 14, FALSE)</f>
        <v>Mexico</v>
      </c>
      <c r="J602" s="1">
        <f>_xlfn.XLOOKUP(order_details[[#This Row],[OrderID]], orders[OrderID], orders[Month])</f>
        <v>4</v>
      </c>
    </row>
    <row r="603" spans="1:10" x14ac:dyDescent="0.35">
      <c r="A603">
        <v>10474</v>
      </c>
      <c r="B603">
        <v>28</v>
      </c>
      <c r="C603">
        <v>36.4</v>
      </c>
      <c r="D603">
        <v>18</v>
      </c>
      <c r="E603">
        <v>0</v>
      </c>
      <c r="F603">
        <v>655.19999999999993</v>
      </c>
      <c r="G603" t="str">
        <f>VLOOKUP(VLOOKUP(order_details[[#This Row],[ProductID]], products[], 4, FALSE), categories[], 2, FALSE)</f>
        <v>Produce</v>
      </c>
      <c r="H603">
        <f>VLOOKUP(order_details[[#This Row],[ProductID]], products[], 4, FALSE)</f>
        <v>7</v>
      </c>
      <c r="I603" t="str">
        <f>VLOOKUP(order_details[[#This Row],[OrderID]], orders[[OrderID]:[ShipCountry]], 14, FALSE)</f>
        <v>Mexico</v>
      </c>
      <c r="J603" s="1">
        <f>_xlfn.XLOOKUP(order_details[[#This Row],[OrderID]], orders[OrderID], orders[Month])</f>
        <v>4</v>
      </c>
    </row>
    <row r="604" spans="1:10" x14ac:dyDescent="0.35">
      <c r="A604">
        <v>10474</v>
      </c>
      <c r="B604">
        <v>40</v>
      </c>
      <c r="C604">
        <v>14.7</v>
      </c>
      <c r="D604">
        <v>21</v>
      </c>
      <c r="E604">
        <v>0</v>
      </c>
      <c r="F604">
        <v>308.7</v>
      </c>
      <c r="G604" t="str">
        <f>VLOOKUP(VLOOKUP(order_details[[#This Row],[ProductID]], products[], 4, FALSE), categories[], 2, FALSE)</f>
        <v>Seafood</v>
      </c>
      <c r="H604">
        <f>VLOOKUP(order_details[[#This Row],[ProductID]], products[], 4, FALSE)</f>
        <v>8</v>
      </c>
      <c r="I604" t="str">
        <f>VLOOKUP(order_details[[#This Row],[OrderID]], orders[[OrderID]:[ShipCountry]], 14, FALSE)</f>
        <v>Mexico</v>
      </c>
      <c r="J604" s="1">
        <f>_xlfn.XLOOKUP(order_details[[#This Row],[OrderID]], orders[OrderID], orders[Month])</f>
        <v>4</v>
      </c>
    </row>
    <row r="605" spans="1:10" x14ac:dyDescent="0.35">
      <c r="A605">
        <v>10474</v>
      </c>
      <c r="B605">
        <v>75</v>
      </c>
      <c r="C605">
        <v>6.2</v>
      </c>
      <c r="D605">
        <v>10</v>
      </c>
      <c r="E605">
        <v>0</v>
      </c>
      <c r="F605">
        <v>62</v>
      </c>
      <c r="G605" t="str">
        <f>VLOOKUP(VLOOKUP(order_details[[#This Row],[ProductID]], products[], 4, FALSE), categories[], 2, FALSE)</f>
        <v>Beverages</v>
      </c>
      <c r="H605">
        <f>VLOOKUP(order_details[[#This Row],[ProductID]], products[], 4, FALSE)</f>
        <v>1</v>
      </c>
      <c r="I605" t="str">
        <f>VLOOKUP(order_details[[#This Row],[OrderID]], orders[[OrderID]:[ShipCountry]], 14, FALSE)</f>
        <v>Mexico</v>
      </c>
      <c r="J605" s="1">
        <f>_xlfn.XLOOKUP(order_details[[#This Row],[OrderID]], orders[OrderID], orders[Month])</f>
        <v>4</v>
      </c>
    </row>
    <row r="606" spans="1:10" x14ac:dyDescent="0.35">
      <c r="A606">
        <v>10475</v>
      </c>
      <c r="B606">
        <v>31</v>
      </c>
      <c r="C606">
        <v>10</v>
      </c>
      <c r="D606">
        <v>35</v>
      </c>
      <c r="E606">
        <v>0.15</v>
      </c>
      <c r="F606">
        <v>297.5</v>
      </c>
      <c r="G606" t="str">
        <f>VLOOKUP(VLOOKUP(order_details[[#This Row],[ProductID]], products[], 4, FALSE), categories[], 2, FALSE)</f>
        <v>Dairy Products</v>
      </c>
      <c r="H606">
        <f>VLOOKUP(order_details[[#This Row],[ProductID]], products[], 4, FALSE)</f>
        <v>4</v>
      </c>
      <c r="I606" t="str">
        <f>VLOOKUP(order_details[[#This Row],[OrderID]], orders[[OrderID]:[ShipCountry]], 14, FALSE)</f>
        <v>Belgium</v>
      </c>
      <c r="J606" s="1">
        <f>_xlfn.XLOOKUP(order_details[[#This Row],[OrderID]], orders[OrderID], orders[Month])</f>
        <v>4</v>
      </c>
    </row>
    <row r="607" spans="1:10" x14ac:dyDescent="0.35">
      <c r="A607">
        <v>10475</v>
      </c>
      <c r="B607">
        <v>66</v>
      </c>
      <c r="C607">
        <v>13.6</v>
      </c>
      <c r="D607">
        <v>60</v>
      </c>
      <c r="E607">
        <v>0.15</v>
      </c>
      <c r="F607">
        <v>693.6</v>
      </c>
      <c r="G607" t="str">
        <f>VLOOKUP(VLOOKUP(order_details[[#This Row],[ProductID]], products[], 4, FALSE), categories[], 2, FALSE)</f>
        <v>Condiments</v>
      </c>
      <c r="H607">
        <f>VLOOKUP(order_details[[#This Row],[ProductID]], products[], 4, FALSE)</f>
        <v>2</v>
      </c>
      <c r="I607" t="str">
        <f>VLOOKUP(order_details[[#This Row],[OrderID]], orders[[OrderID]:[ShipCountry]], 14, FALSE)</f>
        <v>Belgium</v>
      </c>
      <c r="J607" s="1">
        <f>_xlfn.XLOOKUP(order_details[[#This Row],[OrderID]], orders[OrderID], orders[Month])</f>
        <v>4</v>
      </c>
    </row>
    <row r="608" spans="1:10" x14ac:dyDescent="0.35">
      <c r="A608">
        <v>10475</v>
      </c>
      <c r="B608">
        <v>76</v>
      </c>
      <c r="C608">
        <v>14.4</v>
      </c>
      <c r="D608">
        <v>42</v>
      </c>
      <c r="E608">
        <v>0.15</v>
      </c>
      <c r="F608">
        <v>514.08000000000004</v>
      </c>
      <c r="G608" t="str">
        <f>VLOOKUP(VLOOKUP(order_details[[#This Row],[ProductID]], products[], 4, FALSE), categories[], 2, FALSE)</f>
        <v>Beverages</v>
      </c>
      <c r="H608">
        <f>VLOOKUP(order_details[[#This Row],[ProductID]], products[], 4, FALSE)</f>
        <v>1</v>
      </c>
      <c r="I608" t="str">
        <f>VLOOKUP(order_details[[#This Row],[OrderID]], orders[[OrderID]:[ShipCountry]], 14, FALSE)</f>
        <v>Belgium</v>
      </c>
      <c r="J608" s="1">
        <f>_xlfn.XLOOKUP(order_details[[#This Row],[OrderID]], orders[OrderID], orders[Month])</f>
        <v>4</v>
      </c>
    </row>
    <row r="609" spans="1:10" x14ac:dyDescent="0.35">
      <c r="A609">
        <v>10476</v>
      </c>
      <c r="B609">
        <v>55</v>
      </c>
      <c r="C609">
        <v>19.2</v>
      </c>
      <c r="D609">
        <v>2</v>
      </c>
      <c r="E609">
        <v>0.05</v>
      </c>
      <c r="F609">
        <v>36.479999999999997</v>
      </c>
      <c r="G609" t="str">
        <f>VLOOKUP(VLOOKUP(order_details[[#This Row],[ProductID]], products[], 4, FALSE), categories[], 2, FALSE)</f>
        <v>Meat/Poultry</v>
      </c>
      <c r="H609">
        <f>VLOOKUP(order_details[[#This Row],[ProductID]], products[], 4, FALSE)</f>
        <v>6</v>
      </c>
      <c r="I609" t="str">
        <f>VLOOKUP(order_details[[#This Row],[OrderID]], orders[[OrderID]:[ShipCountry]], 14, FALSE)</f>
        <v>Venezuela</v>
      </c>
      <c r="J609" s="1">
        <f>_xlfn.XLOOKUP(order_details[[#This Row],[OrderID]], orders[OrderID], orders[Month])</f>
        <v>4</v>
      </c>
    </row>
    <row r="610" spans="1:10" x14ac:dyDescent="0.35">
      <c r="A610">
        <v>10476</v>
      </c>
      <c r="B610">
        <v>70</v>
      </c>
      <c r="C610">
        <v>12</v>
      </c>
      <c r="D610">
        <v>12</v>
      </c>
      <c r="E610">
        <v>0</v>
      </c>
      <c r="F610">
        <v>144</v>
      </c>
      <c r="G610" t="str">
        <f>VLOOKUP(VLOOKUP(order_details[[#This Row],[ProductID]], products[], 4, FALSE), categories[], 2, FALSE)</f>
        <v>Beverages</v>
      </c>
      <c r="H610">
        <f>VLOOKUP(order_details[[#This Row],[ProductID]], products[], 4, FALSE)</f>
        <v>1</v>
      </c>
      <c r="I610" t="str">
        <f>VLOOKUP(order_details[[#This Row],[OrderID]], orders[[OrderID]:[ShipCountry]], 14, FALSE)</f>
        <v>Venezuela</v>
      </c>
      <c r="J610" s="1">
        <f>_xlfn.XLOOKUP(order_details[[#This Row],[OrderID]], orders[OrderID], orders[Month])</f>
        <v>4</v>
      </c>
    </row>
    <row r="611" spans="1:10" x14ac:dyDescent="0.35">
      <c r="A611">
        <v>10477</v>
      </c>
      <c r="B611">
        <v>1</v>
      </c>
      <c r="C611">
        <v>14.4</v>
      </c>
      <c r="D611">
        <v>15</v>
      </c>
      <c r="E611">
        <v>0</v>
      </c>
      <c r="F611">
        <v>216</v>
      </c>
      <c r="G611" t="str">
        <f>VLOOKUP(VLOOKUP(order_details[[#This Row],[ProductID]], products[], 4, FALSE), categories[], 2, FALSE)</f>
        <v>Beverages</v>
      </c>
      <c r="H611">
        <f>VLOOKUP(order_details[[#This Row],[ProductID]], products[], 4, FALSE)</f>
        <v>1</v>
      </c>
      <c r="I611" t="str">
        <f>VLOOKUP(order_details[[#This Row],[OrderID]], orders[[OrderID]:[ShipCountry]], 14, FALSE)</f>
        <v>Portugal</v>
      </c>
      <c r="J611" s="1">
        <f>_xlfn.XLOOKUP(order_details[[#This Row],[OrderID]], orders[OrderID], orders[Month])</f>
        <v>4</v>
      </c>
    </row>
    <row r="612" spans="1:10" x14ac:dyDescent="0.35">
      <c r="A612">
        <v>10477</v>
      </c>
      <c r="B612">
        <v>21</v>
      </c>
      <c r="C612">
        <v>8</v>
      </c>
      <c r="D612">
        <v>21</v>
      </c>
      <c r="E612">
        <v>0.25</v>
      </c>
      <c r="F612">
        <v>126</v>
      </c>
      <c r="G612" t="str">
        <f>VLOOKUP(VLOOKUP(order_details[[#This Row],[ProductID]], products[], 4, FALSE), categories[], 2, FALSE)</f>
        <v>Confections</v>
      </c>
      <c r="H612">
        <f>VLOOKUP(order_details[[#This Row],[ProductID]], products[], 4, FALSE)</f>
        <v>3</v>
      </c>
      <c r="I612" t="str">
        <f>VLOOKUP(order_details[[#This Row],[OrderID]], orders[[OrderID]:[ShipCountry]], 14, FALSE)</f>
        <v>Portugal</v>
      </c>
      <c r="J612" s="1">
        <f>_xlfn.XLOOKUP(order_details[[#This Row],[OrderID]], orders[OrderID], orders[Month])</f>
        <v>4</v>
      </c>
    </row>
    <row r="613" spans="1:10" x14ac:dyDescent="0.35">
      <c r="A613">
        <v>10477</v>
      </c>
      <c r="B613">
        <v>39</v>
      </c>
      <c r="C613">
        <v>14.4</v>
      </c>
      <c r="D613">
        <v>20</v>
      </c>
      <c r="E613">
        <v>0.25</v>
      </c>
      <c r="F613">
        <v>216</v>
      </c>
      <c r="G613" t="str">
        <f>VLOOKUP(VLOOKUP(order_details[[#This Row],[ProductID]], products[], 4, FALSE), categories[], 2, FALSE)</f>
        <v>Beverages</v>
      </c>
      <c r="H613">
        <f>VLOOKUP(order_details[[#This Row],[ProductID]], products[], 4, FALSE)</f>
        <v>1</v>
      </c>
      <c r="I613" t="str">
        <f>VLOOKUP(order_details[[#This Row],[OrderID]], orders[[OrderID]:[ShipCountry]], 14, FALSE)</f>
        <v>Portugal</v>
      </c>
      <c r="J613" s="1">
        <f>_xlfn.XLOOKUP(order_details[[#This Row],[OrderID]], orders[OrderID], orders[Month])</f>
        <v>4</v>
      </c>
    </row>
    <row r="614" spans="1:10" x14ac:dyDescent="0.35">
      <c r="A614">
        <v>10478</v>
      </c>
      <c r="B614">
        <v>10</v>
      </c>
      <c r="C614">
        <v>24.8</v>
      </c>
      <c r="D614">
        <v>20</v>
      </c>
      <c r="E614">
        <v>0.05</v>
      </c>
      <c r="F614">
        <v>471.2</v>
      </c>
      <c r="G614" t="str">
        <f>VLOOKUP(VLOOKUP(order_details[[#This Row],[ProductID]], products[], 4, FALSE), categories[], 2, FALSE)</f>
        <v>Seafood</v>
      </c>
      <c r="H614">
        <f>VLOOKUP(order_details[[#This Row],[ProductID]], products[], 4, FALSE)</f>
        <v>8</v>
      </c>
      <c r="I614" t="str">
        <f>VLOOKUP(order_details[[#This Row],[OrderID]], orders[[OrderID]:[ShipCountry]], 14, FALSE)</f>
        <v>France</v>
      </c>
      <c r="J614" s="1">
        <f>_xlfn.XLOOKUP(order_details[[#This Row],[OrderID]], orders[OrderID], orders[Month])</f>
        <v>4</v>
      </c>
    </row>
    <row r="615" spans="1:10" x14ac:dyDescent="0.35">
      <c r="A615">
        <v>10479</v>
      </c>
      <c r="B615">
        <v>38</v>
      </c>
      <c r="C615">
        <v>210.8</v>
      </c>
      <c r="D615">
        <v>30</v>
      </c>
      <c r="E615">
        <v>0</v>
      </c>
      <c r="F615">
        <v>6324</v>
      </c>
      <c r="G615" t="str">
        <f>VLOOKUP(VLOOKUP(order_details[[#This Row],[ProductID]], products[], 4, FALSE), categories[], 2, FALSE)</f>
        <v>Beverages</v>
      </c>
      <c r="H615">
        <f>VLOOKUP(order_details[[#This Row],[ProductID]], products[], 4, FALSE)</f>
        <v>1</v>
      </c>
      <c r="I615" t="str">
        <f>VLOOKUP(order_details[[#This Row],[OrderID]], orders[[OrderID]:[ShipCountry]], 14, FALSE)</f>
        <v>USA</v>
      </c>
      <c r="J615" s="1">
        <f>_xlfn.XLOOKUP(order_details[[#This Row],[OrderID]], orders[OrderID], orders[Month])</f>
        <v>4</v>
      </c>
    </row>
    <row r="616" spans="1:10" x14ac:dyDescent="0.35">
      <c r="A616">
        <v>10479</v>
      </c>
      <c r="B616">
        <v>53</v>
      </c>
      <c r="C616">
        <v>26.2</v>
      </c>
      <c r="D616">
        <v>28</v>
      </c>
      <c r="E616">
        <v>0</v>
      </c>
      <c r="F616">
        <v>733.6</v>
      </c>
      <c r="G616" t="str">
        <f>VLOOKUP(VLOOKUP(order_details[[#This Row],[ProductID]], products[], 4, FALSE), categories[], 2, FALSE)</f>
        <v>Meat/Poultry</v>
      </c>
      <c r="H616">
        <f>VLOOKUP(order_details[[#This Row],[ProductID]], products[], 4, FALSE)</f>
        <v>6</v>
      </c>
      <c r="I616" t="str">
        <f>VLOOKUP(order_details[[#This Row],[OrderID]], orders[[OrderID]:[ShipCountry]], 14, FALSE)</f>
        <v>USA</v>
      </c>
      <c r="J616" s="1">
        <f>_xlfn.XLOOKUP(order_details[[#This Row],[OrderID]], orders[OrderID], orders[Month])</f>
        <v>4</v>
      </c>
    </row>
    <row r="617" spans="1:10" x14ac:dyDescent="0.35">
      <c r="A617">
        <v>10479</v>
      </c>
      <c r="B617">
        <v>59</v>
      </c>
      <c r="C617">
        <v>44</v>
      </c>
      <c r="D617">
        <v>60</v>
      </c>
      <c r="E617">
        <v>0</v>
      </c>
      <c r="F617">
        <v>2640</v>
      </c>
      <c r="G617" t="str">
        <f>VLOOKUP(VLOOKUP(order_details[[#This Row],[ProductID]], products[], 4, FALSE), categories[], 2, FALSE)</f>
        <v>Dairy Products</v>
      </c>
      <c r="H617">
        <f>VLOOKUP(order_details[[#This Row],[ProductID]], products[], 4, FALSE)</f>
        <v>4</v>
      </c>
      <c r="I617" t="str">
        <f>VLOOKUP(order_details[[#This Row],[OrderID]], orders[[OrderID]:[ShipCountry]], 14, FALSE)</f>
        <v>USA</v>
      </c>
      <c r="J617" s="1">
        <f>_xlfn.XLOOKUP(order_details[[#This Row],[OrderID]], orders[OrderID], orders[Month])</f>
        <v>4</v>
      </c>
    </row>
    <row r="618" spans="1:10" x14ac:dyDescent="0.35">
      <c r="A618">
        <v>10479</v>
      </c>
      <c r="B618">
        <v>64</v>
      </c>
      <c r="C618">
        <v>26.6</v>
      </c>
      <c r="D618">
        <v>30</v>
      </c>
      <c r="E618">
        <v>0</v>
      </c>
      <c r="F618">
        <v>798</v>
      </c>
      <c r="G618" t="str">
        <f>VLOOKUP(VLOOKUP(order_details[[#This Row],[ProductID]], products[], 4, FALSE), categories[], 2, FALSE)</f>
        <v>Grains/Cereals</v>
      </c>
      <c r="H618">
        <f>VLOOKUP(order_details[[#This Row],[ProductID]], products[], 4, FALSE)</f>
        <v>5</v>
      </c>
      <c r="I618" t="str">
        <f>VLOOKUP(order_details[[#This Row],[OrderID]], orders[[OrderID]:[ShipCountry]], 14, FALSE)</f>
        <v>USA</v>
      </c>
      <c r="J618" s="1">
        <f>_xlfn.XLOOKUP(order_details[[#This Row],[OrderID]], orders[OrderID], orders[Month])</f>
        <v>4</v>
      </c>
    </row>
    <row r="619" spans="1:10" x14ac:dyDescent="0.35">
      <c r="A619">
        <v>10480</v>
      </c>
      <c r="B619">
        <v>47</v>
      </c>
      <c r="C619">
        <v>7.6</v>
      </c>
      <c r="D619">
        <v>30</v>
      </c>
      <c r="E619">
        <v>0</v>
      </c>
      <c r="F619">
        <v>228</v>
      </c>
      <c r="G619" t="str">
        <f>VLOOKUP(VLOOKUP(order_details[[#This Row],[ProductID]], products[], 4, FALSE), categories[], 2, FALSE)</f>
        <v>Confections</v>
      </c>
      <c r="H619">
        <f>VLOOKUP(order_details[[#This Row],[ProductID]], products[], 4, FALSE)</f>
        <v>3</v>
      </c>
      <c r="I619" t="str">
        <f>VLOOKUP(order_details[[#This Row],[OrderID]], orders[[OrderID]:[ShipCountry]], 14, FALSE)</f>
        <v>France</v>
      </c>
      <c r="J619" s="1">
        <f>_xlfn.XLOOKUP(order_details[[#This Row],[OrderID]], orders[OrderID], orders[Month])</f>
        <v>4</v>
      </c>
    </row>
    <row r="620" spans="1:10" x14ac:dyDescent="0.35">
      <c r="A620">
        <v>10480</v>
      </c>
      <c r="B620">
        <v>59</v>
      </c>
      <c r="C620">
        <v>44</v>
      </c>
      <c r="D620">
        <v>12</v>
      </c>
      <c r="E620">
        <v>0</v>
      </c>
      <c r="F620">
        <v>528</v>
      </c>
      <c r="G620" t="str">
        <f>VLOOKUP(VLOOKUP(order_details[[#This Row],[ProductID]], products[], 4, FALSE), categories[], 2, FALSE)</f>
        <v>Dairy Products</v>
      </c>
      <c r="H620">
        <f>VLOOKUP(order_details[[#This Row],[ProductID]], products[], 4, FALSE)</f>
        <v>4</v>
      </c>
      <c r="I620" t="str">
        <f>VLOOKUP(order_details[[#This Row],[OrderID]], orders[[OrderID]:[ShipCountry]], 14, FALSE)</f>
        <v>France</v>
      </c>
      <c r="J620" s="1">
        <f>_xlfn.XLOOKUP(order_details[[#This Row],[OrderID]], orders[OrderID], orders[Month])</f>
        <v>4</v>
      </c>
    </row>
    <row r="621" spans="1:10" x14ac:dyDescent="0.35">
      <c r="A621">
        <v>10481</v>
      </c>
      <c r="B621">
        <v>49</v>
      </c>
      <c r="C621">
        <v>16</v>
      </c>
      <c r="D621">
        <v>24</v>
      </c>
      <c r="E621">
        <v>0</v>
      </c>
      <c r="F621">
        <v>384</v>
      </c>
      <c r="G621" t="str">
        <f>VLOOKUP(VLOOKUP(order_details[[#This Row],[ProductID]], products[], 4, FALSE), categories[], 2, FALSE)</f>
        <v>Confections</v>
      </c>
      <c r="H621">
        <f>VLOOKUP(order_details[[#This Row],[ProductID]], products[], 4, FALSE)</f>
        <v>3</v>
      </c>
      <c r="I621" t="str">
        <f>VLOOKUP(order_details[[#This Row],[OrderID]], orders[[OrderID]:[ShipCountry]], 14, FALSE)</f>
        <v>Brazil</v>
      </c>
      <c r="J621" s="1">
        <f>_xlfn.XLOOKUP(order_details[[#This Row],[OrderID]], orders[OrderID], orders[Month])</f>
        <v>4</v>
      </c>
    </row>
    <row r="622" spans="1:10" x14ac:dyDescent="0.35">
      <c r="A622">
        <v>10481</v>
      </c>
      <c r="B622">
        <v>60</v>
      </c>
      <c r="C622">
        <v>27.2</v>
      </c>
      <c r="D622">
        <v>40</v>
      </c>
      <c r="E622">
        <v>0</v>
      </c>
      <c r="F622">
        <v>1088</v>
      </c>
      <c r="G622" t="str">
        <f>VLOOKUP(VLOOKUP(order_details[[#This Row],[ProductID]], products[], 4, FALSE), categories[], 2, FALSE)</f>
        <v>Dairy Products</v>
      </c>
      <c r="H622">
        <f>VLOOKUP(order_details[[#This Row],[ProductID]], products[], 4, FALSE)</f>
        <v>4</v>
      </c>
      <c r="I622" t="str">
        <f>VLOOKUP(order_details[[#This Row],[OrderID]], orders[[OrderID]:[ShipCountry]], 14, FALSE)</f>
        <v>Brazil</v>
      </c>
      <c r="J622" s="1">
        <f>_xlfn.XLOOKUP(order_details[[#This Row],[OrderID]], orders[OrderID], orders[Month])</f>
        <v>4</v>
      </c>
    </row>
    <row r="623" spans="1:10" x14ac:dyDescent="0.35">
      <c r="A623">
        <v>10482</v>
      </c>
      <c r="B623">
        <v>40</v>
      </c>
      <c r="C623">
        <v>14.7</v>
      </c>
      <c r="D623">
        <v>10</v>
      </c>
      <c r="E623">
        <v>0</v>
      </c>
      <c r="F623">
        <v>147</v>
      </c>
      <c r="G623" t="str">
        <f>VLOOKUP(VLOOKUP(order_details[[#This Row],[ProductID]], products[], 4, FALSE), categories[], 2, FALSE)</f>
        <v>Seafood</v>
      </c>
      <c r="H623">
        <f>VLOOKUP(order_details[[#This Row],[ProductID]], products[], 4, FALSE)</f>
        <v>8</v>
      </c>
      <c r="I623" t="str">
        <f>VLOOKUP(order_details[[#This Row],[OrderID]], orders[[OrderID]:[ShipCountry]], 14, FALSE)</f>
        <v>USA</v>
      </c>
      <c r="J623" s="1">
        <f>_xlfn.XLOOKUP(order_details[[#This Row],[OrderID]], orders[OrderID], orders[Month])</f>
        <v>4</v>
      </c>
    </row>
    <row r="624" spans="1:10" x14ac:dyDescent="0.35">
      <c r="A624">
        <v>10483</v>
      </c>
      <c r="B624">
        <v>34</v>
      </c>
      <c r="C624">
        <v>11.2</v>
      </c>
      <c r="D624">
        <v>35</v>
      </c>
      <c r="E624">
        <v>0.05</v>
      </c>
      <c r="F624">
        <v>372.4</v>
      </c>
      <c r="G624" t="str">
        <f>VLOOKUP(VLOOKUP(order_details[[#This Row],[ProductID]], products[], 4, FALSE), categories[], 2, FALSE)</f>
        <v>Beverages</v>
      </c>
      <c r="H624">
        <f>VLOOKUP(order_details[[#This Row],[ProductID]], products[], 4, FALSE)</f>
        <v>1</v>
      </c>
      <c r="I624" t="str">
        <f>VLOOKUP(order_details[[#This Row],[OrderID]], orders[[OrderID]:[ShipCountry]], 14, FALSE)</f>
        <v>USA</v>
      </c>
      <c r="J624" s="1">
        <f>_xlfn.XLOOKUP(order_details[[#This Row],[OrderID]], orders[OrderID], orders[Month])</f>
        <v>4</v>
      </c>
    </row>
    <row r="625" spans="1:10" x14ac:dyDescent="0.35">
      <c r="A625">
        <v>10483</v>
      </c>
      <c r="B625">
        <v>77</v>
      </c>
      <c r="C625">
        <v>10.4</v>
      </c>
      <c r="D625">
        <v>30</v>
      </c>
      <c r="E625">
        <v>0.05</v>
      </c>
      <c r="F625">
        <v>296.39999999999998</v>
      </c>
      <c r="G625" t="str">
        <f>VLOOKUP(VLOOKUP(order_details[[#This Row],[ProductID]], products[], 4, FALSE), categories[], 2, FALSE)</f>
        <v>Condiments</v>
      </c>
      <c r="H625">
        <f>VLOOKUP(order_details[[#This Row],[ProductID]], products[], 4, FALSE)</f>
        <v>2</v>
      </c>
      <c r="I625" t="str">
        <f>VLOOKUP(order_details[[#This Row],[OrderID]], orders[[OrderID]:[ShipCountry]], 14, FALSE)</f>
        <v>USA</v>
      </c>
      <c r="J625" s="1">
        <f>_xlfn.XLOOKUP(order_details[[#This Row],[OrderID]], orders[OrderID], orders[Month])</f>
        <v>4</v>
      </c>
    </row>
    <row r="626" spans="1:10" x14ac:dyDescent="0.35">
      <c r="A626">
        <v>10484</v>
      </c>
      <c r="B626">
        <v>21</v>
      </c>
      <c r="C626">
        <v>8</v>
      </c>
      <c r="D626">
        <v>14</v>
      </c>
      <c r="E626">
        <v>0</v>
      </c>
      <c r="F626">
        <v>112</v>
      </c>
      <c r="G626" t="str">
        <f>VLOOKUP(VLOOKUP(order_details[[#This Row],[ProductID]], products[], 4, FALSE), categories[], 2, FALSE)</f>
        <v>Confections</v>
      </c>
      <c r="H626">
        <f>VLOOKUP(order_details[[#This Row],[ProductID]], products[], 4, FALSE)</f>
        <v>3</v>
      </c>
      <c r="I626" t="str">
        <f>VLOOKUP(order_details[[#This Row],[OrderID]], orders[[OrderID]:[ShipCountry]], 14, FALSE)</f>
        <v>UK</v>
      </c>
      <c r="J626" s="1">
        <f>_xlfn.XLOOKUP(order_details[[#This Row],[OrderID]], orders[OrderID], orders[Month])</f>
        <v>4</v>
      </c>
    </row>
    <row r="627" spans="1:10" x14ac:dyDescent="0.35">
      <c r="A627">
        <v>10484</v>
      </c>
      <c r="B627">
        <v>40</v>
      </c>
      <c r="C627">
        <v>14.7</v>
      </c>
      <c r="D627">
        <v>10</v>
      </c>
      <c r="E627">
        <v>0</v>
      </c>
      <c r="F627">
        <v>147</v>
      </c>
      <c r="G627" t="str">
        <f>VLOOKUP(VLOOKUP(order_details[[#This Row],[ProductID]], products[], 4, FALSE), categories[], 2, FALSE)</f>
        <v>Seafood</v>
      </c>
      <c r="H627">
        <f>VLOOKUP(order_details[[#This Row],[ProductID]], products[], 4, FALSE)</f>
        <v>8</v>
      </c>
      <c r="I627" t="str">
        <f>VLOOKUP(order_details[[#This Row],[OrderID]], orders[[OrderID]:[ShipCountry]], 14, FALSE)</f>
        <v>UK</v>
      </c>
      <c r="J627" s="1">
        <f>_xlfn.XLOOKUP(order_details[[#This Row],[OrderID]], orders[OrderID], orders[Month])</f>
        <v>4</v>
      </c>
    </row>
    <row r="628" spans="1:10" x14ac:dyDescent="0.35">
      <c r="A628">
        <v>10484</v>
      </c>
      <c r="B628">
        <v>51</v>
      </c>
      <c r="C628">
        <v>42.4</v>
      </c>
      <c r="D628">
        <v>3</v>
      </c>
      <c r="E628">
        <v>0</v>
      </c>
      <c r="F628">
        <v>127.19999999999999</v>
      </c>
      <c r="G628" t="str">
        <f>VLOOKUP(VLOOKUP(order_details[[#This Row],[ProductID]], products[], 4, FALSE), categories[], 2, FALSE)</f>
        <v>Produce</v>
      </c>
      <c r="H628">
        <f>VLOOKUP(order_details[[#This Row],[ProductID]], products[], 4, FALSE)</f>
        <v>7</v>
      </c>
      <c r="I628" t="str">
        <f>VLOOKUP(order_details[[#This Row],[OrderID]], orders[[OrderID]:[ShipCountry]], 14, FALSE)</f>
        <v>UK</v>
      </c>
      <c r="J628" s="1">
        <f>_xlfn.XLOOKUP(order_details[[#This Row],[OrderID]], orders[OrderID], orders[Month])</f>
        <v>4</v>
      </c>
    </row>
    <row r="629" spans="1:10" x14ac:dyDescent="0.35">
      <c r="A629">
        <v>10485</v>
      </c>
      <c r="B629">
        <v>2</v>
      </c>
      <c r="C629">
        <v>15.2</v>
      </c>
      <c r="D629">
        <v>20</v>
      </c>
      <c r="E629">
        <v>0.1</v>
      </c>
      <c r="F629">
        <v>273.60000000000002</v>
      </c>
      <c r="G629" t="str">
        <f>VLOOKUP(VLOOKUP(order_details[[#This Row],[ProductID]], products[], 4, FALSE), categories[], 2, FALSE)</f>
        <v>Beverages</v>
      </c>
      <c r="H629">
        <f>VLOOKUP(order_details[[#This Row],[ProductID]], products[], 4, FALSE)</f>
        <v>1</v>
      </c>
      <c r="I629" t="str">
        <f>VLOOKUP(order_details[[#This Row],[OrderID]], orders[[OrderID]:[ShipCountry]], 14, FALSE)</f>
        <v>Venezuela</v>
      </c>
      <c r="J629" s="1">
        <f>_xlfn.XLOOKUP(order_details[[#This Row],[OrderID]], orders[OrderID], orders[Month])</f>
        <v>4</v>
      </c>
    </row>
    <row r="630" spans="1:10" x14ac:dyDescent="0.35">
      <c r="A630">
        <v>10485</v>
      </c>
      <c r="B630">
        <v>3</v>
      </c>
      <c r="C630">
        <v>8</v>
      </c>
      <c r="D630">
        <v>20</v>
      </c>
      <c r="E630">
        <v>0.1</v>
      </c>
      <c r="F630">
        <v>144</v>
      </c>
      <c r="G630" t="str">
        <f>VLOOKUP(VLOOKUP(order_details[[#This Row],[ProductID]], products[], 4, FALSE), categories[], 2, FALSE)</f>
        <v>Condiments</v>
      </c>
      <c r="H630">
        <f>VLOOKUP(order_details[[#This Row],[ProductID]], products[], 4, FALSE)</f>
        <v>2</v>
      </c>
      <c r="I630" t="str">
        <f>VLOOKUP(order_details[[#This Row],[OrderID]], orders[[OrderID]:[ShipCountry]], 14, FALSE)</f>
        <v>Venezuela</v>
      </c>
      <c r="J630" s="1">
        <f>_xlfn.XLOOKUP(order_details[[#This Row],[OrderID]], orders[OrderID], orders[Month])</f>
        <v>4</v>
      </c>
    </row>
    <row r="631" spans="1:10" x14ac:dyDescent="0.35">
      <c r="A631">
        <v>10485</v>
      </c>
      <c r="B631">
        <v>55</v>
      </c>
      <c r="C631">
        <v>19.2</v>
      </c>
      <c r="D631">
        <v>30</v>
      </c>
      <c r="E631">
        <v>0.1</v>
      </c>
      <c r="F631">
        <v>518.4</v>
      </c>
      <c r="G631" t="str">
        <f>VLOOKUP(VLOOKUP(order_details[[#This Row],[ProductID]], products[], 4, FALSE), categories[], 2, FALSE)</f>
        <v>Meat/Poultry</v>
      </c>
      <c r="H631">
        <f>VLOOKUP(order_details[[#This Row],[ProductID]], products[], 4, FALSE)</f>
        <v>6</v>
      </c>
      <c r="I631" t="str">
        <f>VLOOKUP(order_details[[#This Row],[OrderID]], orders[[OrderID]:[ShipCountry]], 14, FALSE)</f>
        <v>Venezuela</v>
      </c>
      <c r="J631" s="1">
        <f>_xlfn.XLOOKUP(order_details[[#This Row],[OrderID]], orders[OrderID], orders[Month])</f>
        <v>4</v>
      </c>
    </row>
    <row r="632" spans="1:10" x14ac:dyDescent="0.35">
      <c r="A632">
        <v>10485</v>
      </c>
      <c r="B632">
        <v>70</v>
      </c>
      <c r="C632">
        <v>12</v>
      </c>
      <c r="D632">
        <v>60</v>
      </c>
      <c r="E632">
        <v>0.1</v>
      </c>
      <c r="F632">
        <v>648</v>
      </c>
      <c r="G632" t="str">
        <f>VLOOKUP(VLOOKUP(order_details[[#This Row],[ProductID]], products[], 4, FALSE), categories[], 2, FALSE)</f>
        <v>Beverages</v>
      </c>
      <c r="H632">
        <f>VLOOKUP(order_details[[#This Row],[ProductID]], products[], 4, FALSE)</f>
        <v>1</v>
      </c>
      <c r="I632" t="str">
        <f>VLOOKUP(order_details[[#This Row],[OrderID]], orders[[OrderID]:[ShipCountry]], 14, FALSE)</f>
        <v>Venezuela</v>
      </c>
      <c r="J632" s="1">
        <f>_xlfn.XLOOKUP(order_details[[#This Row],[OrderID]], orders[OrderID], orders[Month])</f>
        <v>4</v>
      </c>
    </row>
    <row r="633" spans="1:10" x14ac:dyDescent="0.35">
      <c r="A633">
        <v>10486</v>
      </c>
      <c r="B633">
        <v>11</v>
      </c>
      <c r="C633">
        <v>16.8</v>
      </c>
      <c r="D633">
        <v>5</v>
      </c>
      <c r="E633">
        <v>0</v>
      </c>
      <c r="F633">
        <v>84</v>
      </c>
      <c r="G633" t="str">
        <f>VLOOKUP(VLOOKUP(order_details[[#This Row],[ProductID]], products[], 4, FALSE), categories[], 2, FALSE)</f>
        <v>Dairy Products</v>
      </c>
      <c r="H633">
        <f>VLOOKUP(order_details[[#This Row],[ProductID]], products[], 4, FALSE)</f>
        <v>4</v>
      </c>
      <c r="I633" t="str">
        <f>VLOOKUP(order_details[[#This Row],[OrderID]], orders[[OrderID]:[ShipCountry]], 14, FALSE)</f>
        <v>Venezuela</v>
      </c>
      <c r="J633" s="1">
        <f>_xlfn.XLOOKUP(order_details[[#This Row],[OrderID]], orders[OrderID], orders[Month])</f>
        <v>4</v>
      </c>
    </row>
    <row r="634" spans="1:10" x14ac:dyDescent="0.35">
      <c r="A634">
        <v>10486</v>
      </c>
      <c r="B634">
        <v>51</v>
      </c>
      <c r="C634">
        <v>42.4</v>
      </c>
      <c r="D634">
        <v>25</v>
      </c>
      <c r="E634">
        <v>0</v>
      </c>
      <c r="F634">
        <v>1060</v>
      </c>
      <c r="G634" t="str">
        <f>VLOOKUP(VLOOKUP(order_details[[#This Row],[ProductID]], products[], 4, FALSE), categories[], 2, FALSE)</f>
        <v>Produce</v>
      </c>
      <c r="H634">
        <f>VLOOKUP(order_details[[#This Row],[ProductID]], products[], 4, FALSE)</f>
        <v>7</v>
      </c>
      <c r="I634" t="str">
        <f>VLOOKUP(order_details[[#This Row],[OrderID]], orders[[OrderID]:[ShipCountry]], 14, FALSE)</f>
        <v>Venezuela</v>
      </c>
      <c r="J634" s="1">
        <f>_xlfn.XLOOKUP(order_details[[#This Row],[OrderID]], orders[OrderID], orders[Month])</f>
        <v>4</v>
      </c>
    </row>
    <row r="635" spans="1:10" x14ac:dyDescent="0.35">
      <c r="A635">
        <v>10486</v>
      </c>
      <c r="B635">
        <v>74</v>
      </c>
      <c r="C635">
        <v>8</v>
      </c>
      <c r="D635">
        <v>16</v>
      </c>
      <c r="E635">
        <v>0</v>
      </c>
      <c r="F635">
        <v>128</v>
      </c>
      <c r="G635" t="str">
        <f>VLOOKUP(VLOOKUP(order_details[[#This Row],[ProductID]], products[], 4, FALSE), categories[], 2, FALSE)</f>
        <v>Produce</v>
      </c>
      <c r="H635">
        <f>VLOOKUP(order_details[[#This Row],[ProductID]], products[], 4, FALSE)</f>
        <v>7</v>
      </c>
      <c r="I635" t="str">
        <f>VLOOKUP(order_details[[#This Row],[OrderID]], orders[[OrderID]:[ShipCountry]], 14, FALSE)</f>
        <v>Venezuela</v>
      </c>
      <c r="J635" s="1">
        <f>_xlfn.XLOOKUP(order_details[[#This Row],[OrderID]], orders[OrderID], orders[Month])</f>
        <v>4</v>
      </c>
    </row>
    <row r="636" spans="1:10" x14ac:dyDescent="0.35">
      <c r="A636">
        <v>10487</v>
      </c>
      <c r="B636">
        <v>19</v>
      </c>
      <c r="C636">
        <v>7.3</v>
      </c>
      <c r="D636">
        <v>5</v>
      </c>
      <c r="E636">
        <v>0</v>
      </c>
      <c r="F636">
        <v>36.5</v>
      </c>
      <c r="G636" t="str">
        <f>VLOOKUP(VLOOKUP(order_details[[#This Row],[ProductID]], products[], 4, FALSE), categories[], 2, FALSE)</f>
        <v>Confections</v>
      </c>
      <c r="H636">
        <f>VLOOKUP(order_details[[#This Row],[ProductID]], products[], 4, FALSE)</f>
        <v>3</v>
      </c>
      <c r="I636" t="str">
        <f>VLOOKUP(order_details[[#This Row],[OrderID]], orders[[OrderID]:[ShipCountry]], 14, FALSE)</f>
        <v>Brazil</v>
      </c>
      <c r="J636" s="1">
        <f>_xlfn.XLOOKUP(order_details[[#This Row],[OrderID]], orders[OrderID], orders[Month])</f>
        <v>4</v>
      </c>
    </row>
    <row r="637" spans="1:10" x14ac:dyDescent="0.35">
      <c r="A637">
        <v>10487</v>
      </c>
      <c r="B637">
        <v>26</v>
      </c>
      <c r="C637">
        <v>24.9</v>
      </c>
      <c r="D637">
        <v>30</v>
      </c>
      <c r="E637">
        <v>0</v>
      </c>
      <c r="F637">
        <v>747</v>
      </c>
      <c r="G637" t="str">
        <f>VLOOKUP(VLOOKUP(order_details[[#This Row],[ProductID]], products[], 4, FALSE), categories[], 2, FALSE)</f>
        <v>Confections</v>
      </c>
      <c r="H637">
        <f>VLOOKUP(order_details[[#This Row],[ProductID]], products[], 4, FALSE)</f>
        <v>3</v>
      </c>
      <c r="I637" t="str">
        <f>VLOOKUP(order_details[[#This Row],[OrderID]], orders[[OrderID]:[ShipCountry]], 14, FALSE)</f>
        <v>Brazil</v>
      </c>
      <c r="J637" s="1">
        <f>_xlfn.XLOOKUP(order_details[[#This Row],[OrderID]], orders[OrderID], orders[Month])</f>
        <v>4</v>
      </c>
    </row>
    <row r="638" spans="1:10" x14ac:dyDescent="0.35">
      <c r="A638">
        <v>10487</v>
      </c>
      <c r="B638">
        <v>54</v>
      </c>
      <c r="C638">
        <v>5.9</v>
      </c>
      <c r="D638">
        <v>24</v>
      </c>
      <c r="E638">
        <v>0.25</v>
      </c>
      <c r="F638">
        <v>106.20000000000002</v>
      </c>
      <c r="G638" t="str">
        <f>VLOOKUP(VLOOKUP(order_details[[#This Row],[ProductID]], products[], 4, FALSE), categories[], 2, FALSE)</f>
        <v>Meat/Poultry</v>
      </c>
      <c r="H638">
        <f>VLOOKUP(order_details[[#This Row],[ProductID]], products[], 4, FALSE)</f>
        <v>6</v>
      </c>
      <c r="I638" t="str">
        <f>VLOOKUP(order_details[[#This Row],[OrderID]], orders[[OrderID]:[ShipCountry]], 14, FALSE)</f>
        <v>Brazil</v>
      </c>
      <c r="J638" s="1">
        <f>_xlfn.XLOOKUP(order_details[[#This Row],[OrderID]], orders[OrderID], orders[Month])</f>
        <v>4</v>
      </c>
    </row>
    <row r="639" spans="1:10" x14ac:dyDescent="0.35">
      <c r="A639">
        <v>10488</v>
      </c>
      <c r="B639">
        <v>59</v>
      </c>
      <c r="C639">
        <v>44</v>
      </c>
      <c r="D639">
        <v>30</v>
      </c>
      <c r="E639">
        <v>0</v>
      </c>
      <c r="F639">
        <v>1320</v>
      </c>
      <c r="G639" t="str">
        <f>VLOOKUP(VLOOKUP(order_details[[#This Row],[ProductID]], products[], 4, FALSE), categories[], 2, FALSE)</f>
        <v>Dairy Products</v>
      </c>
      <c r="H639">
        <f>VLOOKUP(order_details[[#This Row],[ProductID]], products[], 4, FALSE)</f>
        <v>4</v>
      </c>
      <c r="I639" t="str">
        <f>VLOOKUP(order_details[[#This Row],[OrderID]], orders[[OrderID]:[ShipCountry]], 14, FALSE)</f>
        <v>Germany</v>
      </c>
      <c r="J639" s="1">
        <f>_xlfn.XLOOKUP(order_details[[#This Row],[OrderID]], orders[OrderID], orders[Month])</f>
        <v>4</v>
      </c>
    </row>
    <row r="640" spans="1:10" x14ac:dyDescent="0.35">
      <c r="A640">
        <v>10488</v>
      </c>
      <c r="B640">
        <v>73</v>
      </c>
      <c r="C640">
        <v>12</v>
      </c>
      <c r="D640">
        <v>20</v>
      </c>
      <c r="E640">
        <v>0.2</v>
      </c>
      <c r="F640">
        <v>192</v>
      </c>
      <c r="G640" t="str">
        <f>VLOOKUP(VLOOKUP(order_details[[#This Row],[ProductID]], products[], 4, FALSE), categories[], 2, FALSE)</f>
        <v>Seafood</v>
      </c>
      <c r="H640">
        <f>VLOOKUP(order_details[[#This Row],[ProductID]], products[], 4, FALSE)</f>
        <v>8</v>
      </c>
      <c r="I640" t="str">
        <f>VLOOKUP(order_details[[#This Row],[OrderID]], orders[[OrderID]:[ShipCountry]], 14, FALSE)</f>
        <v>Germany</v>
      </c>
      <c r="J640" s="1">
        <f>_xlfn.XLOOKUP(order_details[[#This Row],[OrderID]], orders[OrderID], orders[Month])</f>
        <v>4</v>
      </c>
    </row>
    <row r="641" spans="1:10" x14ac:dyDescent="0.35">
      <c r="A641">
        <v>10489</v>
      </c>
      <c r="B641">
        <v>11</v>
      </c>
      <c r="C641">
        <v>16.8</v>
      </c>
      <c r="D641">
        <v>15</v>
      </c>
      <c r="E641">
        <v>0.25</v>
      </c>
      <c r="F641">
        <v>189</v>
      </c>
      <c r="G641" t="str">
        <f>VLOOKUP(VLOOKUP(order_details[[#This Row],[ProductID]], products[], 4, FALSE), categories[], 2, FALSE)</f>
        <v>Dairy Products</v>
      </c>
      <c r="H641">
        <f>VLOOKUP(order_details[[#This Row],[ProductID]], products[], 4, FALSE)</f>
        <v>4</v>
      </c>
      <c r="I641" t="str">
        <f>VLOOKUP(order_details[[#This Row],[OrderID]], orders[[OrderID]:[ShipCountry]], 14, FALSE)</f>
        <v>Austria</v>
      </c>
      <c r="J641" s="1">
        <f>_xlfn.XLOOKUP(order_details[[#This Row],[OrderID]], orders[OrderID], orders[Month])</f>
        <v>4</v>
      </c>
    </row>
    <row r="642" spans="1:10" x14ac:dyDescent="0.35">
      <c r="A642">
        <v>10489</v>
      </c>
      <c r="B642">
        <v>16</v>
      </c>
      <c r="C642">
        <v>13.9</v>
      </c>
      <c r="D642">
        <v>18</v>
      </c>
      <c r="E642">
        <v>0</v>
      </c>
      <c r="F642">
        <v>250.20000000000002</v>
      </c>
      <c r="G642" t="str">
        <f>VLOOKUP(VLOOKUP(order_details[[#This Row],[ProductID]], products[], 4, FALSE), categories[], 2, FALSE)</f>
        <v>Confections</v>
      </c>
      <c r="H642">
        <f>VLOOKUP(order_details[[#This Row],[ProductID]], products[], 4, FALSE)</f>
        <v>3</v>
      </c>
      <c r="I642" t="str">
        <f>VLOOKUP(order_details[[#This Row],[OrderID]], orders[[OrderID]:[ShipCountry]], 14, FALSE)</f>
        <v>Austria</v>
      </c>
      <c r="J642" s="1">
        <f>_xlfn.XLOOKUP(order_details[[#This Row],[OrderID]], orders[OrderID], orders[Month])</f>
        <v>4</v>
      </c>
    </row>
    <row r="643" spans="1:10" x14ac:dyDescent="0.35">
      <c r="A643">
        <v>10490</v>
      </c>
      <c r="B643">
        <v>59</v>
      </c>
      <c r="C643">
        <v>44</v>
      </c>
      <c r="D643">
        <v>60</v>
      </c>
      <c r="E643">
        <v>0</v>
      </c>
      <c r="F643">
        <v>2640</v>
      </c>
      <c r="G643" t="str">
        <f>VLOOKUP(VLOOKUP(order_details[[#This Row],[ProductID]], products[], 4, FALSE), categories[], 2, FALSE)</f>
        <v>Dairy Products</v>
      </c>
      <c r="H643">
        <f>VLOOKUP(order_details[[#This Row],[ProductID]], products[], 4, FALSE)</f>
        <v>4</v>
      </c>
      <c r="I643" t="str">
        <f>VLOOKUP(order_details[[#This Row],[OrderID]], orders[[OrderID]:[ShipCountry]], 14, FALSE)</f>
        <v>Venezuela</v>
      </c>
      <c r="J643" s="1">
        <f>_xlfn.XLOOKUP(order_details[[#This Row],[OrderID]], orders[OrderID], orders[Month])</f>
        <v>5</v>
      </c>
    </row>
    <row r="644" spans="1:10" x14ac:dyDescent="0.35">
      <c r="A644">
        <v>10490</v>
      </c>
      <c r="B644">
        <v>68</v>
      </c>
      <c r="C644">
        <v>10</v>
      </c>
      <c r="D644">
        <v>30</v>
      </c>
      <c r="E644">
        <v>0</v>
      </c>
      <c r="F644">
        <v>300</v>
      </c>
      <c r="G644" t="str">
        <f>VLOOKUP(VLOOKUP(order_details[[#This Row],[ProductID]], products[], 4, FALSE), categories[], 2, FALSE)</f>
        <v>Confections</v>
      </c>
      <c r="H644">
        <f>VLOOKUP(order_details[[#This Row],[ProductID]], products[], 4, FALSE)</f>
        <v>3</v>
      </c>
      <c r="I644" t="str">
        <f>VLOOKUP(order_details[[#This Row],[OrderID]], orders[[OrderID]:[ShipCountry]], 14, FALSE)</f>
        <v>Venezuela</v>
      </c>
      <c r="J644" s="1">
        <f>_xlfn.XLOOKUP(order_details[[#This Row],[OrderID]], orders[OrderID], orders[Month])</f>
        <v>5</v>
      </c>
    </row>
    <row r="645" spans="1:10" x14ac:dyDescent="0.35">
      <c r="A645">
        <v>10490</v>
      </c>
      <c r="B645">
        <v>75</v>
      </c>
      <c r="C645">
        <v>6.2</v>
      </c>
      <c r="D645">
        <v>36</v>
      </c>
      <c r="E645">
        <v>0</v>
      </c>
      <c r="F645">
        <v>223.20000000000002</v>
      </c>
      <c r="G645" t="str">
        <f>VLOOKUP(VLOOKUP(order_details[[#This Row],[ProductID]], products[], 4, FALSE), categories[], 2, FALSE)</f>
        <v>Beverages</v>
      </c>
      <c r="H645">
        <f>VLOOKUP(order_details[[#This Row],[ProductID]], products[], 4, FALSE)</f>
        <v>1</v>
      </c>
      <c r="I645" t="str">
        <f>VLOOKUP(order_details[[#This Row],[OrderID]], orders[[OrderID]:[ShipCountry]], 14, FALSE)</f>
        <v>Venezuela</v>
      </c>
      <c r="J645" s="1">
        <f>_xlfn.XLOOKUP(order_details[[#This Row],[OrderID]], orders[OrderID], orders[Month])</f>
        <v>5</v>
      </c>
    </row>
    <row r="646" spans="1:10" x14ac:dyDescent="0.35">
      <c r="A646">
        <v>10491</v>
      </c>
      <c r="B646">
        <v>44</v>
      </c>
      <c r="C646">
        <v>15.5</v>
      </c>
      <c r="D646">
        <v>15</v>
      </c>
      <c r="E646">
        <v>0.15</v>
      </c>
      <c r="F646">
        <v>197.625</v>
      </c>
      <c r="G646" t="str">
        <f>VLOOKUP(VLOOKUP(order_details[[#This Row],[ProductID]], products[], 4, FALSE), categories[], 2, FALSE)</f>
        <v>Condiments</v>
      </c>
      <c r="H646">
        <f>VLOOKUP(order_details[[#This Row],[ProductID]], products[], 4, FALSE)</f>
        <v>2</v>
      </c>
      <c r="I646" t="str">
        <f>VLOOKUP(order_details[[#This Row],[OrderID]], orders[[OrderID]:[ShipCountry]], 14, FALSE)</f>
        <v>Portugal</v>
      </c>
      <c r="J646" s="1">
        <f>_xlfn.XLOOKUP(order_details[[#This Row],[OrderID]], orders[OrderID], orders[Month])</f>
        <v>5</v>
      </c>
    </row>
    <row r="647" spans="1:10" x14ac:dyDescent="0.35">
      <c r="A647">
        <v>10491</v>
      </c>
      <c r="B647">
        <v>77</v>
      </c>
      <c r="C647">
        <v>10.4</v>
      </c>
      <c r="D647">
        <v>7</v>
      </c>
      <c r="E647">
        <v>0.15</v>
      </c>
      <c r="F647">
        <v>61.879999999999995</v>
      </c>
      <c r="G647" t="str">
        <f>VLOOKUP(VLOOKUP(order_details[[#This Row],[ProductID]], products[], 4, FALSE), categories[], 2, FALSE)</f>
        <v>Condiments</v>
      </c>
      <c r="H647">
        <f>VLOOKUP(order_details[[#This Row],[ProductID]], products[], 4, FALSE)</f>
        <v>2</v>
      </c>
      <c r="I647" t="str">
        <f>VLOOKUP(order_details[[#This Row],[OrderID]], orders[[OrderID]:[ShipCountry]], 14, FALSE)</f>
        <v>Portugal</v>
      </c>
      <c r="J647" s="1">
        <f>_xlfn.XLOOKUP(order_details[[#This Row],[OrderID]], orders[OrderID], orders[Month])</f>
        <v>5</v>
      </c>
    </row>
    <row r="648" spans="1:10" x14ac:dyDescent="0.35">
      <c r="A648">
        <v>10492</v>
      </c>
      <c r="B648">
        <v>25</v>
      </c>
      <c r="C648">
        <v>11.2</v>
      </c>
      <c r="D648">
        <v>60</v>
      </c>
      <c r="E648">
        <v>0.05</v>
      </c>
      <c r="F648">
        <v>638.4</v>
      </c>
      <c r="G648" t="str">
        <f>VLOOKUP(VLOOKUP(order_details[[#This Row],[ProductID]], products[], 4, FALSE), categories[], 2, FALSE)</f>
        <v>Confections</v>
      </c>
      <c r="H648">
        <f>VLOOKUP(order_details[[#This Row],[ProductID]], products[], 4, FALSE)</f>
        <v>3</v>
      </c>
      <c r="I648" t="str">
        <f>VLOOKUP(order_details[[#This Row],[OrderID]], orders[[OrderID]:[ShipCountry]], 14, FALSE)</f>
        <v>Canada</v>
      </c>
      <c r="J648" s="1">
        <f>_xlfn.XLOOKUP(order_details[[#This Row],[OrderID]], orders[OrderID], orders[Month])</f>
        <v>5</v>
      </c>
    </row>
    <row r="649" spans="1:10" x14ac:dyDescent="0.35">
      <c r="A649">
        <v>10492</v>
      </c>
      <c r="B649">
        <v>42</v>
      </c>
      <c r="C649">
        <v>11.2</v>
      </c>
      <c r="D649">
        <v>20</v>
      </c>
      <c r="E649">
        <v>0.05</v>
      </c>
      <c r="F649">
        <v>212.79999999999998</v>
      </c>
      <c r="G649" t="str">
        <f>VLOOKUP(VLOOKUP(order_details[[#This Row],[ProductID]], products[], 4, FALSE), categories[], 2, FALSE)</f>
        <v>Grains/Cereals</v>
      </c>
      <c r="H649">
        <f>VLOOKUP(order_details[[#This Row],[ProductID]], products[], 4, FALSE)</f>
        <v>5</v>
      </c>
      <c r="I649" t="str">
        <f>VLOOKUP(order_details[[#This Row],[OrderID]], orders[[OrderID]:[ShipCountry]], 14, FALSE)</f>
        <v>Canada</v>
      </c>
      <c r="J649" s="1">
        <f>_xlfn.XLOOKUP(order_details[[#This Row],[OrderID]], orders[OrderID], orders[Month])</f>
        <v>5</v>
      </c>
    </row>
    <row r="650" spans="1:10" x14ac:dyDescent="0.35">
      <c r="A650">
        <v>10493</v>
      </c>
      <c r="B650">
        <v>65</v>
      </c>
      <c r="C650">
        <v>16.8</v>
      </c>
      <c r="D650">
        <v>15</v>
      </c>
      <c r="E650">
        <v>0.1</v>
      </c>
      <c r="F650">
        <v>226.8</v>
      </c>
      <c r="G650" t="str">
        <f>VLOOKUP(VLOOKUP(order_details[[#This Row],[ProductID]], products[], 4, FALSE), categories[], 2, FALSE)</f>
        <v>Condiments</v>
      </c>
      <c r="H650">
        <f>VLOOKUP(order_details[[#This Row],[ProductID]], products[], 4, FALSE)</f>
        <v>2</v>
      </c>
      <c r="I650" t="str">
        <f>VLOOKUP(order_details[[#This Row],[OrderID]], orders[[OrderID]:[ShipCountry]], 14, FALSE)</f>
        <v>France</v>
      </c>
      <c r="J650" s="1">
        <f>_xlfn.XLOOKUP(order_details[[#This Row],[OrderID]], orders[OrderID], orders[Month])</f>
        <v>5</v>
      </c>
    </row>
    <row r="651" spans="1:10" x14ac:dyDescent="0.35">
      <c r="A651">
        <v>10493</v>
      </c>
      <c r="B651">
        <v>66</v>
      </c>
      <c r="C651">
        <v>13.6</v>
      </c>
      <c r="D651">
        <v>10</v>
      </c>
      <c r="E651">
        <v>0.1</v>
      </c>
      <c r="F651">
        <v>122.4</v>
      </c>
      <c r="G651" t="str">
        <f>VLOOKUP(VLOOKUP(order_details[[#This Row],[ProductID]], products[], 4, FALSE), categories[], 2, FALSE)</f>
        <v>Condiments</v>
      </c>
      <c r="H651">
        <f>VLOOKUP(order_details[[#This Row],[ProductID]], products[], 4, FALSE)</f>
        <v>2</v>
      </c>
      <c r="I651" t="str">
        <f>VLOOKUP(order_details[[#This Row],[OrderID]], orders[[OrderID]:[ShipCountry]], 14, FALSE)</f>
        <v>France</v>
      </c>
      <c r="J651" s="1">
        <f>_xlfn.XLOOKUP(order_details[[#This Row],[OrderID]], orders[OrderID], orders[Month])</f>
        <v>5</v>
      </c>
    </row>
    <row r="652" spans="1:10" x14ac:dyDescent="0.35">
      <c r="A652">
        <v>10493</v>
      </c>
      <c r="B652">
        <v>69</v>
      </c>
      <c r="C652">
        <v>28.8</v>
      </c>
      <c r="D652">
        <v>10</v>
      </c>
      <c r="E652">
        <v>0.1</v>
      </c>
      <c r="F652">
        <v>259.2</v>
      </c>
      <c r="G652" t="str">
        <f>VLOOKUP(VLOOKUP(order_details[[#This Row],[ProductID]], products[], 4, FALSE), categories[], 2, FALSE)</f>
        <v>Dairy Products</v>
      </c>
      <c r="H652">
        <f>VLOOKUP(order_details[[#This Row],[ProductID]], products[], 4, FALSE)</f>
        <v>4</v>
      </c>
      <c r="I652" t="str">
        <f>VLOOKUP(order_details[[#This Row],[OrderID]], orders[[OrderID]:[ShipCountry]], 14, FALSE)</f>
        <v>France</v>
      </c>
      <c r="J652" s="1">
        <f>_xlfn.XLOOKUP(order_details[[#This Row],[OrderID]], orders[OrderID], orders[Month])</f>
        <v>5</v>
      </c>
    </row>
    <row r="653" spans="1:10" x14ac:dyDescent="0.35">
      <c r="A653">
        <v>10494</v>
      </c>
      <c r="B653">
        <v>56</v>
      </c>
      <c r="C653">
        <v>30.4</v>
      </c>
      <c r="D653">
        <v>30</v>
      </c>
      <c r="E653">
        <v>0</v>
      </c>
      <c r="F653">
        <v>912</v>
      </c>
      <c r="G653" t="str">
        <f>VLOOKUP(VLOOKUP(order_details[[#This Row],[ProductID]], products[], 4, FALSE), categories[], 2, FALSE)</f>
        <v>Grains/Cereals</v>
      </c>
      <c r="H653">
        <f>VLOOKUP(order_details[[#This Row],[ProductID]], products[], 4, FALSE)</f>
        <v>5</v>
      </c>
      <c r="I653" t="str">
        <f>VLOOKUP(order_details[[#This Row],[OrderID]], orders[[OrderID]:[ShipCountry]], 14, FALSE)</f>
        <v>Brazil</v>
      </c>
      <c r="J653" s="1">
        <f>_xlfn.XLOOKUP(order_details[[#This Row],[OrderID]], orders[OrderID], orders[Month])</f>
        <v>5</v>
      </c>
    </row>
    <row r="654" spans="1:10" x14ac:dyDescent="0.35">
      <c r="A654">
        <v>10495</v>
      </c>
      <c r="B654">
        <v>23</v>
      </c>
      <c r="C654">
        <v>7.2</v>
      </c>
      <c r="D654">
        <v>10</v>
      </c>
      <c r="E654">
        <v>0</v>
      </c>
      <c r="F654">
        <v>72</v>
      </c>
      <c r="G654" t="str">
        <f>VLOOKUP(VLOOKUP(order_details[[#This Row],[ProductID]], products[], 4, FALSE), categories[], 2, FALSE)</f>
        <v>Grains/Cereals</v>
      </c>
      <c r="H654">
        <f>VLOOKUP(order_details[[#This Row],[ProductID]], products[], 4, FALSE)</f>
        <v>5</v>
      </c>
      <c r="I654" t="str">
        <f>VLOOKUP(order_details[[#This Row],[OrderID]], orders[[OrderID]:[ShipCountry]], 14, FALSE)</f>
        <v>Canada</v>
      </c>
      <c r="J654" s="1">
        <f>_xlfn.XLOOKUP(order_details[[#This Row],[OrderID]], orders[OrderID], orders[Month])</f>
        <v>5</v>
      </c>
    </row>
    <row r="655" spans="1:10" x14ac:dyDescent="0.35">
      <c r="A655">
        <v>10495</v>
      </c>
      <c r="B655">
        <v>41</v>
      </c>
      <c r="C655">
        <v>7.7</v>
      </c>
      <c r="D655">
        <v>20</v>
      </c>
      <c r="E655">
        <v>0</v>
      </c>
      <c r="F655">
        <v>154</v>
      </c>
      <c r="G655" t="str">
        <f>VLOOKUP(VLOOKUP(order_details[[#This Row],[ProductID]], products[], 4, FALSE), categories[], 2, FALSE)</f>
        <v>Seafood</v>
      </c>
      <c r="H655">
        <f>VLOOKUP(order_details[[#This Row],[ProductID]], products[], 4, FALSE)</f>
        <v>8</v>
      </c>
      <c r="I655" t="str">
        <f>VLOOKUP(order_details[[#This Row],[OrderID]], orders[[OrderID]:[ShipCountry]], 14, FALSE)</f>
        <v>Canada</v>
      </c>
      <c r="J655" s="1">
        <f>_xlfn.XLOOKUP(order_details[[#This Row],[OrderID]], orders[OrderID], orders[Month])</f>
        <v>5</v>
      </c>
    </row>
    <row r="656" spans="1:10" x14ac:dyDescent="0.35">
      <c r="A656">
        <v>10495</v>
      </c>
      <c r="B656">
        <v>77</v>
      </c>
      <c r="C656">
        <v>10.4</v>
      </c>
      <c r="D656">
        <v>5</v>
      </c>
      <c r="E656">
        <v>0</v>
      </c>
      <c r="F656">
        <v>52</v>
      </c>
      <c r="G656" t="str">
        <f>VLOOKUP(VLOOKUP(order_details[[#This Row],[ProductID]], products[], 4, FALSE), categories[], 2, FALSE)</f>
        <v>Condiments</v>
      </c>
      <c r="H656">
        <f>VLOOKUP(order_details[[#This Row],[ProductID]], products[], 4, FALSE)</f>
        <v>2</v>
      </c>
      <c r="I656" t="str">
        <f>VLOOKUP(order_details[[#This Row],[OrderID]], orders[[OrderID]:[ShipCountry]], 14, FALSE)</f>
        <v>Canada</v>
      </c>
      <c r="J656" s="1">
        <f>_xlfn.XLOOKUP(order_details[[#This Row],[OrderID]], orders[OrderID], orders[Month])</f>
        <v>5</v>
      </c>
    </row>
    <row r="657" spans="1:10" x14ac:dyDescent="0.35">
      <c r="A657">
        <v>10496</v>
      </c>
      <c r="B657">
        <v>31</v>
      </c>
      <c r="C657">
        <v>10</v>
      </c>
      <c r="D657">
        <v>20</v>
      </c>
      <c r="E657">
        <v>0.05</v>
      </c>
      <c r="F657">
        <v>190</v>
      </c>
      <c r="G657" t="str">
        <f>VLOOKUP(VLOOKUP(order_details[[#This Row],[ProductID]], products[], 4, FALSE), categories[], 2, FALSE)</f>
        <v>Dairy Products</v>
      </c>
      <c r="H657">
        <f>VLOOKUP(order_details[[#This Row],[ProductID]], products[], 4, FALSE)</f>
        <v>4</v>
      </c>
      <c r="I657" t="str">
        <f>VLOOKUP(order_details[[#This Row],[OrderID]], orders[[OrderID]:[ShipCountry]], 14, FALSE)</f>
        <v>Brazil</v>
      </c>
      <c r="J657" s="1">
        <f>_xlfn.XLOOKUP(order_details[[#This Row],[OrderID]], orders[OrderID], orders[Month])</f>
        <v>5</v>
      </c>
    </row>
    <row r="658" spans="1:10" x14ac:dyDescent="0.35">
      <c r="A658">
        <v>10497</v>
      </c>
      <c r="B658">
        <v>56</v>
      </c>
      <c r="C658">
        <v>30.4</v>
      </c>
      <c r="D658">
        <v>14</v>
      </c>
      <c r="E658">
        <v>0</v>
      </c>
      <c r="F658">
        <v>425.59999999999997</v>
      </c>
      <c r="G658" t="str">
        <f>VLOOKUP(VLOOKUP(order_details[[#This Row],[ProductID]], products[], 4, FALSE), categories[], 2, FALSE)</f>
        <v>Grains/Cereals</v>
      </c>
      <c r="H658">
        <f>VLOOKUP(order_details[[#This Row],[ProductID]], products[], 4, FALSE)</f>
        <v>5</v>
      </c>
      <c r="I658" t="str">
        <f>VLOOKUP(order_details[[#This Row],[OrderID]], orders[[OrderID]:[ShipCountry]], 14, FALSE)</f>
        <v>Germany</v>
      </c>
      <c r="J658" s="1">
        <f>_xlfn.XLOOKUP(order_details[[#This Row],[OrderID]], orders[OrderID], orders[Month])</f>
        <v>5</v>
      </c>
    </row>
    <row r="659" spans="1:10" x14ac:dyDescent="0.35">
      <c r="A659">
        <v>10497</v>
      </c>
      <c r="B659">
        <v>72</v>
      </c>
      <c r="C659">
        <v>27.8</v>
      </c>
      <c r="D659">
        <v>25</v>
      </c>
      <c r="E659">
        <v>0</v>
      </c>
      <c r="F659">
        <v>695</v>
      </c>
      <c r="G659" t="str">
        <f>VLOOKUP(VLOOKUP(order_details[[#This Row],[ProductID]], products[], 4, FALSE), categories[], 2, FALSE)</f>
        <v>Dairy Products</v>
      </c>
      <c r="H659">
        <f>VLOOKUP(order_details[[#This Row],[ProductID]], products[], 4, FALSE)</f>
        <v>4</v>
      </c>
      <c r="I659" t="str">
        <f>VLOOKUP(order_details[[#This Row],[OrderID]], orders[[OrderID]:[ShipCountry]], 14, FALSE)</f>
        <v>Germany</v>
      </c>
      <c r="J659" s="1">
        <f>_xlfn.XLOOKUP(order_details[[#This Row],[OrderID]], orders[OrderID], orders[Month])</f>
        <v>5</v>
      </c>
    </row>
    <row r="660" spans="1:10" x14ac:dyDescent="0.35">
      <c r="A660">
        <v>10497</v>
      </c>
      <c r="B660">
        <v>77</v>
      </c>
      <c r="C660">
        <v>10.4</v>
      </c>
      <c r="D660">
        <v>25</v>
      </c>
      <c r="E660">
        <v>0</v>
      </c>
      <c r="F660">
        <v>260</v>
      </c>
      <c r="G660" t="str">
        <f>VLOOKUP(VLOOKUP(order_details[[#This Row],[ProductID]], products[], 4, FALSE), categories[], 2, FALSE)</f>
        <v>Condiments</v>
      </c>
      <c r="H660">
        <f>VLOOKUP(order_details[[#This Row],[ProductID]], products[], 4, FALSE)</f>
        <v>2</v>
      </c>
      <c r="I660" t="str">
        <f>VLOOKUP(order_details[[#This Row],[OrderID]], orders[[OrderID]:[ShipCountry]], 14, FALSE)</f>
        <v>Germany</v>
      </c>
      <c r="J660" s="1">
        <f>_xlfn.XLOOKUP(order_details[[#This Row],[OrderID]], orders[OrderID], orders[Month])</f>
        <v>5</v>
      </c>
    </row>
    <row r="661" spans="1:10" x14ac:dyDescent="0.35">
      <c r="A661">
        <v>10498</v>
      </c>
      <c r="B661">
        <v>24</v>
      </c>
      <c r="C661">
        <v>4.5</v>
      </c>
      <c r="D661">
        <v>14</v>
      </c>
      <c r="E661">
        <v>0</v>
      </c>
      <c r="F661">
        <v>63</v>
      </c>
      <c r="G661" t="str">
        <f>VLOOKUP(VLOOKUP(order_details[[#This Row],[ProductID]], products[], 4, FALSE), categories[], 2, FALSE)</f>
        <v>Beverages</v>
      </c>
      <c r="H661">
        <f>VLOOKUP(order_details[[#This Row],[ProductID]], products[], 4, FALSE)</f>
        <v>1</v>
      </c>
      <c r="I661" t="str">
        <f>VLOOKUP(order_details[[#This Row],[OrderID]], orders[[OrderID]:[ShipCountry]], 14, FALSE)</f>
        <v>Venezuela</v>
      </c>
      <c r="J661" s="1">
        <f>_xlfn.XLOOKUP(order_details[[#This Row],[OrderID]], orders[OrderID], orders[Month])</f>
        <v>5</v>
      </c>
    </row>
    <row r="662" spans="1:10" x14ac:dyDescent="0.35">
      <c r="A662">
        <v>10498</v>
      </c>
      <c r="B662">
        <v>40</v>
      </c>
      <c r="C662">
        <v>18.399999999999999</v>
      </c>
      <c r="D662">
        <v>5</v>
      </c>
      <c r="E662">
        <v>0</v>
      </c>
      <c r="F662">
        <v>92</v>
      </c>
      <c r="G662" t="str">
        <f>VLOOKUP(VLOOKUP(order_details[[#This Row],[ProductID]], products[], 4, FALSE), categories[], 2, FALSE)</f>
        <v>Seafood</v>
      </c>
      <c r="H662">
        <f>VLOOKUP(order_details[[#This Row],[ProductID]], products[], 4, FALSE)</f>
        <v>8</v>
      </c>
      <c r="I662" t="str">
        <f>VLOOKUP(order_details[[#This Row],[OrderID]], orders[[OrderID]:[ShipCountry]], 14, FALSE)</f>
        <v>Venezuela</v>
      </c>
      <c r="J662" s="1">
        <f>_xlfn.XLOOKUP(order_details[[#This Row],[OrderID]], orders[OrderID], orders[Month])</f>
        <v>5</v>
      </c>
    </row>
    <row r="663" spans="1:10" x14ac:dyDescent="0.35">
      <c r="A663">
        <v>10498</v>
      </c>
      <c r="B663">
        <v>42</v>
      </c>
      <c r="C663">
        <v>14</v>
      </c>
      <c r="D663">
        <v>30</v>
      </c>
      <c r="E663">
        <v>0</v>
      </c>
      <c r="F663">
        <v>420</v>
      </c>
      <c r="G663" t="str">
        <f>VLOOKUP(VLOOKUP(order_details[[#This Row],[ProductID]], products[], 4, FALSE), categories[], 2, FALSE)</f>
        <v>Grains/Cereals</v>
      </c>
      <c r="H663">
        <f>VLOOKUP(order_details[[#This Row],[ProductID]], products[], 4, FALSE)</f>
        <v>5</v>
      </c>
      <c r="I663" t="str">
        <f>VLOOKUP(order_details[[#This Row],[OrderID]], orders[[OrderID]:[ShipCountry]], 14, FALSE)</f>
        <v>Venezuela</v>
      </c>
      <c r="J663" s="1">
        <f>_xlfn.XLOOKUP(order_details[[#This Row],[OrderID]], orders[OrderID], orders[Month])</f>
        <v>5</v>
      </c>
    </row>
    <row r="664" spans="1:10" x14ac:dyDescent="0.35">
      <c r="A664">
        <v>10499</v>
      </c>
      <c r="B664">
        <v>28</v>
      </c>
      <c r="C664">
        <v>45.6</v>
      </c>
      <c r="D664">
        <v>20</v>
      </c>
      <c r="E664">
        <v>0</v>
      </c>
      <c r="F664">
        <v>912</v>
      </c>
      <c r="G664" t="str">
        <f>VLOOKUP(VLOOKUP(order_details[[#This Row],[ProductID]], products[], 4, FALSE), categories[], 2, FALSE)</f>
        <v>Produce</v>
      </c>
      <c r="H664">
        <f>VLOOKUP(order_details[[#This Row],[ProductID]], products[], 4, FALSE)</f>
        <v>7</v>
      </c>
      <c r="I664" t="str">
        <f>VLOOKUP(order_details[[#This Row],[OrderID]], orders[[OrderID]:[ShipCountry]], 14, FALSE)</f>
        <v>Venezuela</v>
      </c>
      <c r="J664" s="1">
        <f>_xlfn.XLOOKUP(order_details[[#This Row],[OrderID]], orders[OrderID], orders[Month])</f>
        <v>5</v>
      </c>
    </row>
    <row r="665" spans="1:10" x14ac:dyDescent="0.35">
      <c r="A665">
        <v>10499</v>
      </c>
      <c r="B665">
        <v>49</v>
      </c>
      <c r="C665">
        <v>20</v>
      </c>
      <c r="D665">
        <v>25</v>
      </c>
      <c r="E665">
        <v>0</v>
      </c>
      <c r="F665">
        <v>500</v>
      </c>
      <c r="G665" t="str">
        <f>VLOOKUP(VLOOKUP(order_details[[#This Row],[ProductID]], products[], 4, FALSE), categories[], 2, FALSE)</f>
        <v>Confections</v>
      </c>
      <c r="H665">
        <f>VLOOKUP(order_details[[#This Row],[ProductID]], products[], 4, FALSE)</f>
        <v>3</v>
      </c>
      <c r="I665" t="str">
        <f>VLOOKUP(order_details[[#This Row],[OrderID]], orders[[OrderID]:[ShipCountry]], 14, FALSE)</f>
        <v>Venezuela</v>
      </c>
      <c r="J665" s="1">
        <f>_xlfn.XLOOKUP(order_details[[#This Row],[OrderID]], orders[OrderID], orders[Month])</f>
        <v>5</v>
      </c>
    </row>
    <row r="666" spans="1:10" x14ac:dyDescent="0.35">
      <c r="A666">
        <v>10500</v>
      </c>
      <c r="B666">
        <v>15</v>
      </c>
      <c r="C666">
        <v>15.5</v>
      </c>
      <c r="D666">
        <v>12</v>
      </c>
      <c r="E666">
        <v>0.05</v>
      </c>
      <c r="F666">
        <v>176.7</v>
      </c>
      <c r="G666" t="str">
        <f>VLOOKUP(VLOOKUP(order_details[[#This Row],[ProductID]], products[], 4, FALSE), categories[], 2, FALSE)</f>
        <v>Condiments</v>
      </c>
      <c r="H666">
        <f>VLOOKUP(order_details[[#This Row],[ProductID]], products[], 4, FALSE)</f>
        <v>2</v>
      </c>
      <c r="I666" t="str">
        <f>VLOOKUP(order_details[[#This Row],[OrderID]], orders[[OrderID]:[ShipCountry]], 14, FALSE)</f>
        <v>France</v>
      </c>
      <c r="J666" s="1">
        <f>_xlfn.XLOOKUP(order_details[[#This Row],[OrderID]], orders[OrderID], orders[Month])</f>
        <v>5</v>
      </c>
    </row>
    <row r="667" spans="1:10" x14ac:dyDescent="0.35">
      <c r="A667">
        <v>10500</v>
      </c>
      <c r="B667">
        <v>28</v>
      </c>
      <c r="C667">
        <v>45.6</v>
      </c>
      <c r="D667">
        <v>8</v>
      </c>
      <c r="E667">
        <v>0.05</v>
      </c>
      <c r="F667">
        <v>346.56</v>
      </c>
      <c r="G667" t="str">
        <f>VLOOKUP(VLOOKUP(order_details[[#This Row],[ProductID]], products[], 4, FALSE), categories[], 2, FALSE)</f>
        <v>Produce</v>
      </c>
      <c r="H667">
        <f>VLOOKUP(order_details[[#This Row],[ProductID]], products[], 4, FALSE)</f>
        <v>7</v>
      </c>
      <c r="I667" t="str">
        <f>VLOOKUP(order_details[[#This Row],[OrderID]], orders[[OrderID]:[ShipCountry]], 14, FALSE)</f>
        <v>France</v>
      </c>
      <c r="J667" s="1">
        <f>_xlfn.XLOOKUP(order_details[[#This Row],[OrderID]], orders[OrderID], orders[Month])</f>
        <v>5</v>
      </c>
    </row>
    <row r="668" spans="1:10" x14ac:dyDescent="0.35">
      <c r="A668">
        <v>10501</v>
      </c>
      <c r="B668">
        <v>54</v>
      </c>
      <c r="C668">
        <v>7.45</v>
      </c>
      <c r="D668">
        <v>20</v>
      </c>
      <c r="E668">
        <v>0</v>
      </c>
      <c r="F668">
        <v>149</v>
      </c>
      <c r="G668" t="str">
        <f>VLOOKUP(VLOOKUP(order_details[[#This Row],[ProductID]], products[], 4, FALSE), categories[], 2, FALSE)</f>
        <v>Meat/Poultry</v>
      </c>
      <c r="H668">
        <f>VLOOKUP(order_details[[#This Row],[ProductID]], products[], 4, FALSE)</f>
        <v>6</v>
      </c>
      <c r="I668" t="str">
        <f>VLOOKUP(order_details[[#This Row],[OrderID]], orders[[OrderID]:[ShipCountry]], 14, FALSE)</f>
        <v>Germany</v>
      </c>
      <c r="J668" s="1">
        <f>_xlfn.XLOOKUP(order_details[[#This Row],[OrderID]], orders[OrderID], orders[Month])</f>
        <v>5</v>
      </c>
    </row>
    <row r="669" spans="1:10" x14ac:dyDescent="0.35">
      <c r="A669">
        <v>10502</v>
      </c>
      <c r="B669">
        <v>45</v>
      </c>
      <c r="C669">
        <v>9.5</v>
      </c>
      <c r="D669">
        <v>21</v>
      </c>
      <c r="E669">
        <v>0</v>
      </c>
      <c r="F669">
        <v>199.5</v>
      </c>
      <c r="G669" t="str">
        <f>VLOOKUP(VLOOKUP(order_details[[#This Row],[ProductID]], products[], 4, FALSE), categories[], 2, FALSE)</f>
        <v>Seafood</v>
      </c>
      <c r="H669">
        <f>VLOOKUP(order_details[[#This Row],[ProductID]], products[], 4, FALSE)</f>
        <v>8</v>
      </c>
      <c r="I669" t="str">
        <f>VLOOKUP(order_details[[#This Row],[OrderID]], orders[[OrderID]:[ShipCountry]], 14, FALSE)</f>
        <v>Mexico</v>
      </c>
      <c r="J669" s="1">
        <f>_xlfn.XLOOKUP(order_details[[#This Row],[OrderID]], orders[OrderID], orders[Month])</f>
        <v>5</v>
      </c>
    </row>
    <row r="670" spans="1:10" x14ac:dyDescent="0.35">
      <c r="A670">
        <v>10502</v>
      </c>
      <c r="B670">
        <v>53</v>
      </c>
      <c r="C670">
        <v>32.799999999999997</v>
      </c>
      <c r="D670">
        <v>6</v>
      </c>
      <c r="E670">
        <v>0</v>
      </c>
      <c r="F670">
        <v>196.79999999999998</v>
      </c>
      <c r="G670" t="str">
        <f>VLOOKUP(VLOOKUP(order_details[[#This Row],[ProductID]], products[], 4, FALSE), categories[], 2, FALSE)</f>
        <v>Meat/Poultry</v>
      </c>
      <c r="H670">
        <f>VLOOKUP(order_details[[#This Row],[ProductID]], products[], 4, FALSE)</f>
        <v>6</v>
      </c>
      <c r="I670" t="str">
        <f>VLOOKUP(order_details[[#This Row],[OrderID]], orders[[OrderID]:[ShipCountry]], 14, FALSE)</f>
        <v>Mexico</v>
      </c>
      <c r="J670" s="1">
        <f>_xlfn.XLOOKUP(order_details[[#This Row],[OrderID]], orders[OrderID], orders[Month])</f>
        <v>5</v>
      </c>
    </row>
    <row r="671" spans="1:10" x14ac:dyDescent="0.35">
      <c r="A671">
        <v>10502</v>
      </c>
      <c r="B671">
        <v>67</v>
      </c>
      <c r="C671">
        <v>14</v>
      </c>
      <c r="D671">
        <v>30</v>
      </c>
      <c r="E671">
        <v>0</v>
      </c>
      <c r="F671">
        <v>420</v>
      </c>
      <c r="G671" t="str">
        <f>VLOOKUP(VLOOKUP(order_details[[#This Row],[ProductID]], products[], 4, FALSE), categories[], 2, FALSE)</f>
        <v>Beverages</v>
      </c>
      <c r="H671">
        <f>VLOOKUP(order_details[[#This Row],[ProductID]], products[], 4, FALSE)</f>
        <v>1</v>
      </c>
      <c r="I671" t="str">
        <f>VLOOKUP(order_details[[#This Row],[OrderID]], orders[[OrderID]:[ShipCountry]], 14, FALSE)</f>
        <v>Mexico</v>
      </c>
      <c r="J671" s="1">
        <f>_xlfn.XLOOKUP(order_details[[#This Row],[OrderID]], orders[OrderID], orders[Month])</f>
        <v>5</v>
      </c>
    </row>
    <row r="672" spans="1:10" x14ac:dyDescent="0.35">
      <c r="A672">
        <v>10503</v>
      </c>
      <c r="B672">
        <v>14</v>
      </c>
      <c r="C672">
        <v>23.25</v>
      </c>
      <c r="D672">
        <v>70</v>
      </c>
      <c r="E672">
        <v>0</v>
      </c>
      <c r="F672">
        <v>1627.5</v>
      </c>
      <c r="G672" t="str">
        <f>VLOOKUP(VLOOKUP(order_details[[#This Row],[ProductID]], products[], 4, FALSE), categories[], 2, FALSE)</f>
        <v>Produce</v>
      </c>
      <c r="H672">
        <f>VLOOKUP(order_details[[#This Row],[ProductID]], products[], 4, FALSE)</f>
        <v>7</v>
      </c>
      <c r="I672" t="str">
        <f>VLOOKUP(order_details[[#This Row],[OrderID]], orders[[OrderID]:[ShipCountry]], 14, FALSE)</f>
        <v>Ireland</v>
      </c>
      <c r="J672" s="1">
        <f>_xlfn.XLOOKUP(order_details[[#This Row],[OrderID]], orders[OrderID], orders[Month])</f>
        <v>5</v>
      </c>
    </row>
    <row r="673" spans="1:10" x14ac:dyDescent="0.35">
      <c r="A673">
        <v>10503</v>
      </c>
      <c r="B673">
        <v>65</v>
      </c>
      <c r="C673">
        <v>21.05</v>
      </c>
      <c r="D673">
        <v>20</v>
      </c>
      <c r="E673">
        <v>0</v>
      </c>
      <c r="F673">
        <v>421</v>
      </c>
      <c r="G673" t="str">
        <f>VLOOKUP(VLOOKUP(order_details[[#This Row],[ProductID]], products[], 4, FALSE), categories[], 2, FALSE)</f>
        <v>Condiments</v>
      </c>
      <c r="H673">
        <f>VLOOKUP(order_details[[#This Row],[ProductID]], products[], 4, FALSE)</f>
        <v>2</v>
      </c>
      <c r="I673" t="str">
        <f>VLOOKUP(order_details[[#This Row],[OrderID]], orders[[OrderID]:[ShipCountry]], 14, FALSE)</f>
        <v>Ireland</v>
      </c>
      <c r="J673" s="1">
        <f>_xlfn.XLOOKUP(order_details[[#This Row],[OrderID]], orders[OrderID], orders[Month])</f>
        <v>5</v>
      </c>
    </row>
    <row r="674" spans="1:10" x14ac:dyDescent="0.35">
      <c r="A674">
        <v>10504</v>
      </c>
      <c r="B674">
        <v>2</v>
      </c>
      <c r="C674">
        <v>19</v>
      </c>
      <c r="D674">
        <v>12</v>
      </c>
      <c r="E674">
        <v>0</v>
      </c>
      <c r="F674">
        <v>228</v>
      </c>
      <c r="G674" t="str">
        <f>VLOOKUP(VLOOKUP(order_details[[#This Row],[ProductID]], products[], 4, FALSE), categories[], 2, FALSE)</f>
        <v>Beverages</v>
      </c>
      <c r="H674">
        <f>VLOOKUP(order_details[[#This Row],[ProductID]], products[], 4, FALSE)</f>
        <v>1</v>
      </c>
      <c r="I674" t="str">
        <f>VLOOKUP(order_details[[#This Row],[OrderID]], orders[[OrderID]:[ShipCountry]], 14, FALSE)</f>
        <v>USA</v>
      </c>
      <c r="J674" s="1">
        <f>_xlfn.XLOOKUP(order_details[[#This Row],[OrderID]], orders[OrderID], orders[Month])</f>
        <v>5</v>
      </c>
    </row>
    <row r="675" spans="1:10" x14ac:dyDescent="0.35">
      <c r="A675">
        <v>10504</v>
      </c>
      <c r="B675">
        <v>21</v>
      </c>
      <c r="C675">
        <v>10</v>
      </c>
      <c r="D675">
        <v>12</v>
      </c>
      <c r="E675">
        <v>0</v>
      </c>
      <c r="F675">
        <v>120</v>
      </c>
      <c r="G675" t="str">
        <f>VLOOKUP(VLOOKUP(order_details[[#This Row],[ProductID]], products[], 4, FALSE), categories[], 2, FALSE)</f>
        <v>Confections</v>
      </c>
      <c r="H675">
        <f>VLOOKUP(order_details[[#This Row],[ProductID]], products[], 4, FALSE)</f>
        <v>3</v>
      </c>
      <c r="I675" t="str">
        <f>VLOOKUP(order_details[[#This Row],[OrderID]], orders[[OrderID]:[ShipCountry]], 14, FALSE)</f>
        <v>USA</v>
      </c>
      <c r="J675" s="1">
        <f>_xlfn.XLOOKUP(order_details[[#This Row],[OrderID]], orders[OrderID], orders[Month])</f>
        <v>5</v>
      </c>
    </row>
    <row r="676" spans="1:10" x14ac:dyDescent="0.35">
      <c r="A676">
        <v>10504</v>
      </c>
      <c r="B676">
        <v>53</v>
      </c>
      <c r="C676">
        <v>32.799999999999997</v>
      </c>
      <c r="D676">
        <v>10</v>
      </c>
      <c r="E676">
        <v>0</v>
      </c>
      <c r="F676">
        <v>328</v>
      </c>
      <c r="G676" t="str">
        <f>VLOOKUP(VLOOKUP(order_details[[#This Row],[ProductID]], products[], 4, FALSE), categories[], 2, FALSE)</f>
        <v>Meat/Poultry</v>
      </c>
      <c r="H676">
        <f>VLOOKUP(order_details[[#This Row],[ProductID]], products[], 4, FALSE)</f>
        <v>6</v>
      </c>
      <c r="I676" t="str">
        <f>VLOOKUP(order_details[[#This Row],[OrderID]], orders[[OrderID]:[ShipCountry]], 14, FALSE)</f>
        <v>USA</v>
      </c>
      <c r="J676" s="1">
        <f>_xlfn.XLOOKUP(order_details[[#This Row],[OrderID]], orders[OrderID], orders[Month])</f>
        <v>5</v>
      </c>
    </row>
    <row r="677" spans="1:10" x14ac:dyDescent="0.35">
      <c r="A677">
        <v>10504</v>
      </c>
      <c r="B677">
        <v>61</v>
      </c>
      <c r="C677">
        <v>28.5</v>
      </c>
      <c r="D677">
        <v>25</v>
      </c>
      <c r="E677">
        <v>0</v>
      </c>
      <c r="F677">
        <v>712.5</v>
      </c>
      <c r="G677" t="str">
        <f>VLOOKUP(VLOOKUP(order_details[[#This Row],[ProductID]], products[], 4, FALSE), categories[], 2, FALSE)</f>
        <v>Condiments</v>
      </c>
      <c r="H677">
        <f>VLOOKUP(order_details[[#This Row],[ProductID]], products[], 4, FALSE)</f>
        <v>2</v>
      </c>
      <c r="I677" t="str">
        <f>VLOOKUP(order_details[[#This Row],[OrderID]], orders[[OrderID]:[ShipCountry]], 14, FALSE)</f>
        <v>USA</v>
      </c>
      <c r="J677" s="1">
        <f>_xlfn.XLOOKUP(order_details[[#This Row],[OrderID]], orders[OrderID], orders[Month])</f>
        <v>5</v>
      </c>
    </row>
    <row r="678" spans="1:10" x14ac:dyDescent="0.35">
      <c r="A678">
        <v>10505</v>
      </c>
      <c r="B678">
        <v>62</v>
      </c>
      <c r="C678">
        <v>49.3</v>
      </c>
      <c r="D678">
        <v>3</v>
      </c>
      <c r="E678">
        <v>0</v>
      </c>
      <c r="F678">
        <v>147.89999999999998</v>
      </c>
      <c r="G678" t="str">
        <f>VLOOKUP(VLOOKUP(order_details[[#This Row],[ProductID]], products[], 4, FALSE), categories[], 2, FALSE)</f>
        <v>Confections</v>
      </c>
      <c r="H678">
        <f>VLOOKUP(order_details[[#This Row],[ProductID]], products[], 4, FALSE)</f>
        <v>3</v>
      </c>
      <c r="I678" t="str">
        <f>VLOOKUP(order_details[[#This Row],[OrderID]], orders[[OrderID]:[ShipCountry]], 14, FALSE)</f>
        <v>Canada</v>
      </c>
      <c r="J678" s="1">
        <f>_xlfn.XLOOKUP(order_details[[#This Row],[OrderID]], orders[OrderID], orders[Month])</f>
        <v>5</v>
      </c>
    </row>
    <row r="679" spans="1:10" x14ac:dyDescent="0.35">
      <c r="A679">
        <v>10506</v>
      </c>
      <c r="B679">
        <v>25</v>
      </c>
      <c r="C679">
        <v>14</v>
      </c>
      <c r="D679">
        <v>18</v>
      </c>
      <c r="E679">
        <v>0.1</v>
      </c>
      <c r="F679">
        <v>226.8</v>
      </c>
      <c r="G679" t="str">
        <f>VLOOKUP(VLOOKUP(order_details[[#This Row],[ProductID]], products[], 4, FALSE), categories[], 2, FALSE)</f>
        <v>Confections</v>
      </c>
      <c r="H679">
        <f>VLOOKUP(order_details[[#This Row],[ProductID]], products[], 4, FALSE)</f>
        <v>3</v>
      </c>
      <c r="I679" t="str">
        <f>VLOOKUP(order_details[[#This Row],[OrderID]], orders[[OrderID]:[ShipCountry]], 14, FALSE)</f>
        <v>Germany</v>
      </c>
      <c r="J679" s="1">
        <f>_xlfn.XLOOKUP(order_details[[#This Row],[OrderID]], orders[OrderID], orders[Month])</f>
        <v>5</v>
      </c>
    </row>
    <row r="680" spans="1:10" x14ac:dyDescent="0.35">
      <c r="A680">
        <v>10506</v>
      </c>
      <c r="B680">
        <v>70</v>
      </c>
      <c r="C680">
        <v>15</v>
      </c>
      <c r="D680">
        <v>14</v>
      </c>
      <c r="E680">
        <v>0.1</v>
      </c>
      <c r="F680">
        <v>189</v>
      </c>
      <c r="G680" t="str">
        <f>VLOOKUP(VLOOKUP(order_details[[#This Row],[ProductID]], products[], 4, FALSE), categories[], 2, FALSE)</f>
        <v>Beverages</v>
      </c>
      <c r="H680">
        <f>VLOOKUP(order_details[[#This Row],[ProductID]], products[], 4, FALSE)</f>
        <v>1</v>
      </c>
      <c r="I680" t="str">
        <f>VLOOKUP(order_details[[#This Row],[OrderID]], orders[[OrderID]:[ShipCountry]], 14, FALSE)</f>
        <v>Germany</v>
      </c>
      <c r="J680" s="1">
        <f>_xlfn.XLOOKUP(order_details[[#This Row],[OrderID]], orders[OrderID], orders[Month])</f>
        <v>5</v>
      </c>
    </row>
    <row r="681" spans="1:10" x14ac:dyDescent="0.35">
      <c r="A681">
        <v>10507</v>
      </c>
      <c r="B681">
        <v>43</v>
      </c>
      <c r="C681">
        <v>46</v>
      </c>
      <c r="D681">
        <v>15</v>
      </c>
      <c r="E681">
        <v>0.15</v>
      </c>
      <c r="F681">
        <v>586.5</v>
      </c>
      <c r="G681" t="str">
        <f>VLOOKUP(VLOOKUP(order_details[[#This Row],[ProductID]], products[], 4, FALSE), categories[], 2, FALSE)</f>
        <v>Beverages</v>
      </c>
      <c r="H681">
        <f>VLOOKUP(order_details[[#This Row],[ProductID]], products[], 4, FALSE)</f>
        <v>1</v>
      </c>
      <c r="I681" t="str">
        <f>VLOOKUP(order_details[[#This Row],[OrderID]], orders[[OrderID]:[ShipCountry]], 14, FALSE)</f>
        <v>Mexico</v>
      </c>
      <c r="J681" s="1">
        <f>_xlfn.XLOOKUP(order_details[[#This Row],[OrderID]], orders[OrderID], orders[Month])</f>
        <v>5</v>
      </c>
    </row>
    <row r="682" spans="1:10" x14ac:dyDescent="0.35">
      <c r="A682">
        <v>10507</v>
      </c>
      <c r="B682">
        <v>48</v>
      </c>
      <c r="C682">
        <v>12.75</v>
      </c>
      <c r="D682">
        <v>15</v>
      </c>
      <c r="E682">
        <v>0.15</v>
      </c>
      <c r="F682">
        <v>162.5625</v>
      </c>
      <c r="G682" t="str">
        <f>VLOOKUP(VLOOKUP(order_details[[#This Row],[ProductID]], products[], 4, FALSE), categories[], 2, FALSE)</f>
        <v>Confections</v>
      </c>
      <c r="H682">
        <f>VLOOKUP(order_details[[#This Row],[ProductID]], products[], 4, FALSE)</f>
        <v>3</v>
      </c>
      <c r="I682" t="str">
        <f>VLOOKUP(order_details[[#This Row],[OrderID]], orders[[OrderID]:[ShipCountry]], 14, FALSE)</f>
        <v>Mexico</v>
      </c>
      <c r="J682" s="1">
        <f>_xlfn.XLOOKUP(order_details[[#This Row],[OrderID]], orders[OrderID], orders[Month])</f>
        <v>5</v>
      </c>
    </row>
    <row r="683" spans="1:10" x14ac:dyDescent="0.35">
      <c r="A683">
        <v>10508</v>
      </c>
      <c r="B683">
        <v>13</v>
      </c>
      <c r="C683">
        <v>6</v>
      </c>
      <c r="D683">
        <v>10</v>
      </c>
      <c r="E683">
        <v>0</v>
      </c>
      <c r="F683">
        <v>60</v>
      </c>
      <c r="G683" t="str">
        <f>VLOOKUP(VLOOKUP(order_details[[#This Row],[ProductID]], products[], 4, FALSE), categories[], 2, FALSE)</f>
        <v>Seafood</v>
      </c>
      <c r="H683">
        <f>VLOOKUP(order_details[[#This Row],[ProductID]], products[], 4, FALSE)</f>
        <v>8</v>
      </c>
      <c r="I683" t="str">
        <f>VLOOKUP(order_details[[#This Row],[OrderID]], orders[[OrderID]:[ShipCountry]], 14, FALSE)</f>
        <v>Germany</v>
      </c>
      <c r="J683" s="1">
        <f>_xlfn.XLOOKUP(order_details[[#This Row],[OrderID]], orders[OrderID], orders[Month])</f>
        <v>5</v>
      </c>
    </row>
    <row r="684" spans="1:10" x14ac:dyDescent="0.35">
      <c r="A684">
        <v>10508</v>
      </c>
      <c r="B684">
        <v>39</v>
      </c>
      <c r="C684">
        <v>18</v>
      </c>
      <c r="D684">
        <v>10</v>
      </c>
      <c r="E684">
        <v>0</v>
      </c>
      <c r="F684">
        <v>180</v>
      </c>
      <c r="G684" t="str">
        <f>VLOOKUP(VLOOKUP(order_details[[#This Row],[ProductID]], products[], 4, FALSE), categories[], 2, FALSE)</f>
        <v>Beverages</v>
      </c>
      <c r="H684">
        <f>VLOOKUP(order_details[[#This Row],[ProductID]], products[], 4, FALSE)</f>
        <v>1</v>
      </c>
      <c r="I684" t="str">
        <f>VLOOKUP(order_details[[#This Row],[OrderID]], orders[[OrderID]:[ShipCountry]], 14, FALSE)</f>
        <v>Germany</v>
      </c>
      <c r="J684" s="1">
        <f>_xlfn.XLOOKUP(order_details[[#This Row],[OrderID]], orders[OrderID], orders[Month])</f>
        <v>5</v>
      </c>
    </row>
    <row r="685" spans="1:10" x14ac:dyDescent="0.35">
      <c r="A685">
        <v>10509</v>
      </c>
      <c r="B685">
        <v>28</v>
      </c>
      <c r="C685">
        <v>45.6</v>
      </c>
      <c r="D685">
        <v>3</v>
      </c>
      <c r="E685">
        <v>0</v>
      </c>
      <c r="F685">
        <v>136.80000000000001</v>
      </c>
      <c r="G685" t="str">
        <f>VLOOKUP(VLOOKUP(order_details[[#This Row],[ProductID]], products[], 4, FALSE), categories[], 2, FALSE)</f>
        <v>Produce</v>
      </c>
      <c r="H685">
        <f>VLOOKUP(order_details[[#This Row],[ProductID]], products[], 4, FALSE)</f>
        <v>7</v>
      </c>
      <c r="I685" t="str">
        <f>VLOOKUP(order_details[[#This Row],[OrderID]], orders[[OrderID]:[ShipCountry]], 14, FALSE)</f>
        <v>Germany</v>
      </c>
      <c r="J685" s="1">
        <f>_xlfn.XLOOKUP(order_details[[#This Row],[OrderID]], orders[OrderID], orders[Month])</f>
        <v>5</v>
      </c>
    </row>
    <row r="686" spans="1:10" x14ac:dyDescent="0.35">
      <c r="A686">
        <v>10510</v>
      </c>
      <c r="B686">
        <v>29</v>
      </c>
      <c r="C686">
        <v>123.79</v>
      </c>
      <c r="D686">
        <v>36</v>
      </c>
      <c r="E686">
        <v>0</v>
      </c>
      <c r="F686">
        <v>4456.4400000000005</v>
      </c>
      <c r="G686" t="str">
        <f>VLOOKUP(VLOOKUP(order_details[[#This Row],[ProductID]], products[], 4, FALSE), categories[], 2, FALSE)</f>
        <v>Meat/Poultry</v>
      </c>
      <c r="H686">
        <f>VLOOKUP(order_details[[#This Row],[ProductID]], products[], 4, FALSE)</f>
        <v>6</v>
      </c>
      <c r="I686" t="str">
        <f>VLOOKUP(order_details[[#This Row],[OrderID]], orders[[OrderID]:[ShipCountry]], 14, FALSE)</f>
        <v>USA</v>
      </c>
      <c r="J686" s="1">
        <f>_xlfn.XLOOKUP(order_details[[#This Row],[OrderID]], orders[OrderID], orders[Month])</f>
        <v>5</v>
      </c>
    </row>
    <row r="687" spans="1:10" x14ac:dyDescent="0.35">
      <c r="A687">
        <v>10510</v>
      </c>
      <c r="B687">
        <v>75</v>
      </c>
      <c r="C687">
        <v>7.75</v>
      </c>
      <c r="D687">
        <v>36</v>
      </c>
      <c r="E687">
        <v>0.1</v>
      </c>
      <c r="F687">
        <v>251.1</v>
      </c>
      <c r="G687" t="str">
        <f>VLOOKUP(VLOOKUP(order_details[[#This Row],[ProductID]], products[], 4, FALSE), categories[], 2, FALSE)</f>
        <v>Beverages</v>
      </c>
      <c r="H687">
        <f>VLOOKUP(order_details[[#This Row],[ProductID]], products[], 4, FALSE)</f>
        <v>1</v>
      </c>
      <c r="I687" t="str">
        <f>VLOOKUP(order_details[[#This Row],[OrderID]], orders[[OrderID]:[ShipCountry]], 14, FALSE)</f>
        <v>USA</v>
      </c>
      <c r="J687" s="1">
        <f>_xlfn.XLOOKUP(order_details[[#This Row],[OrderID]], orders[OrderID], orders[Month])</f>
        <v>5</v>
      </c>
    </row>
    <row r="688" spans="1:10" x14ac:dyDescent="0.35">
      <c r="A688">
        <v>10511</v>
      </c>
      <c r="B688">
        <v>4</v>
      </c>
      <c r="C688">
        <v>22</v>
      </c>
      <c r="D688">
        <v>50</v>
      </c>
      <c r="E688">
        <v>0.15</v>
      </c>
      <c r="F688">
        <v>935</v>
      </c>
      <c r="G688" t="str">
        <f>VLOOKUP(VLOOKUP(order_details[[#This Row],[ProductID]], products[], 4, FALSE), categories[], 2, FALSE)</f>
        <v>Condiments</v>
      </c>
      <c r="H688">
        <f>VLOOKUP(order_details[[#This Row],[ProductID]], products[], 4, FALSE)</f>
        <v>2</v>
      </c>
      <c r="I688" t="str">
        <f>VLOOKUP(order_details[[#This Row],[OrderID]], orders[[OrderID]:[ShipCountry]], 14, FALSE)</f>
        <v>France</v>
      </c>
      <c r="J688" s="1">
        <f>_xlfn.XLOOKUP(order_details[[#This Row],[OrderID]], orders[OrderID], orders[Month])</f>
        <v>5</v>
      </c>
    </row>
    <row r="689" spans="1:10" x14ac:dyDescent="0.35">
      <c r="A689">
        <v>10511</v>
      </c>
      <c r="B689">
        <v>7</v>
      </c>
      <c r="C689">
        <v>30</v>
      </c>
      <c r="D689">
        <v>50</v>
      </c>
      <c r="E689">
        <v>0.15</v>
      </c>
      <c r="F689">
        <v>1275</v>
      </c>
      <c r="G689" t="str">
        <f>VLOOKUP(VLOOKUP(order_details[[#This Row],[ProductID]], products[], 4, FALSE), categories[], 2, FALSE)</f>
        <v>Produce</v>
      </c>
      <c r="H689">
        <f>VLOOKUP(order_details[[#This Row],[ProductID]], products[], 4, FALSE)</f>
        <v>7</v>
      </c>
      <c r="I689" t="str">
        <f>VLOOKUP(order_details[[#This Row],[OrderID]], orders[[OrderID]:[ShipCountry]], 14, FALSE)</f>
        <v>France</v>
      </c>
      <c r="J689" s="1">
        <f>_xlfn.XLOOKUP(order_details[[#This Row],[OrderID]], orders[OrderID], orders[Month])</f>
        <v>5</v>
      </c>
    </row>
    <row r="690" spans="1:10" x14ac:dyDescent="0.35">
      <c r="A690">
        <v>10511</v>
      </c>
      <c r="B690">
        <v>8</v>
      </c>
      <c r="C690">
        <v>40</v>
      </c>
      <c r="D690">
        <v>10</v>
      </c>
      <c r="E690">
        <v>0.15</v>
      </c>
      <c r="F690">
        <v>340</v>
      </c>
      <c r="G690" t="str">
        <f>VLOOKUP(VLOOKUP(order_details[[#This Row],[ProductID]], products[], 4, FALSE), categories[], 2, FALSE)</f>
        <v>Condiments</v>
      </c>
      <c r="H690">
        <f>VLOOKUP(order_details[[#This Row],[ProductID]], products[], 4, FALSE)</f>
        <v>2</v>
      </c>
      <c r="I690" t="str">
        <f>VLOOKUP(order_details[[#This Row],[OrderID]], orders[[OrderID]:[ShipCountry]], 14, FALSE)</f>
        <v>France</v>
      </c>
      <c r="J690" s="1">
        <f>_xlfn.XLOOKUP(order_details[[#This Row],[OrderID]], orders[OrderID], orders[Month])</f>
        <v>5</v>
      </c>
    </row>
    <row r="691" spans="1:10" x14ac:dyDescent="0.35">
      <c r="A691">
        <v>10512</v>
      </c>
      <c r="B691">
        <v>24</v>
      </c>
      <c r="C691">
        <v>4.5</v>
      </c>
      <c r="D691">
        <v>10</v>
      </c>
      <c r="E691">
        <v>0.15</v>
      </c>
      <c r="F691">
        <v>38.25</v>
      </c>
      <c r="G691" t="str">
        <f>VLOOKUP(VLOOKUP(order_details[[#This Row],[ProductID]], products[], 4, FALSE), categories[], 2, FALSE)</f>
        <v>Beverages</v>
      </c>
      <c r="H691">
        <f>VLOOKUP(order_details[[#This Row],[ProductID]], products[], 4, FALSE)</f>
        <v>1</v>
      </c>
      <c r="I691" t="str">
        <f>VLOOKUP(order_details[[#This Row],[OrderID]], orders[[OrderID]:[ShipCountry]], 14, FALSE)</f>
        <v>Brazil</v>
      </c>
      <c r="J691" s="1">
        <f>_xlfn.XLOOKUP(order_details[[#This Row],[OrderID]], orders[OrderID], orders[Month])</f>
        <v>5</v>
      </c>
    </row>
    <row r="692" spans="1:10" x14ac:dyDescent="0.35">
      <c r="A692">
        <v>10512</v>
      </c>
      <c r="B692">
        <v>46</v>
      </c>
      <c r="C692">
        <v>12</v>
      </c>
      <c r="D692">
        <v>9</v>
      </c>
      <c r="E692">
        <v>0.15</v>
      </c>
      <c r="F692">
        <v>91.8</v>
      </c>
      <c r="G692" t="str">
        <f>VLOOKUP(VLOOKUP(order_details[[#This Row],[ProductID]], products[], 4, FALSE), categories[], 2, FALSE)</f>
        <v>Seafood</v>
      </c>
      <c r="H692">
        <f>VLOOKUP(order_details[[#This Row],[ProductID]], products[], 4, FALSE)</f>
        <v>8</v>
      </c>
      <c r="I692" t="str">
        <f>VLOOKUP(order_details[[#This Row],[OrderID]], orders[[OrderID]:[ShipCountry]], 14, FALSE)</f>
        <v>Brazil</v>
      </c>
      <c r="J692" s="1">
        <f>_xlfn.XLOOKUP(order_details[[#This Row],[OrderID]], orders[OrderID], orders[Month])</f>
        <v>5</v>
      </c>
    </row>
    <row r="693" spans="1:10" x14ac:dyDescent="0.35">
      <c r="A693">
        <v>10512</v>
      </c>
      <c r="B693">
        <v>47</v>
      </c>
      <c r="C693">
        <v>9.5</v>
      </c>
      <c r="D693">
        <v>6</v>
      </c>
      <c r="E693">
        <v>0.15</v>
      </c>
      <c r="F693">
        <v>48.449999999999996</v>
      </c>
      <c r="G693" t="str">
        <f>VLOOKUP(VLOOKUP(order_details[[#This Row],[ProductID]], products[], 4, FALSE), categories[], 2, FALSE)</f>
        <v>Confections</v>
      </c>
      <c r="H693">
        <f>VLOOKUP(order_details[[#This Row],[ProductID]], products[], 4, FALSE)</f>
        <v>3</v>
      </c>
      <c r="I693" t="str">
        <f>VLOOKUP(order_details[[#This Row],[OrderID]], orders[[OrderID]:[ShipCountry]], 14, FALSE)</f>
        <v>Brazil</v>
      </c>
      <c r="J693" s="1">
        <f>_xlfn.XLOOKUP(order_details[[#This Row],[OrderID]], orders[OrderID], orders[Month])</f>
        <v>5</v>
      </c>
    </row>
    <row r="694" spans="1:10" x14ac:dyDescent="0.35">
      <c r="A694">
        <v>10512</v>
      </c>
      <c r="B694">
        <v>60</v>
      </c>
      <c r="C694">
        <v>34</v>
      </c>
      <c r="D694">
        <v>12</v>
      </c>
      <c r="E694">
        <v>0.15</v>
      </c>
      <c r="F694">
        <v>346.8</v>
      </c>
      <c r="G694" t="str">
        <f>VLOOKUP(VLOOKUP(order_details[[#This Row],[ProductID]], products[], 4, FALSE), categories[], 2, FALSE)</f>
        <v>Dairy Products</v>
      </c>
      <c r="H694">
        <f>VLOOKUP(order_details[[#This Row],[ProductID]], products[], 4, FALSE)</f>
        <v>4</v>
      </c>
      <c r="I694" t="str">
        <f>VLOOKUP(order_details[[#This Row],[OrderID]], orders[[OrderID]:[ShipCountry]], 14, FALSE)</f>
        <v>Brazil</v>
      </c>
      <c r="J694" s="1">
        <f>_xlfn.XLOOKUP(order_details[[#This Row],[OrderID]], orders[OrderID], orders[Month])</f>
        <v>5</v>
      </c>
    </row>
    <row r="695" spans="1:10" x14ac:dyDescent="0.35">
      <c r="A695">
        <v>10513</v>
      </c>
      <c r="B695">
        <v>21</v>
      </c>
      <c r="C695">
        <v>10</v>
      </c>
      <c r="D695">
        <v>40</v>
      </c>
      <c r="E695">
        <v>0.2</v>
      </c>
      <c r="F695">
        <v>320</v>
      </c>
      <c r="G695" t="str">
        <f>VLOOKUP(VLOOKUP(order_details[[#This Row],[ProductID]], products[], 4, FALSE), categories[], 2, FALSE)</f>
        <v>Confections</v>
      </c>
      <c r="H695">
        <f>VLOOKUP(order_details[[#This Row],[ProductID]], products[], 4, FALSE)</f>
        <v>3</v>
      </c>
      <c r="I695" t="str">
        <f>VLOOKUP(order_details[[#This Row],[OrderID]], orders[[OrderID]:[ShipCountry]], 14, FALSE)</f>
        <v>Germany</v>
      </c>
      <c r="J695" s="1">
        <f>_xlfn.XLOOKUP(order_details[[#This Row],[OrderID]], orders[OrderID], orders[Month])</f>
        <v>5</v>
      </c>
    </row>
    <row r="696" spans="1:10" x14ac:dyDescent="0.35">
      <c r="A696">
        <v>10513</v>
      </c>
      <c r="B696">
        <v>32</v>
      </c>
      <c r="C696">
        <v>32</v>
      </c>
      <c r="D696">
        <v>50</v>
      </c>
      <c r="E696">
        <v>0.2</v>
      </c>
      <c r="F696">
        <v>1280</v>
      </c>
      <c r="G696" t="str">
        <f>VLOOKUP(VLOOKUP(order_details[[#This Row],[ProductID]], products[], 4, FALSE), categories[], 2, FALSE)</f>
        <v>Dairy Products</v>
      </c>
      <c r="H696">
        <f>VLOOKUP(order_details[[#This Row],[ProductID]], products[], 4, FALSE)</f>
        <v>4</v>
      </c>
      <c r="I696" t="str">
        <f>VLOOKUP(order_details[[#This Row],[OrderID]], orders[[OrderID]:[ShipCountry]], 14, FALSE)</f>
        <v>Germany</v>
      </c>
      <c r="J696" s="1">
        <f>_xlfn.XLOOKUP(order_details[[#This Row],[OrderID]], orders[OrderID], orders[Month])</f>
        <v>5</v>
      </c>
    </row>
    <row r="697" spans="1:10" x14ac:dyDescent="0.35">
      <c r="A697">
        <v>10513</v>
      </c>
      <c r="B697">
        <v>61</v>
      </c>
      <c r="C697">
        <v>28.5</v>
      </c>
      <c r="D697">
        <v>15</v>
      </c>
      <c r="E697">
        <v>0.2</v>
      </c>
      <c r="F697">
        <v>342</v>
      </c>
      <c r="G697" t="str">
        <f>VLOOKUP(VLOOKUP(order_details[[#This Row],[ProductID]], products[], 4, FALSE), categories[], 2, FALSE)</f>
        <v>Condiments</v>
      </c>
      <c r="H697">
        <f>VLOOKUP(order_details[[#This Row],[ProductID]], products[], 4, FALSE)</f>
        <v>2</v>
      </c>
      <c r="I697" t="str">
        <f>VLOOKUP(order_details[[#This Row],[OrderID]], orders[[OrderID]:[ShipCountry]], 14, FALSE)</f>
        <v>Germany</v>
      </c>
      <c r="J697" s="1">
        <f>_xlfn.XLOOKUP(order_details[[#This Row],[OrderID]], orders[OrderID], orders[Month])</f>
        <v>5</v>
      </c>
    </row>
    <row r="698" spans="1:10" x14ac:dyDescent="0.35">
      <c r="A698">
        <v>10514</v>
      </c>
      <c r="B698">
        <v>20</v>
      </c>
      <c r="C698">
        <v>81</v>
      </c>
      <c r="D698">
        <v>39</v>
      </c>
      <c r="E698">
        <v>0</v>
      </c>
      <c r="F698">
        <v>3159</v>
      </c>
      <c r="G698" t="str">
        <f>VLOOKUP(VLOOKUP(order_details[[#This Row],[ProductID]], products[], 4, FALSE), categories[], 2, FALSE)</f>
        <v>Confections</v>
      </c>
      <c r="H698">
        <f>VLOOKUP(order_details[[#This Row],[ProductID]], products[], 4, FALSE)</f>
        <v>3</v>
      </c>
      <c r="I698" t="str">
        <f>VLOOKUP(order_details[[#This Row],[OrderID]], orders[[OrderID]:[ShipCountry]], 14, FALSE)</f>
        <v>Austria</v>
      </c>
      <c r="J698" s="1">
        <f>_xlfn.XLOOKUP(order_details[[#This Row],[OrderID]], orders[OrderID], orders[Month])</f>
        <v>5</v>
      </c>
    </row>
    <row r="699" spans="1:10" x14ac:dyDescent="0.35">
      <c r="A699">
        <v>10514</v>
      </c>
      <c r="B699">
        <v>28</v>
      </c>
      <c r="C699">
        <v>45.6</v>
      </c>
      <c r="D699">
        <v>35</v>
      </c>
      <c r="E699">
        <v>0</v>
      </c>
      <c r="F699">
        <v>1596</v>
      </c>
      <c r="G699" t="str">
        <f>VLOOKUP(VLOOKUP(order_details[[#This Row],[ProductID]], products[], 4, FALSE), categories[], 2, FALSE)</f>
        <v>Produce</v>
      </c>
      <c r="H699">
        <f>VLOOKUP(order_details[[#This Row],[ProductID]], products[], 4, FALSE)</f>
        <v>7</v>
      </c>
      <c r="I699" t="str">
        <f>VLOOKUP(order_details[[#This Row],[OrderID]], orders[[OrderID]:[ShipCountry]], 14, FALSE)</f>
        <v>Austria</v>
      </c>
      <c r="J699" s="1">
        <f>_xlfn.XLOOKUP(order_details[[#This Row],[OrderID]], orders[OrderID], orders[Month])</f>
        <v>5</v>
      </c>
    </row>
    <row r="700" spans="1:10" x14ac:dyDescent="0.35">
      <c r="A700">
        <v>10514</v>
      </c>
      <c r="B700">
        <v>56</v>
      </c>
      <c r="C700">
        <v>38</v>
      </c>
      <c r="D700">
        <v>70</v>
      </c>
      <c r="E700">
        <v>0</v>
      </c>
      <c r="F700">
        <v>2660</v>
      </c>
      <c r="G700" t="str">
        <f>VLOOKUP(VLOOKUP(order_details[[#This Row],[ProductID]], products[], 4, FALSE), categories[], 2, FALSE)</f>
        <v>Grains/Cereals</v>
      </c>
      <c r="H700">
        <f>VLOOKUP(order_details[[#This Row],[ProductID]], products[], 4, FALSE)</f>
        <v>5</v>
      </c>
      <c r="I700" t="str">
        <f>VLOOKUP(order_details[[#This Row],[OrderID]], orders[[OrderID]:[ShipCountry]], 14, FALSE)</f>
        <v>Austria</v>
      </c>
      <c r="J700" s="1">
        <f>_xlfn.XLOOKUP(order_details[[#This Row],[OrderID]], orders[OrderID], orders[Month])</f>
        <v>5</v>
      </c>
    </row>
    <row r="701" spans="1:10" x14ac:dyDescent="0.35">
      <c r="A701">
        <v>10514</v>
      </c>
      <c r="B701">
        <v>65</v>
      </c>
      <c r="C701">
        <v>21.05</v>
      </c>
      <c r="D701">
        <v>39</v>
      </c>
      <c r="E701">
        <v>0</v>
      </c>
      <c r="F701">
        <v>820.95</v>
      </c>
      <c r="G701" t="str">
        <f>VLOOKUP(VLOOKUP(order_details[[#This Row],[ProductID]], products[], 4, FALSE), categories[], 2, FALSE)</f>
        <v>Condiments</v>
      </c>
      <c r="H701">
        <f>VLOOKUP(order_details[[#This Row],[ProductID]], products[], 4, FALSE)</f>
        <v>2</v>
      </c>
      <c r="I701" t="str">
        <f>VLOOKUP(order_details[[#This Row],[OrderID]], orders[[OrderID]:[ShipCountry]], 14, FALSE)</f>
        <v>Austria</v>
      </c>
      <c r="J701" s="1">
        <f>_xlfn.XLOOKUP(order_details[[#This Row],[OrderID]], orders[OrderID], orders[Month])</f>
        <v>5</v>
      </c>
    </row>
    <row r="702" spans="1:10" x14ac:dyDescent="0.35">
      <c r="A702">
        <v>10514</v>
      </c>
      <c r="B702">
        <v>75</v>
      </c>
      <c r="C702">
        <v>7.75</v>
      </c>
      <c r="D702">
        <v>50</v>
      </c>
      <c r="E702">
        <v>0</v>
      </c>
      <c r="F702">
        <v>387.5</v>
      </c>
      <c r="G702" t="str">
        <f>VLOOKUP(VLOOKUP(order_details[[#This Row],[ProductID]], products[], 4, FALSE), categories[], 2, FALSE)</f>
        <v>Beverages</v>
      </c>
      <c r="H702">
        <f>VLOOKUP(order_details[[#This Row],[ProductID]], products[], 4, FALSE)</f>
        <v>1</v>
      </c>
      <c r="I702" t="str">
        <f>VLOOKUP(order_details[[#This Row],[OrderID]], orders[[OrderID]:[ShipCountry]], 14, FALSE)</f>
        <v>Austria</v>
      </c>
      <c r="J702" s="1">
        <f>_xlfn.XLOOKUP(order_details[[#This Row],[OrderID]], orders[OrderID], orders[Month])</f>
        <v>5</v>
      </c>
    </row>
    <row r="703" spans="1:10" x14ac:dyDescent="0.35">
      <c r="A703">
        <v>10515</v>
      </c>
      <c r="B703">
        <v>9</v>
      </c>
      <c r="C703">
        <v>97</v>
      </c>
      <c r="D703">
        <v>16</v>
      </c>
      <c r="E703">
        <v>0.15</v>
      </c>
      <c r="F703">
        <v>1319.2</v>
      </c>
      <c r="G703" t="str">
        <f>VLOOKUP(VLOOKUP(order_details[[#This Row],[ProductID]], products[], 4, FALSE), categories[], 2, FALSE)</f>
        <v>Meat/Poultry</v>
      </c>
      <c r="H703">
        <f>VLOOKUP(order_details[[#This Row],[ProductID]], products[], 4, FALSE)</f>
        <v>6</v>
      </c>
      <c r="I703" t="str">
        <f>VLOOKUP(order_details[[#This Row],[OrderID]], orders[[OrderID]:[ShipCountry]], 14, FALSE)</f>
        <v>Germany</v>
      </c>
      <c r="J703" s="1">
        <f>_xlfn.XLOOKUP(order_details[[#This Row],[OrderID]], orders[OrderID], orders[Month])</f>
        <v>5</v>
      </c>
    </row>
    <row r="704" spans="1:10" x14ac:dyDescent="0.35">
      <c r="A704">
        <v>10515</v>
      </c>
      <c r="B704">
        <v>16</v>
      </c>
      <c r="C704">
        <v>17.45</v>
      </c>
      <c r="D704">
        <v>50</v>
      </c>
      <c r="E704">
        <v>0</v>
      </c>
      <c r="F704">
        <v>872.5</v>
      </c>
      <c r="G704" t="str">
        <f>VLOOKUP(VLOOKUP(order_details[[#This Row],[ProductID]], products[], 4, FALSE), categories[], 2, FALSE)</f>
        <v>Confections</v>
      </c>
      <c r="H704">
        <f>VLOOKUP(order_details[[#This Row],[ProductID]], products[], 4, FALSE)</f>
        <v>3</v>
      </c>
      <c r="I704" t="str">
        <f>VLOOKUP(order_details[[#This Row],[OrderID]], orders[[OrderID]:[ShipCountry]], 14, FALSE)</f>
        <v>Germany</v>
      </c>
      <c r="J704" s="1">
        <f>_xlfn.XLOOKUP(order_details[[#This Row],[OrderID]], orders[OrderID], orders[Month])</f>
        <v>5</v>
      </c>
    </row>
    <row r="705" spans="1:10" x14ac:dyDescent="0.35">
      <c r="A705">
        <v>10515</v>
      </c>
      <c r="B705">
        <v>27</v>
      </c>
      <c r="C705">
        <v>43.9</v>
      </c>
      <c r="D705">
        <v>120</v>
      </c>
      <c r="E705">
        <v>0</v>
      </c>
      <c r="F705">
        <v>5268</v>
      </c>
      <c r="G705" t="str">
        <f>VLOOKUP(VLOOKUP(order_details[[#This Row],[ProductID]], products[], 4, FALSE), categories[], 2, FALSE)</f>
        <v>Confections</v>
      </c>
      <c r="H705">
        <f>VLOOKUP(order_details[[#This Row],[ProductID]], products[], 4, FALSE)</f>
        <v>3</v>
      </c>
      <c r="I705" t="str">
        <f>VLOOKUP(order_details[[#This Row],[OrderID]], orders[[OrderID]:[ShipCountry]], 14, FALSE)</f>
        <v>Germany</v>
      </c>
      <c r="J705" s="1">
        <f>_xlfn.XLOOKUP(order_details[[#This Row],[OrderID]], orders[OrderID], orders[Month])</f>
        <v>5</v>
      </c>
    </row>
    <row r="706" spans="1:10" x14ac:dyDescent="0.35">
      <c r="A706">
        <v>10515</v>
      </c>
      <c r="B706">
        <v>33</v>
      </c>
      <c r="C706">
        <v>2.5</v>
      </c>
      <c r="D706">
        <v>16</v>
      </c>
      <c r="E706">
        <v>0.15</v>
      </c>
      <c r="F706">
        <v>34</v>
      </c>
      <c r="G706" t="str">
        <f>VLOOKUP(VLOOKUP(order_details[[#This Row],[ProductID]], products[], 4, FALSE), categories[], 2, FALSE)</f>
        <v>Dairy Products</v>
      </c>
      <c r="H706">
        <f>VLOOKUP(order_details[[#This Row],[ProductID]], products[], 4, FALSE)</f>
        <v>4</v>
      </c>
      <c r="I706" t="str">
        <f>VLOOKUP(order_details[[#This Row],[OrderID]], orders[[OrderID]:[ShipCountry]], 14, FALSE)</f>
        <v>Germany</v>
      </c>
      <c r="J706" s="1">
        <f>_xlfn.XLOOKUP(order_details[[#This Row],[OrderID]], orders[OrderID], orders[Month])</f>
        <v>5</v>
      </c>
    </row>
    <row r="707" spans="1:10" x14ac:dyDescent="0.35">
      <c r="A707">
        <v>10515</v>
      </c>
      <c r="B707">
        <v>60</v>
      </c>
      <c r="C707">
        <v>34</v>
      </c>
      <c r="D707">
        <v>84</v>
      </c>
      <c r="E707">
        <v>0.15</v>
      </c>
      <c r="F707">
        <v>2427.6</v>
      </c>
      <c r="G707" t="str">
        <f>VLOOKUP(VLOOKUP(order_details[[#This Row],[ProductID]], products[], 4, FALSE), categories[], 2, FALSE)</f>
        <v>Dairy Products</v>
      </c>
      <c r="H707">
        <f>VLOOKUP(order_details[[#This Row],[ProductID]], products[], 4, FALSE)</f>
        <v>4</v>
      </c>
      <c r="I707" t="str">
        <f>VLOOKUP(order_details[[#This Row],[OrderID]], orders[[OrderID]:[ShipCountry]], 14, FALSE)</f>
        <v>Germany</v>
      </c>
      <c r="J707" s="1">
        <f>_xlfn.XLOOKUP(order_details[[#This Row],[OrderID]], orders[OrderID], orders[Month])</f>
        <v>5</v>
      </c>
    </row>
    <row r="708" spans="1:10" x14ac:dyDescent="0.35">
      <c r="A708">
        <v>10516</v>
      </c>
      <c r="B708">
        <v>18</v>
      </c>
      <c r="C708">
        <v>62.5</v>
      </c>
      <c r="D708">
        <v>25</v>
      </c>
      <c r="E708">
        <v>0.1</v>
      </c>
      <c r="F708">
        <v>1406.25</v>
      </c>
      <c r="G708" t="str">
        <f>VLOOKUP(VLOOKUP(order_details[[#This Row],[ProductID]], products[], 4, FALSE), categories[], 2, FALSE)</f>
        <v>Seafood</v>
      </c>
      <c r="H708">
        <f>VLOOKUP(order_details[[#This Row],[ProductID]], products[], 4, FALSE)</f>
        <v>8</v>
      </c>
      <c r="I708" t="str">
        <f>VLOOKUP(order_details[[#This Row],[OrderID]], orders[[OrderID]:[ShipCountry]], 14, FALSE)</f>
        <v>Ireland</v>
      </c>
      <c r="J708" s="1">
        <f>_xlfn.XLOOKUP(order_details[[#This Row],[OrderID]], orders[OrderID], orders[Month])</f>
        <v>5</v>
      </c>
    </row>
    <row r="709" spans="1:10" x14ac:dyDescent="0.35">
      <c r="A709">
        <v>10516</v>
      </c>
      <c r="B709">
        <v>41</v>
      </c>
      <c r="C709">
        <v>9.65</v>
      </c>
      <c r="D709">
        <v>80</v>
      </c>
      <c r="E709">
        <v>0.1</v>
      </c>
      <c r="F709">
        <v>694.80000000000007</v>
      </c>
      <c r="G709" t="str">
        <f>VLOOKUP(VLOOKUP(order_details[[#This Row],[ProductID]], products[], 4, FALSE), categories[], 2, FALSE)</f>
        <v>Seafood</v>
      </c>
      <c r="H709">
        <f>VLOOKUP(order_details[[#This Row],[ProductID]], products[], 4, FALSE)</f>
        <v>8</v>
      </c>
      <c r="I709" t="str">
        <f>VLOOKUP(order_details[[#This Row],[OrderID]], orders[[OrderID]:[ShipCountry]], 14, FALSE)</f>
        <v>Ireland</v>
      </c>
      <c r="J709" s="1">
        <f>_xlfn.XLOOKUP(order_details[[#This Row],[OrderID]], orders[OrderID], orders[Month])</f>
        <v>5</v>
      </c>
    </row>
    <row r="710" spans="1:10" x14ac:dyDescent="0.35">
      <c r="A710">
        <v>10516</v>
      </c>
      <c r="B710">
        <v>42</v>
      </c>
      <c r="C710">
        <v>14</v>
      </c>
      <c r="D710">
        <v>20</v>
      </c>
      <c r="E710">
        <v>0</v>
      </c>
      <c r="F710">
        <v>280</v>
      </c>
      <c r="G710" t="str">
        <f>VLOOKUP(VLOOKUP(order_details[[#This Row],[ProductID]], products[], 4, FALSE), categories[], 2, FALSE)</f>
        <v>Grains/Cereals</v>
      </c>
      <c r="H710">
        <f>VLOOKUP(order_details[[#This Row],[ProductID]], products[], 4, FALSE)</f>
        <v>5</v>
      </c>
      <c r="I710" t="str">
        <f>VLOOKUP(order_details[[#This Row],[OrderID]], orders[[OrderID]:[ShipCountry]], 14, FALSE)</f>
        <v>Ireland</v>
      </c>
      <c r="J710" s="1">
        <f>_xlfn.XLOOKUP(order_details[[#This Row],[OrderID]], orders[OrderID], orders[Month])</f>
        <v>5</v>
      </c>
    </row>
    <row r="711" spans="1:10" x14ac:dyDescent="0.35">
      <c r="A711">
        <v>10517</v>
      </c>
      <c r="B711">
        <v>52</v>
      </c>
      <c r="C711">
        <v>7</v>
      </c>
      <c r="D711">
        <v>6</v>
      </c>
      <c r="E711">
        <v>0</v>
      </c>
      <c r="F711">
        <v>42</v>
      </c>
      <c r="G711" t="str">
        <f>VLOOKUP(VLOOKUP(order_details[[#This Row],[ProductID]], products[], 4, FALSE), categories[], 2, FALSE)</f>
        <v>Grains/Cereals</v>
      </c>
      <c r="H711">
        <f>VLOOKUP(order_details[[#This Row],[ProductID]], products[], 4, FALSE)</f>
        <v>5</v>
      </c>
      <c r="I711" t="str">
        <f>VLOOKUP(order_details[[#This Row],[OrderID]], orders[[OrderID]:[ShipCountry]], 14, FALSE)</f>
        <v>UK</v>
      </c>
      <c r="J711" s="1">
        <f>_xlfn.XLOOKUP(order_details[[#This Row],[OrderID]], orders[OrderID], orders[Month])</f>
        <v>5</v>
      </c>
    </row>
    <row r="712" spans="1:10" x14ac:dyDescent="0.35">
      <c r="A712">
        <v>10517</v>
      </c>
      <c r="B712">
        <v>59</v>
      </c>
      <c r="C712">
        <v>55</v>
      </c>
      <c r="D712">
        <v>4</v>
      </c>
      <c r="E712">
        <v>0</v>
      </c>
      <c r="F712">
        <v>220</v>
      </c>
      <c r="G712" t="str">
        <f>VLOOKUP(VLOOKUP(order_details[[#This Row],[ProductID]], products[], 4, FALSE), categories[], 2, FALSE)</f>
        <v>Dairy Products</v>
      </c>
      <c r="H712">
        <f>VLOOKUP(order_details[[#This Row],[ProductID]], products[], 4, FALSE)</f>
        <v>4</v>
      </c>
      <c r="I712" t="str">
        <f>VLOOKUP(order_details[[#This Row],[OrderID]], orders[[OrderID]:[ShipCountry]], 14, FALSE)</f>
        <v>UK</v>
      </c>
      <c r="J712" s="1">
        <f>_xlfn.XLOOKUP(order_details[[#This Row],[OrderID]], orders[OrderID], orders[Month])</f>
        <v>5</v>
      </c>
    </row>
    <row r="713" spans="1:10" x14ac:dyDescent="0.35">
      <c r="A713">
        <v>10517</v>
      </c>
      <c r="B713">
        <v>70</v>
      </c>
      <c r="C713">
        <v>15</v>
      </c>
      <c r="D713">
        <v>6</v>
      </c>
      <c r="E713">
        <v>0</v>
      </c>
      <c r="F713">
        <v>90</v>
      </c>
      <c r="G713" t="str">
        <f>VLOOKUP(VLOOKUP(order_details[[#This Row],[ProductID]], products[], 4, FALSE), categories[], 2, FALSE)</f>
        <v>Beverages</v>
      </c>
      <c r="H713">
        <f>VLOOKUP(order_details[[#This Row],[ProductID]], products[], 4, FALSE)</f>
        <v>1</v>
      </c>
      <c r="I713" t="str">
        <f>VLOOKUP(order_details[[#This Row],[OrderID]], orders[[OrderID]:[ShipCountry]], 14, FALSE)</f>
        <v>UK</v>
      </c>
      <c r="J713" s="1">
        <f>_xlfn.XLOOKUP(order_details[[#This Row],[OrderID]], orders[OrderID], orders[Month])</f>
        <v>5</v>
      </c>
    </row>
    <row r="714" spans="1:10" x14ac:dyDescent="0.35">
      <c r="A714">
        <v>10518</v>
      </c>
      <c r="B714">
        <v>24</v>
      </c>
      <c r="C714">
        <v>4.5</v>
      </c>
      <c r="D714">
        <v>5</v>
      </c>
      <c r="E714">
        <v>0</v>
      </c>
      <c r="F714">
        <v>22.5</v>
      </c>
      <c r="G714" t="str">
        <f>VLOOKUP(VLOOKUP(order_details[[#This Row],[ProductID]], products[], 4, FALSE), categories[], 2, FALSE)</f>
        <v>Beverages</v>
      </c>
      <c r="H714">
        <f>VLOOKUP(order_details[[#This Row],[ProductID]], products[], 4, FALSE)</f>
        <v>1</v>
      </c>
      <c r="I714" t="str">
        <f>VLOOKUP(order_details[[#This Row],[OrderID]], orders[[OrderID]:[ShipCountry]], 14, FALSE)</f>
        <v>Mexico</v>
      </c>
      <c r="J714" s="1">
        <f>_xlfn.XLOOKUP(order_details[[#This Row],[OrderID]], orders[OrderID], orders[Month])</f>
        <v>5</v>
      </c>
    </row>
    <row r="715" spans="1:10" x14ac:dyDescent="0.35">
      <c r="A715">
        <v>10518</v>
      </c>
      <c r="B715">
        <v>38</v>
      </c>
      <c r="C715">
        <v>263.5</v>
      </c>
      <c r="D715">
        <v>15</v>
      </c>
      <c r="E715">
        <v>0</v>
      </c>
      <c r="F715">
        <v>3952.5</v>
      </c>
      <c r="G715" t="str">
        <f>VLOOKUP(VLOOKUP(order_details[[#This Row],[ProductID]], products[], 4, FALSE), categories[], 2, FALSE)</f>
        <v>Beverages</v>
      </c>
      <c r="H715">
        <f>VLOOKUP(order_details[[#This Row],[ProductID]], products[], 4, FALSE)</f>
        <v>1</v>
      </c>
      <c r="I715" t="str">
        <f>VLOOKUP(order_details[[#This Row],[OrderID]], orders[[OrderID]:[ShipCountry]], 14, FALSE)</f>
        <v>Mexico</v>
      </c>
      <c r="J715" s="1">
        <f>_xlfn.XLOOKUP(order_details[[#This Row],[OrderID]], orders[OrderID], orders[Month])</f>
        <v>5</v>
      </c>
    </row>
    <row r="716" spans="1:10" x14ac:dyDescent="0.35">
      <c r="A716">
        <v>10518</v>
      </c>
      <c r="B716">
        <v>44</v>
      </c>
      <c r="C716">
        <v>19.45</v>
      </c>
      <c r="D716">
        <v>9</v>
      </c>
      <c r="E716">
        <v>0</v>
      </c>
      <c r="F716">
        <v>175.04999999999998</v>
      </c>
      <c r="G716" t="str">
        <f>VLOOKUP(VLOOKUP(order_details[[#This Row],[ProductID]], products[], 4, FALSE), categories[], 2, FALSE)</f>
        <v>Condiments</v>
      </c>
      <c r="H716">
        <f>VLOOKUP(order_details[[#This Row],[ProductID]], products[], 4, FALSE)</f>
        <v>2</v>
      </c>
      <c r="I716" t="str">
        <f>VLOOKUP(order_details[[#This Row],[OrderID]], orders[[OrderID]:[ShipCountry]], 14, FALSE)</f>
        <v>Mexico</v>
      </c>
      <c r="J716" s="1">
        <f>_xlfn.XLOOKUP(order_details[[#This Row],[OrderID]], orders[OrderID], orders[Month])</f>
        <v>5</v>
      </c>
    </row>
    <row r="717" spans="1:10" x14ac:dyDescent="0.35">
      <c r="A717">
        <v>10519</v>
      </c>
      <c r="B717">
        <v>10</v>
      </c>
      <c r="C717">
        <v>31</v>
      </c>
      <c r="D717">
        <v>16</v>
      </c>
      <c r="E717">
        <v>0.05</v>
      </c>
      <c r="F717">
        <v>471.2</v>
      </c>
      <c r="G717" t="str">
        <f>VLOOKUP(VLOOKUP(order_details[[#This Row],[ProductID]], products[], 4, FALSE), categories[], 2, FALSE)</f>
        <v>Seafood</v>
      </c>
      <c r="H717">
        <f>VLOOKUP(order_details[[#This Row],[ProductID]], products[], 4, FALSE)</f>
        <v>8</v>
      </c>
      <c r="I717" t="str">
        <f>VLOOKUP(order_details[[#This Row],[OrderID]], orders[[OrderID]:[ShipCountry]], 14, FALSE)</f>
        <v>Switzerland</v>
      </c>
      <c r="J717" s="1">
        <f>_xlfn.XLOOKUP(order_details[[#This Row],[OrderID]], orders[OrderID], orders[Month])</f>
        <v>5</v>
      </c>
    </row>
    <row r="718" spans="1:10" x14ac:dyDescent="0.35">
      <c r="A718">
        <v>10519</v>
      </c>
      <c r="B718">
        <v>56</v>
      </c>
      <c r="C718">
        <v>38</v>
      </c>
      <c r="D718">
        <v>40</v>
      </c>
      <c r="E718">
        <v>0</v>
      </c>
      <c r="F718">
        <v>1520</v>
      </c>
      <c r="G718" t="str">
        <f>VLOOKUP(VLOOKUP(order_details[[#This Row],[ProductID]], products[], 4, FALSE), categories[], 2, FALSE)</f>
        <v>Grains/Cereals</v>
      </c>
      <c r="H718">
        <f>VLOOKUP(order_details[[#This Row],[ProductID]], products[], 4, FALSE)</f>
        <v>5</v>
      </c>
      <c r="I718" t="str">
        <f>VLOOKUP(order_details[[#This Row],[OrderID]], orders[[OrderID]:[ShipCountry]], 14, FALSE)</f>
        <v>Switzerland</v>
      </c>
      <c r="J718" s="1">
        <f>_xlfn.XLOOKUP(order_details[[#This Row],[OrderID]], orders[OrderID], orders[Month])</f>
        <v>5</v>
      </c>
    </row>
    <row r="719" spans="1:10" x14ac:dyDescent="0.35">
      <c r="A719">
        <v>10519</v>
      </c>
      <c r="B719">
        <v>60</v>
      </c>
      <c r="C719">
        <v>34</v>
      </c>
      <c r="D719">
        <v>10</v>
      </c>
      <c r="E719">
        <v>0.05</v>
      </c>
      <c r="F719">
        <v>323</v>
      </c>
      <c r="G719" t="str">
        <f>VLOOKUP(VLOOKUP(order_details[[#This Row],[ProductID]], products[], 4, FALSE), categories[], 2, FALSE)</f>
        <v>Dairy Products</v>
      </c>
      <c r="H719">
        <f>VLOOKUP(order_details[[#This Row],[ProductID]], products[], 4, FALSE)</f>
        <v>4</v>
      </c>
      <c r="I719" t="str">
        <f>VLOOKUP(order_details[[#This Row],[OrderID]], orders[[OrderID]:[ShipCountry]], 14, FALSE)</f>
        <v>Switzerland</v>
      </c>
      <c r="J719" s="1">
        <f>_xlfn.XLOOKUP(order_details[[#This Row],[OrderID]], orders[OrderID], orders[Month])</f>
        <v>5</v>
      </c>
    </row>
    <row r="720" spans="1:10" x14ac:dyDescent="0.35">
      <c r="A720">
        <v>10520</v>
      </c>
      <c r="B720">
        <v>24</v>
      </c>
      <c r="C720">
        <v>4.5</v>
      </c>
      <c r="D720">
        <v>8</v>
      </c>
      <c r="E720">
        <v>0</v>
      </c>
      <c r="F720">
        <v>36</v>
      </c>
      <c r="G720" t="str">
        <f>VLOOKUP(VLOOKUP(order_details[[#This Row],[ProductID]], products[], 4, FALSE), categories[], 2, FALSE)</f>
        <v>Beverages</v>
      </c>
      <c r="H720">
        <f>VLOOKUP(order_details[[#This Row],[ProductID]], products[], 4, FALSE)</f>
        <v>1</v>
      </c>
      <c r="I720" t="str">
        <f>VLOOKUP(order_details[[#This Row],[OrderID]], orders[[OrderID]:[ShipCountry]], 14, FALSE)</f>
        <v>Norway</v>
      </c>
      <c r="J720" s="1">
        <f>_xlfn.XLOOKUP(order_details[[#This Row],[OrderID]], orders[OrderID], orders[Month])</f>
        <v>5</v>
      </c>
    </row>
    <row r="721" spans="1:10" x14ac:dyDescent="0.35">
      <c r="A721">
        <v>10520</v>
      </c>
      <c r="B721">
        <v>53</v>
      </c>
      <c r="C721">
        <v>32.799999999999997</v>
      </c>
      <c r="D721">
        <v>5</v>
      </c>
      <c r="E721">
        <v>0</v>
      </c>
      <c r="F721">
        <v>164</v>
      </c>
      <c r="G721" t="str">
        <f>VLOOKUP(VLOOKUP(order_details[[#This Row],[ProductID]], products[], 4, FALSE), categories[], 2, FALSE)</f>
        <v>Meat/Poultry</v>
      </c>
      <c r="H721">
        <f>VLOOKUP(order_details[[#This Row],[ProductID]], products[], 4, FALSE)</f>
        <v>6</v>
      </c>
      <c r="I721" t="str">
        <f>VLOOKUP(order_details[[#This Row],[OrderID]], orders[[OrderID]:[ShipCountry]], 14, FALSE)</f>
        <v>Norway</v>
      </c>
      <c r="J721" s="1">
        <f>_xlfn.XLOOKUP(order_details[[#This Row],[OrderID]], orders[OrderID], orders[Month])</f>
        <v>5</v>
      </c>
    </row>
    <row r="722" spans="1:10" x14ac:dyDescent="0.35">
      <c r="A722">
        <v>10521</v>
      </c>
      <c r="B722">
        <v>35</v>
      </c>
      <c r="C722">
        <v>18</v>
      </c>
      <c r="D722">
        <v>3</v>
      </c>
      <c r="E722">
        <v>0</v>
      </c>
      <c r="F722">
        <v>54</v>
      </c>
      <c r="G722" t="str">
        <f>VLOOKUP(VLOOKUP(order_details[[#This Row],[ProductID]], products[], 4, FALSE), categories[], 2, FALSE)</f>
        <v>Beverages</v>
      </c>
      <c r="H722">
        <f>VLOOKUP(order_details[[#This Row],[ProductID]], products[], 4, FALSE)</f>
        <v>1</v>
      </c>
      <c r="I722" t="str">
        <f>VLOOKUP(order_details[[#This Row],[OrderID]], orders[[OrderID]:[ShipCountry]], 14, FALSE)</f>
        <v>Argentina</v>
      </c>
      <c r="J722" s="1">
        <f>_xlfn.XLOOKUP(order_details[[#This Row],[OrderID]], orders[OrderID], orders[Month])</f>
        <v>5</v>
      </c>
    </row>
    <row r="723" spans="1:10" x14ac:dyDescent="0.35">
      <c r="A723">
        <v>10521</v>
      </c>
      <c r="B723">
        <v>41</v>
      </c>
      <c r="C723">
        <v>9.65</v>
      </c>
      <c r="D723">
        <v>10</v>
      </c>
      <c r="E723">
        <v>0</v>
      </c>
      <c r="F723">
        <v>96.5</v>
      </c>
      <c r="G723" t="str">
        <f>VLOOKUP(VLOOKUP(order_details[[#This Row],[ProductID]], products[], 4, FALSE), categories[], 2, FALSE)</f>
        <v>Seafood</v>
      </c>
      <c r="H723">
        <f>VLOOKUP(order_details[[#This Row],[ProductID]], products[], 4, FALSE)</f>
        <v>8</v>
      </c>
      <c r="I723" t="str">
        <f>VLOOKUP(order_details[[#This Row],[OrderID]], orders[[OrderID]:[ShipCountry]], 14, FALSE)</f>
        <v>Argentina</v>
      </c>
      <c r="J723" s="1">
        <f>_xlfn.XLOOKUP(order_details[[#This Row],[OrderID]], orders[OrderID], orders[Month])</f>
        <v>5</v>
      </c>
    </row>
    <row r="724" spans="1:10" x14ac:dyDescent="0.35">
      <c r="A724">
        <v>10521</v>
      </c>
      <c r="B724">
        <v>68</v>
      </c>
      <c r="C724">
        <v>12.5</v>
      </c>
      <c r="D724">
        <v>6</v>
      </c>
      <c r="E724">
        <v>0</v>
      </c>
      <c r="F724">
        <v>75</v>
      </c>
      <c r="G724" t="str">
        <f>VLOOKUP(VLOOKUP(order_details[[#This Row],[ProductID]], products[], 4, FALSE), categories[], 2, FALSE)</f>
        <v>Confections</v>
      </c>
      <c r="H724">
        <f>VLOOKUP(order_details[[#This Row],[ProductID]], products[], 4, FALSE)</f>
        <v>3</v>
      </c>
      <c r="I724" t="str">
        <f>VLOOKUP(order_details[[#This Row],[OrderID]], orders[[OrderID]:[ShipCountry]], 14, FALSE)</f>
        <v>Argentina</v>
      </c>
      <c r="J724" s="1">
        <f>_xlfn.XLOOKUP(order_details[[#This Row],[OrderID]], orders[OrderID], orders[Month])</f>
        <v>5</v>
      </c>
    </row>
    <row r="725" spans="1:10" x14ac:dyDescent="0.35">
      <c r="A725">
        <v>10522</v>
      </c>
      <c r="B725">
        <v>1</v>
      </c>
      <c r="C725">
        <v>18</v>
      </c>
      <c r="D725">
        <v>40</v>
      </c>
      <c r="E725">
        <v>0.2</v>
      </c>
      <c r="F725">
        <v>576</v>
      </c>
      <c r="G725" t="str">
        <f>VLOOKUP(VLOOKUP(order_details[[#This Row],[ProductID]], products[], 4, FALSE), categories[], 2, FALSE)</f>
        <v>Beverages</v>
      </c>
      <c r="H725">
        <f>VLOOKUP(order_details[[#This Row],[ProductID]], products[], 4, FALSE)</f>
        <v>1</v>
      </c>
      <c r="I725" t="str">
        <f>VLOOKUP(order_details[[#This Row],[OrderID]], orders[[OrderID]:[ShipCountry]], 14, FALSE)</f>
        <v>Germany</v>
      </c>
      <c r="J725" s="1">
        <f>_xlfn.XLOOKUP(order_details[[#This Row],[OrderID]], orders[OrderID], orders[Month])</f>
        <v>5</v>
      </c>
    </row>
    <row r="726" spans="1:10" x14ac:dyDescent="0.35">
      <c r="A726">
        <v>10522</v>
      </c>
      <c r="B726">
        <v>8</v>
      </c>
      <c r="C726">
        <v>40</v>
      </c>
      <c r="D726">
        <v>24</v>
      </c>
      <c r="E726">
        <v>0</v>
      </c>
      <c r="F726">
        <v>960</v>
      </c>
      <c r="G726" t="str">
        <f>VLOOKUP(VLOOKUP(order_details[[#This Row],[ProductID]], products[], 4, FALSE), categories[], 2, FALSE)</f>
        <v>Condiments</v>
      </c>
      <c r="H726">
        <f>VLOOKUP(order_details[[#This Row],[ProductID]], products[], 4, FALSE)</f>
        <v>2</v>
      </c>
      <c r="I726" t="str">
        <f>VLOOKUP(order_details[[#This Row],[OrderID]], orders[[OrderID]:[ShipCountry]], 14, FALSE)</f>
        <v>Germany</v>
      </c>
      <c r="J726" s="1">
        <f>_xlfn.XLOOKUP(order_details[[#This Row],[OrderID]], orders[OrderID], orders[Month])</f>
        <v>5</v>
      </c>
    </row>
    <row r="727" spans="1:10" x14ac:dyDescent="0.35">
      <c r="A727">
        <v>10522</v>
      </c>
      <c r="B727">
        <v>30</v>
      </c>
      <c r="C727">
        <v>25.89</v>
      </c>
      <c r="D727">
        <v>20</v>
      </c>
      <c r="E727">
        <v>0.2</v>
      </c>
      <c r="F727">
        <v>414.24</v>
      </c>
      <c r="G727" t="str">
        <f>VLOOKUP(VLOOKUP(order_details[[#This Row],[ProductID]], products[], 4, FALSE), categories[], 2, FALSE)</f>
        <v>Seafood</v>
      </c>
      <c r="H727">
        <f>VLOOKUP(order_details[[#This Row],[ProductID]], products[], 4, FALSE)</f>
        <v>8</v>
      </c>
      <c r="I727" t="str">
        <f>VLOOKUP(order_details[[#This Row],[OrderID]], orders[[OrderID]:[ShipCountry]], 14, FALSE)</f>
        <v>Germany</v>
      </c>
      <c r="J727" s="1">
        <f>_xlfn.XLOOKUP(order_details[[#This Row],[OrderID]], orders[OrderID], orders[Month])</f>
        <v>5</v>
      </c>
    </row>
    <row r="728" spans="1:10" x14ac:dyDescent="0.35">
      <c r="A728">
        <v>10522</v>
      </c>
      <c r="B728">
        <v>40</v>
      </c>
      <c r="C728">
        <v>18.399999999999999</v>
      </c>
      <c r="D728">
        <v>25</v>
      </c>
      <c r="E728">
        <v>0.2</v>
      </c>
      <c r="F728">
        <v>368</v>
      </c>
      <c r="G728" t="str">
        <f>VLOOKUP(VLOOKUP(order_details[[#This Row],[ProductID]], products[], 4, FALSE), categories[], 2, FALSE)</f>
        <v>Seafood</v>
      </c>
      <c r="H728">
        <f>VLOOKUP(order_details[[#This Row],[ProductID]], products[], 4, FALSE)</f>
        <v>8</v>
      </c>
      <c r="I728" t="str">
        <f>VLOOKUP(order_details[[#This Row],[OrderID]], orders[[OrderID]:[ShipCountry]], 14, FALSE)</f>
        <v>Germany</v>
      </c>
      <c r="J728" s="1">
        <f>_xlfn.XLOOKUP(order_details[[#This Row],[OrderID]], orders[OrderID], orders[Month])</f>
        <v>5</v>
      </c>
    </row>
    <row r="729" spans="1:10" x14ac:dyDescent="0.35">
      <c r="A729">
        <v>10523</v>
      </c>
      <c r="B729">
        <v>17</v>
      </c>
      <c r="C729">
        <v>39</v>
      </c>
      <c r="D729">
        <v>25</v>
      </c>
      <c r="E729">
        <v>0.1</v>
      </c>
      <c r="F729">
        <v>877.5</v>
      </c>
      <c r="G729" t="str">
        <f>VLOOKUP(VLOOKUP(order_details[[#This Row],[ProductID]], products[], 4, FALSE), categories[], 2, FALSE)</f>
        <v>Meat/Poultry</v>
      </c>
      <c r="H729">
        <f>VLOOKUP(order_details[[#This Row],[ProductID]], products[], 4, FALSE)</f>
        <v>6</v>
      </c>
      <c r="I729" t="str">
        <f>VLOOKUP(order_details[[#This Row],[OrderID]], orders[[OrderID]:[ShipCountry]], 14, FALSE)</f>
        <v>UK</v>
      </c>
      <c r="J729" s="1">
        <f>_xlfn.XLOOKUP(order_details[[#This Row],[OrderID]], orders[OrderID], orders[Month])</f>
        <v>6</v>
      </c>
    </row>
    <row r="730" spans="1:10" x14ac:dyDescent="0.35">
      <c r="A730">
        <v>10523</v>
      </c>
      <c r="B730">
        <v>20</v>
      </c>
      <c r="C730">
        <v>81</v>
      </c>
      <c r="D730">
        <v>15</v>
      </c>
      <c r="E730">
        <v>0.1</v>
      </c>
      <c r="F730">
        <v>1093.5</v>
      </c>
      <c r="G730" t="str">
        <f>VLOOKUP(VLOOKUP(order_details[[#This Row],[ProductID]], products[], 4, FALSE), categories[], 2, FALSE)</f>
        <v>Confections</v>
      </c>
      <c r="H730">
        <f>VLOOKUP(order_details[[#This Row],[ProductID]], products[], 4, FALSE)</f>
        <v>3</v>
      </c>
      <c r="I730" t="str">
        <f>VLOOKUP(order_details[[#This Row],[OrderID]], orders[[OrderID]:[ShipCountry]], 14, FALSE)</f>
        <v>UK</v>
      </c>
      <c r="J730" s="1">
        <f>_xlfn.XLOOKUP(order_details[[#This Row],[OrderID]], orders[OrderID], orders[Month])</f>
        <v>6</v>
      </c>
    </row>
    <row r="731" spans="1:10" x14ac:dyDescent="0.35">
      <c r="A731">
        <v>10523</v>
      </c>
      <c r="B731">
        <v>37</v>
      </c>
      <c r="C731">
        <v>26</v>
      </c>
      <c r="D731">
        <v>18</v>
      </c>
      <c r="E731">
        <v>0.1</v>
      </c>
      <c r="F731">
        <v>421.2</v>
      </c>
      <c r="G731" t="str">
        <f>VLOOKUP(VLOOKUP(order_details[[#This Row],[ProductID]], products[], 4, FALSE), categories[], 2, FALSE)</f>
        <v>Seafood</v>
      </c>
      <c r="H731">
        <f>VLOOKUP(order_details[[#This Row],[ProductID]], products[], 4, FALSE)</f>
        <v>8</v>
      </c>
      <c r="I731" t="str">
        <f>VLOOKUP(order_details[[#This Row],[OrderID]], orders[[OrderID]:[ShipCountry]], 14, FALSE)</f>
        <v>UK</v>
      </c>
      <c r="J731" s="1">
        <f>_xlfn.XLOOKUP(order_details[[#This Row],[OrderID]], orders[OrderID], orders[Month])</f>
        <v>6</v>
      </c>
    </row>
    <row r="732" spans="1:10" x14ac:dyDescent="0.35">
      <c r="A732">
        <v>10523</v>
      </c>
      <c r="B732">
        <v>41</v>
      </c>
      <c r="C732">
        <v>9.65</v>
      </c>
      <c r="D732">
        <v>6</v>
      </c>
      <c r="E732">
        <v>0.1</v>
      </c>
      <c r="F732">
        <v>52.110000000000007</v>
      </c>
      <c r="G732" t="str">
        <f>VLOOKUP(VLOOKUP(order_details[[#This Row],[ProductID]], products[], 4, FALSE), categories[], 2, FALSE)</f>
        <v>Seafood</v>
      </c>
      <c r="H732">
        <f>VLOOKUP(order_details[[#This Row],[ProductID]], products[], 4, FALSE)</f>
        <v>8</v>
      </c>
      <c r="I732" t="str">
        <f>VLOOKUP(order_details[[#This Row],[OrderID]], orders[[OrderID]:[ShipCountry]], 14, FALSE)</f>
        <v>UK</v>
      </c>
      <c r="J732" s="1">
        <f>_xlfn.XLOOKUP(order_details[[#This Row],[OrderID]], orders[OrderID], orders[Month])</f>
        <v>6</v>
      </c>
    </row>
    <row r="733" spans="1:10" x14ac:dyDescent="0.35">
      <c r="A733">
        <v>10524</v>
      </c>
      <c r="B733">
        <v>10</v>
      </c>
      <c r="C733">
        <v>31</v>
      </c>
      <c r="D733">
        <v>2</v>
      </c>
      <c r="E733">
        <v>0</v>
      </c>
      <c r="F733">
        <v>62</v>
      </c>
      <c r="G733" t="str">
        <f>VLOOKUP(VLOOKUP(order_details[[#This Row],[ProductID]], products[], 4, FALSE), categories[], 2, FALSE)</f>
        <v>Seafood</v>
      </c>
      <c r="H733">
        <f>VLOOKUP(order_details[[#This Row],[ProductID]], products[], 4, FALSE)</f>
        <v>8</v>
      </c>
      <c r="I733" t="str">
        <f>VLOOKUP(order_details[[#This Row],[OrderID]], orders[[OrderID]:[ShipCountry]], 14, FALSE)</f>
        <v>Sweden</v>
      </c>
      <c r="J733" s="1">
        <f>_xlfn.XLOOKUP(order_details[[#This Row],[OrderID]], orders[OrderID], orders[Month])</f>
        <v>6</v>
      </c>
    </row>
    <row r="734" spans="1:10" x14ac:dyDescent="0.35">
      <c r="A734">
        <v>10524</v>
      </c>
      <c r="B734">
        <v>30</v>
      </c>
      <c r="C734">
        <v>25.89</v>
      </c>
      <c r="D734">
        <v>10</v>
      </c>
      <c r="E734">
        <v>0</v>
      </c>
      <c r="F734">
        <v>258.89999999999998</v>
      </c>
      <c r="G734" t="str">
        <f>VLOOKUP(VLOOKUP(order_details[[#This Row],[ProductID]], products[], 4, FALSE), categories[], 2, FALSE)</f>
        <v>Seafood</v>
      </c>
      <c r="H734">
        <f>VLOOKUP(order_details[[#This Row],[ProductID]], products[], 4, FALSE)</f>
        <v>8</v>
      </c>
      <c r="I734" t="str">
        <f>VLOOKUP(order_details[[#This Row],[OrderID]], orders[[OrderID]:[ShipCountry]], 14, FALSE)</f>
        <v>Sweden</v>
      </c>
      <c r="J734" s="1">
        <f>_xlfn.XLOOKUP(order_details[[#This Row],[OrderID]], orders[OrderID], orders[Month])</f>
        <v>6</v>
      </c>
    </row>
    <row r="735" spans="1:10" x14ac:dyDescent="0.35">
      <c r="A735">
        <v>10524</v>
      </c>
      <c r="B735">
        <v>43</v>
      </c>
      <c r="C735">
        <v>46</v>
      </c>
      <c r="D735">
        <v>60</v>
      </c>
      <c r="E735">
        <v>0</v>
      </c>
      <c r="F735">
        <v>2760</v>
      </c>
      <c r="G735" t="str">
        <f>VLOOKUP(VLOOKUP(order_details[[#This Row],[ProductID]], products[], 4, FALSE), categories[], 2, FALSE)</f>
        <v>Beverages</v>
      </c>
      <c r="H735">
        <f>VLOOKUP(order_details[[#This Row],[ProductID]], products[], 4, FALSE)</f>
        <v>1</v>
      </c>
      <c r="I735" t="str">
        <f>VLOOKUP(order_details[[#This Row],[OrderID]], orders[[OrderID]:[ShipCountry]], 14, FALSE)</f>
        <v>Sweden</v>
      </c>
      <c r="J735" s="1">
        <f>_xlfn.XLOOKUP(order_details[[#This Row],[OrderID]], orders[OrderID], orders[Month])</f>
        <v>6</v>
      </c>
    </row>
    <row r="736" spans="1:10" x14ac:dyDescent="0.35">
      <c r="A736">
        <v>10524</v>
      </c>
      <c r="B736">
        <v>54</v>
      </c>
      <c r="C736">
        <v>7.45</v>
      </c>
      <c r="D736">
        <v>15</v>
      </c>
      <c r="E736">
        <v>0</v>
      </c>
      <c r="F736">
        <v>111.75</v>
      </c>
      <c r="G736" t="str">
        <f>VLOOKUP(VLOOKUP(order_details[[#This Row],[ProductID]], products[], 4, FALSE), categories[], 2, FALSE)</f>
        <v>Meat/Poultry</v>
      </c>
      <c r="H736">
        <f>VLOOKUP(order_details[[#This Row],[ProductID]], products[], 4, FALSE)</f>
        <v>6</v>
      </c>
      <c r="I736" t="str">
        <f>VLOOKUP(order_details[[#This Row],[OrderID]], orders[[OrderID]:[ShipCountry]], 14, FALSE)</f>
        <v>Sweden</v>
      </c>
      <c r="J736" s="1">
        <f>_xlfn.XLOOKUP(order_details[[#This Row],[OrderID]], orders[OrderID], orders[Month])</f>
        <v>6</v>
      </c>
    </row>
    <row r="737" spans="1:10" x14ac:dyDescent="0.35">
      <c r="A737">
        <v>10525</v>
      </c>
      <c r="B737">
        <v>36</v>
      </c>
      <c r="C737">
        <v>19</v>
      </c>
      <c r="D737">
        <v>30</v>
      </c>
      <c r="E737">
        <v>0</v>
      </c>
      <c r="F737">
        <v>570</v>
      </c>
      <c r="G737" t="str">
        <f>VLOOKUP(VLOOKUP(order_details[[#This Row],[ProductID]], products[], 4, FALSE), categories[], 2, FALSE)</f>
        <v>Seafood</v>
      </c>
      <c r="H737">
        <f>VLOOKUP(order_details[[#This Row],[ProductID]], products[], 4, FALSE)</f>
        <v>8</v>
      </c>
      <c r="I737" t="str">
        <f>VLOOKUP(order_details[[#This Row],[OrderID]], orders[[OrderID]:[ShipCountry]], 14, FALSE)</f>
        <v>France</v>
      </c>
      <c r="J737" s="1">
        <f>_xlfn.XLOOKUP(order_details[[#This Row],[OrderID]], orders[OrderID], orders[Month])</f>
        <v>6</v>
      </c>
    </row>
    <row r="738" spans="1:10" x14ac:dyDescent="0.35">
      <c r="A738">
        <v>10525</v>
      </c>
      <c r="B738">
        <v>40</v>
      </c>
      <c r="C738">
        <v>18.399999999999999</v>
      </c>
      <c r="D738">
        <v>15</v>
      </c>
      <c r="E738">
        <v>0.1</v>
      </c>
      <c r="F738">
        <v>248.4</v>
      </c>
      <c r="G738" t="str">
        <f>VLOOKUP(VLOOKUP(order_details[[#This Row],[ProductID]], products[], 4, FALSE), categories[], 2, FALSE)</f>
        <v>Seafood</v>
      </c>
      <c r="H738">
        <f>VLOOKUP(order_details[[#This Row],[ProductID]], products[], 4, FALSE)</f>
        <v>8</v>
      </c>
      <c r="I738" t="str">
        <f>VLOOKUP(order_details[[#This Row],[OrderID]], orders[[OrderID]:[ShipCountry]], 14, FALSE)</f>
        <v>France</v>
      </c>
      <c r="J738" s="1">
        <f>_xlfn.XLOOKUP(order_details[[#This Row],[OrderID]], orders[OrderID], orders[Month])</f>
        <v>6</v>
      </c>
    </row>
    <row r="739" spans="1:10" x14ac:dyDescent="0.35">
      <c r="A739">
        <v>10526</v>
      </c>
      <c r="B739">
        <v>1</v>
      </c>
      <c r="C739">
        <v>18</v>
      </c>
      <c r="D739">
        <v>8</v>
      </c>
      <c r="E739">
        <v>0.15</v>
      </c>
      <c r="F739">
        <v>122.39999999999999</v>
      </c>
      <c r="G739" t="str">
        <f>VLOOKUP(VLOOKUP(order_details[[#This Row],[ProductID]], products[], 4, FALSE), categories[], 2, FALSE)</f>
        <v>Beverages</v>
      </c>
      <c r="H739">
        <f>VLOOKUP(order_details[[#This Row],[ProductID]], products[], 4, FALSE)</f>
        <v>1</v>
      </c>
      <c r="I739" t="str">
        <f>VLOOKUP(order_details[[#This Row],[OrderID]], orders[[OrderID]:[ShipCountry]], 14, FALSE)</f>
        <v>Finland</v>
      </c>
      <c r="J739" s="1">
        <f>_xlfn.XLOOKUP(order_details[[#This Row],[OrderID]], orders[OrderID], orders[Month])</f>
        <v>6</v>
      </c>
    </row>
    <row r="740" spans="1:10" x14ac:dyDescent="0.35">
      <c r="A740">
        <v>10526</v>
      </c>
      <c r="B740">
        <v>13</v>
      </c>
      <c r="C740">
        <v>6</v>
      </c>
      <c r="D740">
        <v>10</v>
      </c>
      <c r="E740">
        <v>0</v>
      </c>
      <c r="F740">
        <v>60</v>
      </c>
      <c r="G740" t="str">
        <f>VLOOKUP(VLOOKUP(order_details[[#This Row],[ProductID]], products[], 4, FALSE), categories[], 2, FALSE)</f>
        <v>Seafood</v>
      </c>
      <c r="H740">
        <f>VLOOKUP(order_details[[#This Row],[ProductID]], products[], 4, FALSE)</f>
        <v>8</v>
      </c>
      <c r="I740" t="str">
        <f>VLOOKUP(order_details[[#This Row],[OrderID]], orders[[OrderID]:[ShipCountry]], 14, FALSE)</f>
        <v>Finland</v>
      </c>
      <c r="J740" s="1">
        <f>_xlfn.XLOOKUP(order_details[[#This Row],[OrderID]], orders[OrderID], orders[Month])</f>
        <v>6</v>
      </c>
    </row>
    <row r="741" spans="1:10" x14ac:dyDescent="0.35">
      <c r="A741">
        <v>10526</v>
      </c>
      <c r="B741">
        <v>56</v>
      </c>
      <c r="C741">
        <v>38</v>
      </c>
      <c r="D741">
        <v>30</v>
      </c>
      <c r="E741">
        <v>0.15</v>
      </c>
      <c r="F741">
        <v>969</v>
      </c>
      <c r="G741" t="str">
        <f>VLOOKUP(VLOOKUP(order_details[[#This Row],[ProductID]], products[], 4, FALSE), categories[], 2, FALSE)</f>
        <v>Grains/Cereals</v>
      </c>
      <c r="H741">
        <f>VLOOKUP(order_details[[#This Row],[ProductID]], products[], 4, FALSE)</f>
        <v>5</v>
      </c>
      <c r="I741" t="str">
        <f>VLOOKUP(order_details[[#This Row],[OrderID]], orders[[OrderID]:[ShipCountry]], 14, FALSE)</f>
        <v>Finland</v>
      </c>
      <c r="J741" s="1">
        <f>_xlfn.XLOOKUP(order_details[[#This Row],[OrderID]], orders[OrderID], orders[Month])</f>
        <v>6</v>
      </c>
    </row>
    <row r="742" spans="1:10" x14ac:dyDescent="0.35">
      <c r="A742">
        <v>10527</v>
      </c>
      <c r="B742">
        <v>4</v>
      </c>
      <c r="C742">
        <v>22</v>
      </c>
      <c r="D742">
        <v>50</v>
      </c>
      <c r="E742">
        <v>0.1</v>
      </c>
      <c r="F742">
        <v>990</v>
      </c>
      <c r="G742" t="str">
        <f>VLOOKUP(VLOOKUP(order_details[[#This Row],[ProductID]], products[], 4, FALSE), categories[], 2, FALSE)</f>
        <v>Condiments</v>
      </c>
      <c r="H742">
        <f>VLOOKUP(order_details[[#This Row],[ProductID]], products[], 4, FALSE)</f>
        <v>2</v>
      </c>
      <c r="I742" t="str">
        <f>VLOOKUP(order_details[[#This Row],[OrderID]], orders[[OrderID]:[ShipCountry]], 14, FALSE)</f>
        <v>Germany</v>
      </c>
      <c r="J742" s="1">
        <f>_xlfn.XLOOKUP(order_details[[#This Row],[OrderID]], orders[OrderID], orders[Month])</f>
        <v>6</v>
      </c>
    </row>
    <row r="743" spans="1:10" x14ac:dyDescent="0.35">
      <c r="A743">
        <v>10527</v>
      </c>
      <c r="B743">
        <v>36</v>
      </c>
      <c r="C743">
        <v>19</v>
      </c>
      <c r="D743">
        <v>30</v>
      </c>
      <c r="E743">
        <v>0.1</v>
      </c>
      <c r="F743">
        <v>513</v>
      </c>
      <c r="G743" t="str">
        <f>VLOOKUP(VLOOKUP(order_details[[#This Row],[ProductID]], products[], 4, FALSE), categories[], 2, FALSE)</f>
        <v>Seafood</v>
      </c>
      <c r="H743">
        <f>VLOOKUP(order_details[[#This Row],[ProductID]], products[], 4, FALSE)</f>
        <v>8</v>
      </c>
      <c r="I743" t="str">
        <f>VLOOKUP(order_details[[#This Row],[OrderID]], orders[[OrderID]:[ShipCountry]], 14, FALSE)</f>
        <v>Germany</v>
      </c>
      <c r="J743" s="1">
        <f>_xlfn.XLOOKUP(order_details[[#This Row],[OrderID]], orders[OrderID], orders[Month])</f>
        <v>6</v>
      </c>
    </row>
    <row r="744" spans="1:10" x14ac:dyDescent="0.35">
      <c r="A744">
        <v>10528</v>
      </c>
      <c r="B744">
        <v>11</v>
      </c>
      <c r="C744">
        <v>21</v>
      </c>
      <c r="D744">
        <v>3</v>
      </c>
      <c r="E744">
        <v>0</v>
      </c>
      <c r="F744">
        <v>63</v>
      </c>
      <c r="G744" t="str">
        <f>VLOOKUP(VLOOKUP(order_details[[#This Row],[ProductID]], products[], 4, FALSE), categories[], 2, FALSE)</f>
        <v>Dairy Products</v>
      </c>
      <c r="H744">
        <f>VLOOKUP(order_details[[#This Row],[ProductID]], products[], 4, FALSE)</f>
        <v>4</v>
      </c>
      <c r="I744" t="str">
        <f>VLOOKUP(order_details[[#This Row],[OrderID]], orders[[OrderID]:[ShipCountry]], 14, FALSE)</f>
        <v>USA</v>
      </c>
      <c r="J744" s="1">
        <f>_xlfn.XLOOKUP(order_details[[#This Row],[OrderID]], orders[OrderID], orders[Month])</f>
        <v>6</v>
      </c>
    </row>
    <row r="745" spans="1:10" x14ac:dyDescent="0.35">
      <c r="A745">
        <v>10528</v>
      </c>
      <c r="B745">
        <v>33</v>
      </c>
      <c r="C745">
        <v>2.5</v>
      </c>
      <c r="D745">
        <v>8</v>
      </c>
      <c r="E745">
        <v>0.2</v>
      </c>
      <c r="F745">
        <v>16</v>
      </c>
      <c r="G745" t="str">
        <f>VLOOKUP(VLOOKUP(order_details[[#This Row],[ProductID]], products[], 4, FALSE), categories[], 2, FALSE)</f>
        <v>Dairy Products</v>
      </c>
      <c r="H745">
        <f>VLOOKUP(order_details[[#This Row],[ProductID]], products[], 4, FALSE)</f>
        <v>4</v>
      </c>
      <c r="I745" t="str">
        <f>VLOOKUP(order_details[[#This Row],[OrderID]], orders[[OrderID]:[ShipCountry]], 14, FALSE)</f>
        <v>USA</v>
      </c>
      <c r="J745" s="1">
        <f>_xlfn.XLOOKUP(order_details[[#This Row],[OrderID]], orders[OrderID], orders[Month])</f>
        <v>6</v>
      </c>
    </row>
    <row r="746" spans="1:10" x14ac:dyDescent="0.35">
      <c r="A746">
        <v>10528</v>
      </c>
      <c r="B746">
        <v>72</v>
      </c>
      <c r="C746">
        <v>34.799999999999997</v>
      </c>
      <c r="D746">
        <v>9</v>
      </c>
      <c r="E746">
        <v>0</v>
      </c>
      <c r="F746">
        <v>313.2</v>
      </c>
      <c r="G746" t="str">
        <f>VLOOKUP(VLOOKUP(order_details[[#This Row],[ProductID]], products[], 4, FALSE), categories[], 2, FALSE)</f>
        <v>Dairy Products</v>
      </c>
      <c r="H746">
        <f>VLOOKUP(order_details[[#This Row],[ProductID]], products[], 4, FALSE)</f>
        <v>4</v>
      </c>
      <c r="I746" t="str">
        <f>VLOOKUP(order_details[[#This Row],[OrderID]], orders[[OrderID]:[ShipCountry]], 14, FALSE)</f>
        <v>USA</v>
      </c>
      <c r="J746" s="1">
        <f>_xlfn.XLOOKUP(order_details[[#This Row],[OrderID]], orders[OrderID], orders[Month])</f>
        <v>6</v>
      </c>
    </row>
    <row r="747" spans="1:10" x14ac:dyDescent="0.35">
      <c r="A747">
        <v>10529</v>
      </c>
      <c r="B747">
        <v>55</v>
      </c>
      <c r="C747">
        <v>24</v>
      </c>
      <c r="D747">
        <v>14</v>
      </c>
      <c r="E747">
        <v>0</v>
      </c>
      <c r="F747">
        <v>336</v>
      </c>
      <c r="G747" t="str">
        <f>VLOOKUP(VLOOKUP(order_details[[#This Row],[ProductID]], products[], 4, FALSE), categories[], 2, FALSE)</f>
        <v>Meat/Poultry</v>
      </c>
      <c r="H747">
        <f>VLOOKUP(order_details[[#This Row],[ProductID]], products[], 4, FALSE)</f>
        <v>6</v>
      </c>
      <c r="I747" t="str">
        <f>VLOOKUP(order_details[[#This Row],[OrderID]], orders[[OrderID]:[ShipCountry]], 14, FALSE)</f>
        <v>Belgium</v>
      </c>
      <c r="J747" s="1">
        <f>_xlfn.XLOOKUP(order_details[[#This Row],[OrderID]], orders[OrderID], orders[Month])</f>
        <v>6</v>
      </c>
    </row>
    <row r="748" spans="1:10" x14ac:dyDescent="0.35">
      <c r="A748">
        <v>10529</v>
      </c>
      <c r="B748">
        <v>68</v>
      </c>
      <c r="C748">
        <v>12.5</v>
      </c>
      <c r="D748">
        <v>20</v>
      </c>
      <c r="E748">
        <v>0</v>
      </c>
      <c r="F748">
        <v>250</v>
      </c>
      <c r="G748" t="str">
        <f>VLOOKUP(VLOOKUP(order_details[[#This Row],[ProductID]], products[], 4, FALSE), categories[], 2, FALSE)</f>
        <v>Confections</v>
      </c>
      <c r="H748">
        <f>VLOOKUP(order_details[[#This Row],[ProductID]], products[], 4, FALSE)</f>
        <v>3</v>
      </c>
      <c r="I748" t="str">
        <f>VLOOKUP(order_details[[#This Row],[OrderID]], orders[[OrderID]:[ShipCountry]], 14, FALSE)</f>
        <v>Belgium</v>
      </c>
      <c r="J748" s="1">
        <f>_xlfn.XLOOKUP(order_details[[#This Row],[OrderID]], orders[OrderID], orders[Month])</f>
        <v>6</v>
      </c>
    </row>
    <row r="749" spans="1:10" x14ac:dyDescent="0.35">
      <c r="A749">
        <v>10529</v>
      </c>
      <c r="B749">
        <v>69</v>
      </c>
      <c r="C749">
        <v>36</v>
      </c>
      <c r="D749">
        <v>10</v>
      </c>
      <c r="E749">
        <v>0</v>
      </c>
      <c r="F749">
        <v>360</v>
      </c>
      <c r="G749" t="str">
        <f>VLOOKUP(VLOOKUP(order_details[[#This Row],[ProductID]], products[], 4, FALSE), categories[], 2, FALSE)</f>
        <v>Dairy Products</v>
      </c>
      <c r="H749">
        <f>VLOOKUP(order_details[[#This Row],[ProductID]], products[], 4, FALSE)</f>
        <v>4</v>
      </c>
      <c r="I749" t="str">
        <f>VLOOKUP(order_details[[#This Row],[OrderID]], orders[[OrderID]:[ShipCountry]], 14, FALSE)</f>
        <v>Belgium</v>
      </c>
      <c r="J749" s="1">
        <f>_xlfn.XLOOKUP(order_details[[#This Row],[OrderID]], orders[OrderID], orders[Month])</f>
        <v>6</v>
      </c>
    </row>
    <row r="750" spans="1:10" x14ac:dyDescent="0.35">
      <c r="A750">
        <v>10530</v>
      </c>
      <c r="B750">
        <v>17</v>
      </c>
      <c r="C750">
        <v>39</v>
      </c>
      <c r="D750">
        <v>40</v>
      </c>
      <c r="E750">
        <v>0</v>
      </c>
      <c r="F750">
        <v>1560</v>
      </c>
      <c r="G750" t="str">
        <f>VLOOKUP(VLOOKUP(order_details[[#This Row],[ProductID]], products[], 4, FALSE), categories[], 2, FALSE)</f>
        <v>Meat/Poultry</v>
      </c>
      <c r="H750">
        <f>VLOOKUP(order_details[[#This Row],[ProductID]], products[], 4, FALSE)</f>
        <v>6</v>
      </c>
      <c r="I750" t="str">
        <f>VLOOKUP(order_details[[#This Row],[OrderID]], orders[[OrderID]:[ShipCountry]], 14, FALSE)</f>
        <v>Austria</v>
      </c>
      <c r="J750" s="1">
        <f>_xlfn.XLOOKUP(order_details[[#This Row],[OrderID]], orders[OrderID], orders[Month])</f>
        <v>6</v>
      </c>
    </row>
    <row r="751" spans="1:10" x14ac:dyDescent="0.35">
      <c r="A751">
        <v>10530</v>
      </c>
      <c r="B751">
        <v>43</v>
      </c>
      <c r="C751">
        <v>46</v>
      </c>
      <c r="D751">
        <v>25</v>
      </c>
      <c r="E751">
        <v>0</v>
      </c>
      <c r="F751">
        <v>1150</v>
      </c>
      <c r="G751" t="str">
        <f>VLOOKUP(VLOOKUP(order_details[[#This Row],[ProductID]], products[], 4, FALSE), categories[], 2, FALSE)</f>
        <v>Beverages</v>
      </c>
      <c r="H751">
        <f>VLOOKUP(order_details[[#This Row],[ProductID]], products[], 4, FALSE)</f>
        <v>1</v>
      </c>
      <c r="I751" t="str">
        <f>VLOOKUP(order_details[[#This Row],[OrderID]], orders[[OrderID]:[ShipCountry]], 14, FALSE)</f>
        <v>Austria</v>
      </c>
      <c r="J751" s="1">
        <f>_xlfn.XLOOKUP(order_details[[#This Row],[OrderID]], orders[OrderID], orders[Month])</f>
        <v>6</v>
      </c>
    </row>
    <row r="752" spans="1:10" x14ac:dyDescent="0.35">
      <c r="A752">
        <v>10530</v>
      </c>
      <c r="B752">
        <v>61</v>
      </c>
      <c r="C752">
        <v>28.5</v>
      </c>
      <c r="D752">
        <v>20</v>
      </c>
      <c r="E752">
        <v>0</v>
      </c>
      <c r="F752">
        <v>570</v>
      </c>
      <c r="G752" t="str">
        <f>VLOOKUP(VLOOKUP(order_details[[#This Row],[ProductID]], products[], 4, FALSE), categories[], 2, FALSE)</f>
        <v>Condiments</v>
      </c>
      <c r="H752">
        <f>VLOOKUP(order_details[[#This Row],[ProductID]], products[], 4, FALSE)</f>
        <v>2</v>
      </c>
      <c r="I752" t="str">
        <f>VLOOKUP(order_details[[#This Row],[OrderID]], orders[[OrderID]:[ShipCountry]], 14, FALSE)</f>
        <v>Austria</v>
      </c>
      <c r="J752" s="1">
        <f>_xlfn.XLOOKUP(order_details[[#This Row],[OrderID]], orders[OrderID], orders[Month])</f>
        <v>6</v>
      </c>
    </row>
    <row r="753" spans="1:10" x14ac:dyDescent="0.35">
      <c r="A753">
        <v>10530</v>
      </c>
      <c r="B753">
        <v>76</v>
      </c>
      <c r="C753">
        <v>18</v>
      </c>
      <c r="D753">
        <v>50</v>
      </c>
      <c r="E753">
        <v>0</v>
      </c>
      <c r="F753">
        <v>900</v>
      </c>
      <c r="G753" t="str">
        <f>VLOOKUP(VLOOKUP(order_details[[#This Row],[ProductID]], products[], 4, FALSE), categories[], 2, FALSE)</f>
        <v>Beverages</v>
      </c>
      <c r="H753">
        <f>VLOOKUP(order_details[[#This Row],[ProductID]], products[], 4, FALSE)</f>
        <v>1</v>
      </c>
      <c r="I753" t="str">
        <f>VLOOKUP(order_details[[#This Row],[OrderID]], orders[[OrderID]:[ShipCountry]], 14, FALSE)</f>
        <v>Austria</v>
      </c>
      <c r="J753" s="1">
        <f>_xlfn.XLOOKUP(order_details[[#This Row],[OrderID]], orders[OrderID], orders[Month])</f>
        <v>6</v>
      </c>
    </row>
    <row r="754" spans="1:10" x14ac:dyDescent="0.35">
      <c r="A754">
        <v>10531</v>
      </c>
      <c r="B754">
        <v>59</v>
      </c>
      <c r="C754">
        <v>55</v>
      </c>
      <c r="D754">
        <v>2</v>
      </c>
      <c r="E754">
        <v>0</v>
      </c>
      <c r="F754">
        <v>110</v>
      </c>
      <c r="G754" t="str">
        <f>VLOOKUP(VLOOKUP(order_details[[#This Row],[ProductID]], products[], 4, FALSE), categories[], 2, FALSE)</f>
        <v>Dairy Products</v>
      </c>
      <c r="H754">
        <f>VLOOKUP(order_details[[#This Row],[ProductID]], products[], 4, FALSE)</f>
        <v>4</v>
      </c>
      <c r="I754" t="str">
        <f>VLOOKUP(order_details[[#This Row],[OrderID]], orders[[OrderID]:[ShipCountry]], 14, FALSE)</f>
        <v>Argentina</v>
      </c>
      <c r="J754" s="1">
        <f>_xlfn.XLOOKUP(order_details[[#This Row],[OrderID]], orders[OrderID], orders[Month])</f>
        <v>6</v>
      </c>
    </row>
    <row r="755" spans="1:10" x14ac:dyDescent="0.35">
      <c r="A755">
        <v>10532</v>
      </c>
      <c r="B755">
        <v>30</v>
      </c>
      <c r="C755">
        <v>25.89</v>
      </c>
      <c r="D755">
        <v>15</v>
      </c>
      <c r="E755">
        <v>0</v>
      </c>
      <c r="F755">
        <v>388.35</v>
      </c>
      <c r="G755" t="str">
        <f>VLOOKUP(VLOOKUP(order_details[[#This Row],[ProductID]], products[], 4, FALSE), categories[], 2, FALSE)</f>
        <v>Seafood</v>
      </c>
      <c r="H755">
        <f>VLOOKUP(order_details[[#This Row],[ProductID]], products[], 4, FALSE)</f>
        <v>8</v>
      </c>
      <c r="I755" t="str">
        <f>VLOOKUP(order_details[[#This Row],[OrderID]], orders[[OrderID]:[ShipCountry]], 14, FALSE)</f>
        <v>UK</v>
      </c>
      <c r="J755" s="1">
        <f>_xlfn.XLOOKUP(order_details[[#This Row],[OrderID]], orders[OrderID], orders[Month])</f>
        <v>6</v>
      </c>
    </row>
    <row r="756" spans="1:10" x14ac:dyDescent="0.35">
      <c r="A756">
        <v>10532</v>
      </c>
      <c r="B756">
        <v>66</v>
      </c>
      <c r="C756">
        <v>17</v>
      </c>
      <c r="D756">
        <v>24</v>
      </c>
      <c r="E756">
        <v>0</v>
      </c>
      <c r="F756">
        <v>408</v>
      </c>
      <c r="G756" t="str">
        <f>VLOOKUP(VLOOKUP(order_details[[#This Row],[ProductID]], products[], 4, FALSE), categories[], 2, FALSE)</f>
        <v>Condiments</v>
      </c>
      <c r="H756">
        <f>VLOOKUP(order_details[[#This Row],[ProductID]], products[], 4, FALSE)</f>
        <v>2</v>
      </c>
      <c r="I756" t="str">
        <f>VLOOKUP(order_details[[#This Row],[OrderID]], orders[[OrderID]:[ShipCountry]], 14, FALSE)</f>
        <v>UK</v>
      </c>
      <c r="J756" s="1">
        <f>_xlfn.XLOOKUP(order_details[[#This Row],[OrderID]], orders[OrderID], orders[Month])</f>
        <v>6</v>
      </c>
    </row>
    <row r="757" spans="1:10" x14ac:dyDescent="0.35">
      <c r="A757">
        <v>10533</v>
      </c>
      <c r="B757">
        <v>4</v>
      </c>
      <c r="C757">
        <v>22</v>
      </c>
      <c r="D757">
        <v>50</v>
      </c>
      <c r="E757">
        <v>0.05</v>
      </c>
      <c r="F757">
        <v>1045</v>
      </c>
      <c r="G757" t="str">
        <f>VLOOKUP(VLOOKUP(order_details[[#This Row],[ProductID]], products[], 4, FALSE), categories[], 2, FALSE)</f>
        <v>Condiments</v>
      </c>
      <c r="H757">
        <f>VLOOKUP(order_details[[#This Row],[ProductID]], products[], 4, FALSE)</f>
        <v>2</v>
      </c>
      <c r="I757" t="str">
        <f>VLOOKUP(order_details[[#This Row],[OrderID]], orders[[OrderID]:[ShipCountry]], 14, FALSE)</f>
        <v>Sweden</v>
      </c>
      <c r="J757" s="1">
        <f>_xlfn.XLOOKUP(order_details[[#This Row],[OrderID]], orders[OrderID], orders[Month])</f>
        <v>6</v>
      </c>
    </row>
    <row r="758" spans="1:10" x14ac:dyDescent="0.35">
      <c r="A758">
        <v>10533</v>
      </c>
      <c r="B758">
        <v>72</v>
      </c>
      <c r="C758">
        <v>34.799999999999997</v>
      </c>
      <c r="D758">
        <v>24</v>
      </c>
      <c r="E758">
        <v>0</v>
      </c>
      <c r="F758">
        <v>835.19999999999993</v>
      </c>
      <c r="G758" t="str">
        <f>VLOOKUP(VLOOKUP(order_details[[#This Row],[ProductID]], products[], 4, FALSE), categories[], 2, FALSE)</f>
        <v>Dairy Products</v>
      </c>
      <c r="H758">
        <f>VLOOKUP(order_details[[#This Row],[ProductID]], products[], 4, FALSE)</f>
        <v>4</v>
      </c>
      <c r="I758" t="str">
        <f>VLOOKUP(order_details[[#This Row],[OrderID]], orders[[OrderID]:[ShipCountry]], 14, FALSE)</f>
        <v>Sweden</v>
      </c>
      <c r="J758" s="1">
        <f>_xlfn.XLOOKUP(order_details[[#This Row],[OrderID]], orders[OrderID], orders[Month])</f>
        <v>6</v>
      </c>
    </row>
    <row r="759" spans="1:10" x14ac:dyDescent="0.35">
      <c r="A759">
        <v>10533</v>
      </c>
      <c r="B759">
        <v>73</v>
      </c>
      <c r="C759">
        <v>15</v>
      </c>
      <c r="D759">
        <v>24</v>
      </c>
      <c r="E759">
        <v>0.05</v>
      </c>
      <c r="F759">
        <v>342</v>
      </c>
      <c r="G759" t="str">
        <f>VLOOKUP(VLOOKUP(order_details[[#This Row],[ProductID]], products[], 4, FALSE), categories[], 2, FALSE)</f>
        <v>Seafood</v>
      </c>
      <c r="H759">
        <f>VLOOKUP(order_details[[#This Row],[ProductID]], products[], 4, FALSE)</f>
        <v>8</v>
      </c>
      <c r="I759" t="str">
        <f>VLOOKUP(order_details[[#This Row],[OrderID]], orders[[OrderID]:[ShipCountry]], 14, FALSE)</f>
        <v>Sweden</v>
      </c>
      <c r="J759" s="1">
        <f>_xlfn.XLOOKUP(order_details[[#This Row],[OrderID]], orders[OrderID], orders[Month])</f>
        <v>6</v>
      </c>
    </row>
    <row r="760" spans="1:10" x14ac:dyDescent="0.35">
      <c r="A760">
        <v>10534</v>
      </c>
      <c r="B760">
        <v>30</v>
      </c>
      <c r="C760">
        <v>25.89</v>
      </c>
      <c r="D760">
        <v>10</v>
      </c>
      <c r="E760">
        <v>0</v>
      </c>
      <c r="F760">
        <v>258.89999999999998</v>
      </c>
      <c r="G760" t="str">
        <f>VLOOKUP(VLOOKUP(order_details[[#This Row],[ProductID]], products[], 4, FALSE), categories[], 2, FALSE)</f>
        <v>Seafood</v>
      </c>
      <c r="H760">
        <f>VLOOKUP(order_details[[#This Row],[ProductID]], products[], 4, FALSE)</f>
        <v>8</v>
      </c>
      <c r="I760" t="str">
        <f>VLOOKUP(order_details[[#This Row],[OrderID]], orders[[OrderID]:[ShipCountry]], 14, FALSE)</f>
        <v>Germany</v>
      </c>
      <c r="J760" s="1">
        <f>_xlfn.XLOOKUP(order_details[[#This Row],[OrderID]], orders[OrderID], orders[Month])</f>
        <v>6</v>
      </c>
    </row>
    <row r="761" spans="1:10" x14ac:dyDescent="0.35">
      <c r="A761">
        <v>10534</v>
      </c>
      <c r="B761">
        <v>40</v>
      </c>
      <c r="C761">
        <v>18.399999999999999</v>
      </c>
      <c r="D761">
        <v>10</v>
      </c>
      <c r="E761">
        <v>0.2</v>
      </c>
      <c r="F761">
        <v>147.20000000000002</v>
      </c>
      <c r="G761" t="str">
        <f>VLOOKUP(VLOOKUP(order_details[[#This Row],[ProductID]], products[], 4, FALSE), categories[], 2, FALSE)</f>
        <v>Seafood</v>
      </c>
      <c r="H761">
        <f>VLOOKUP(order_details[[#This Row],[ProductID]], products[], 4, FALSE)</f>
        <v>8</v>
      </c>
      <c r="I761" t="str">
        <f>VLOOKUP(order_details[[#This Row],[OrderID]], orders[[OrderID]:[ShipCountry]], 14, FALSE)</f>
        <v>Germany</v>
      </c>
      <c r="J761" s="1">
        <f>_xlfn.XLOOKUP(order_details[[#This Row],[OrderID]], orders[OrderID], orders[Month])</f>
        <v>6</v>
      </c>
    </row>
    <row r="762" spans="1:10" x14ac:dyDescent="0.35">
      <c r="A762">
        <v>10534</v>
      </c>
      <c r="B762">
        <v>54</v>
      </c>
      <c r="C762">
        <v>7.45</v>
      </c>
      <c r="D762">
        <v>10</v>
      </c>
      <c r="E762">
        <v>0.2</v>
      </c>
      <c r="F762">
        <v>59.6</v>
      </c>
      <c r="G762" t="str">
        <f>VLOOKUP(VLOOKUP(order_details[[#This Row],[ProductID]], products[], 4, FALSE), categories[], 2, FALSE)</f>
        <v>Meat/Poultry</v>
      </c>
      <c r="H762">
        <f>VLOOKUP(order_details[[#This Row],[ProductID]], products[], 4, FALSE)</f>
        <v>6</v>
      </c>
      <c r="I762" t="str">
        <f>VLOOKUP(order_details[[#This Row],[OrderID]], orders[[OrderID]:[ShipCountry]], 14, FALSE)</f>
        <v>Germany</v>
      </c>
      <c r="J762" s="1">
        <f>_xlfn.XLOOKUP(order_details[[#This Row],[OrderID]], orders[OrderID], orders[Month])</f>
        <v>6</v>
      </c>
    </row>
    <row r="763" spans="1:10" x14ac:dyDescent="0.35">
      <c r="A763">
        <v>10535</v>
      </c>
      <c r="B763">
        <v>11</v>
      </c>
      <c r="C763">
        <v>21</v>
      </c>
      <c r="D763">
        <v>50</v>
      </c>
      <c r="E763">
        <v>0.1</v>
      </c>
      <c r="F763">
        <v>945</v>
      </c>
      <c r="G763" t="str">
        <f>VLOOKUP(VLOOKUP(order_details[[#This Row],[ProductID]], products[], 4, FALSE), categories[], 2, FALSE)</f>
        <v>Dairy Products</v>
      </c>
      <c r="H763">
        <f>VLOOKUP(order_details[[#This Row],[ProductID]], products[], 4, FALSE)</f>
        <v>4</v>
      </c>
      <c r="I763" t="str">
        <f>VLOOKUP(order_details[[#This Row],[OrderID]], orders[[OrderID]:[ShipCountry]], 14, FALSE)</f>
        <v>Mexico</v>
      </c>
      <c r="J763" s="1">
        <f>_xlfn.XLOOKUP(order_details[[#This Row],[OrderID]], orders[OrderID], orders[Month])</f>
        <v>6</v>
      </c>
    </row>
    <row r="764" spans="1:10" x14ac:dyDescent="0.35">
      <c r="A764">
        <v>10535</v>
      </c>
      <c r="B764">
        <v>40</v>
      </c>
      <c r="C764">
        <v>18.399999999999999</v>
      </c>
      <c r="D764">
        <v>10</v>
      </c>
      <c r="E764">
        <v>0.1</v>
      </c>
      <c r="F764">
        <v>165.6</v>
      </c>
      <c r="G764" t="str">
        <f>VLOOKUP(VLOOKUP(order_details[[#This Row],[ProductID]], products[], 4, FALSE), categories[], 2, FALSE)</f>
        <v>Seafood</v>
      </c>
      <c r="H764">
        <f>VLOOKUP(order_details[[#This Row],[ProductID]], products[], 4, FALSE)</f>
        <v>8</v>
      </c>
      <c r="I764" t="str">
        <f>VLOOKUP(order_details[[#This Row],[OrderID]], orders[[OrderID]:[ShipCountry]], 14, FALSE)</f>
        <v>Mexico</v>
      </c>
      <c r="J764" s="1">
        <f>_xlfn.XLOOKUP(order_details[[#This Row],[OrderID]], orders[OrderID], orders[Month])</f>
        <v>6</v>
      </c>
    </row>
    <row r="765" spans="1:10" x14ac:dyDescent="0.35">
      <c r="A765">
        <v>10535</v>
      </c>
      <c r="B765">
        <v>57</v>
      </c>
      <c r="C765">
        <v>19.5</v>
      </c>
      <c r="D765">
        <v>5</v>
      </c>
      <c r="E765">
        <v>0.1</v>
      </c>
      <c r="F765">
        <v>87.75</v>
      </c>
      <c r="G765" t="str">
        <f>VLOOKUP(VLOOKUP(order_details[[#This Row],[ProductID]], products[], 4, FALSE), categories[], 2, FALSE)</f>
        <v>Grains/Cereals</v>
      </c>
      <c r="H765">
        <f>VLOOKUP(order_details[[#This Row],[ProductID]], products[], 4, FALSE)</f>
        <v>5</v>
      </c>
      <c r="I765" t="str">
        <f>VLOOKUP(order_details[[#This Row],[OrderID]], orders[[OrderID]:[ShipCountry]], 14, FALSE)</f>
        <v>Mexico</v>
      </c>
      <c r="J765" s="1">
        <f>_xlfn.XLOOKUP(order_details[[#This Row],[OrderID]], orders[OrderID], orders[Month])</f>
        <v>6</v>
      </c>
    </row>
    <row r="766" spans="1:10" x14ac:dyDescent="0.35">
      <c r="A766">
        <v>10535</v>
      </c>
      <c r="B766">
        <v>59</v>
      </c>
      <c r="C766">
        <v>55</v>
      </c>
      <c r="D766">
        <v>15</v>
      </c>
      <c r="E766">
        <v>0.1</v>
      </c>
      <c r="F766">
        <v>742.5</v>
      </c>
      <c r="G766" t="str">
        <f>VLOOKUP(VLOOKUP(order_details[[#This Row],[ProductID]], products[], 4, FALSE), categories[], 2, FALSE)</f>
        <v>Dairy Products</v>
      </c>
      <c r="H766">
        <f>VLOOKUP(order_details[[#This Row],[ProductID]], products[], 4, FALSE)</f>
        <v>4</v>
      </c>
      <c r="I766" t="str">
        <f>VLOOKUP(order_details[[#This Row],[OrderID]], orders[[OrderID]:[ShipCountry]], 14, FALSE)</f>
        <v>Mexico</v>
      </c>
      <c r="J766" s="1">
        <f>_xlfn.XLOOKUP(order_details[[#This Row],[OrderID]], orders[OrderID], orders[Month])</f>
        <v>6</v>
      </c>
    </row>
    <row r="767" spans="1:10" x14ac:dyDescent="0.35">
      <c r="A767">
        <v>10536</v>
      </c>
      <c r="B767">
        <v>12</v>
      </c>
      <c r="C767">
        <v>38</v>
      </c>
      <c r="D767">
        <v>15</v>
      </c>
      <c r="E767">
        <v>0.25</v>
      </c>
      <c r="F767">
        <v>427.5</v>
      </c>
      <c r="G767" t="str">
        <f>VLOOKUP(VLOOKUP(order_details[[#This Row],[ProductID]], products[], 4, FALSE), categories[], 2, FALSE)</f>
        <v>Dairy Products</v>
      </c>
      <c r="H767">
        <f>VLOOKUP(order_details[[#This Row],[ProductID]], products[], 4, FALSE)</f>
        <v>4</v>
      </c>
      <c r="I767" t="str">
        <f>VLOOKUP(order_details[[#This Row],[OrderID]], orders[[OrderID]:[ShipCountry]], 14, FALSE)</f>
        <v>Germany</v>
      </c>
      <c r="J767" s="1">
        <f>_xlfn.XLOOKUP(order_details[[#This Row],[OrderID]], orders[OrderID], orders[Month])</f>
        <v>6</v>
      </c>
    </row>
    <row r="768" spans="1:10" x14ac:dyDescent="0.35">
      <c r="A768">
        <v>10536</v>
      </c>
      <c r="B768">
        <v>31</v>
      </c>
      <c r="C768">
        <v>12.5</v>
      </c>
      <c r="D768">
        <v>20</v>
      </c>
      <c r="E768">
        <v>0</v>
      </c>
      <c r="F768">
        <v>250</v>
      </c>
      <c r="G768" t="str">
        <f>VLOOKUP(VLOOKUP(order_details[[#This Row],[ProductID]], products[], 4, FALSE), categories[], 2, FALSE)</f>
        <v>Dairy Products</v>
      </c>
      <c r="H768">
        <f>VLOOKUP(order_details[[#This Row],[ProductID]], products[], 4, FALSE)</f>
        <v>4</v>
      </c>
      <c r="I768" t="str">
        <f>VLOOKUP(order_details[[#This Row],[OrderID]], orders[[OrderID]:[ShipCountry]], 14, FALSE)</f>
        <v>Germany</v>
      </c>
      <c r="J768" s="1">
        <f>_xlfn.XLOOKUP(order_details[[#This Row],[OrderID]], orders[OrderID], orders[Month])</f>
        <v>6</v>
      </c>
    </row>
    <row r="769" spans="1:10" x14ac:dyDescent="0.35">
      <c r="A769">
        <v>10536</v>
      </c>
      <c r="B769">
        <v>33</v>
      </c>
      <c r="C769">
        <v>2.5</v>
      </c>
      <c r="D769">
        <v>30</v>
      </c>
      <c r="E769">
        <v>0</v>
      </c>
      <c r="F769">
        <v>75</v>
      </c>
      <c r="G769" t="str">
        <f>VLOOKUP(VLOOKUP(order_details[[#This Row],[ProductID]], products[], 4, FALSE), categories[], 2, FALSE)</f>
        <v>Dairy Products</v>
      </c>
      <c r="H769">
        <f>VLOOKUP(order_details[[#This Row],[ProductID]], products[], 4, FALSE)</f>
        <v>4</v>
      </c>
      <c r="I769" t="str">
        <f>VLOOKUP(order_details[[#This Row],[OrderID]], orders[[OrderID]:[ShipCountry]], 14, FALSE)</f>
        <v>Germany</v>
      </c>
      <c r="J769" s="1">
        <f>_xlfn.XLOOKUP(order_details[[#This Row],[OrderID]], orders[OrderID], orders[Month])</f>
        <v>6</v>
      </c>
    </row>
    <row r="770" spans="1:10" x14ac:dyDescent="0.35">
      <c r="A770">
        <v>10536</v>
      </c>
      <c r="B770">
        <v>60</v>
      </c>
      <c r="C770">
        <v>34</v>
      </c>
      <c r="D770">
        <v>35</v>
      </c>
      <c r="E770">
        <v>0.25</v>
      </c>
      <c r="F770">
        <v>892.5</v>
      </c>
      <c r="G770" t="str">
        <f>VLOOKUP(VLOOKUP(order_details[[#This Row],[ProductID]], products[], 4, FALSE), categories[], 2, FALSE)</f>
        <v>Dairy Products</v>
      </c>
      <c r="H770">
        <f>VLOOKUP(order_details[[#This Row],[ProductID]], products[], 4, FALSE)</f>
        <v>4</v>
      </c>
      <c r="I770" t="str">
        <f>VLOOKUP(order_details[[#This Row],[OrderID]], orders[[OrderID]:[ShipCountry]], 14, FALSE)</f>
        <v>Germany</v>
      </c>
      <c r="J770" s="1">
        <f>_xlfn.XLOOKUP(order_details[[#This Row],[OrderID]], orders[OrderID], orders[Month])</f>
        <v>6</v>
      </c>
    </row>
    <row r="771" spans="1:10" x14ac:dyDescent="0.35">
      <c r="A771">
        <v>10537</v>
      </c>
      <c r="B771">
        <v>31</v>
      </c>
      <c r="C771">
        <v>12.5</v>
      </c>
      <c r="D771">
        <v>30</v>
      </c>
      <c r="E771">
        <v>0</v>
      </c>
      <c r="F771">
        <v>375</v>
      </c>
      <c r="G771" t="str">
        <f>VLOOKUP(VLOOKUP(order_details[[#This Row],[ProductID]], products[], 4, FALSE), categories[], 2, FALSE)</f>
        <v>Dairy Products</v>
      </c>
      <c r="H771">
        <f>VLOOKUP(order_details[[#This Row],[ProductID]], products[], 4, FALSE)</f>
        <v>4</v>
      </c>
      <c r="I771" t="str">
        <f>VLOOKUP(order_details[[#This Row],[OrderID]], orders[[OrderID]:[ShipCountry]], 14, FALSE)</f>
        <v>Switzerland</v>
      </c>
      <c r="J771" s="1">
        <f>_xlfn.XLOOKUP(order_details[[#This Row],[OrderID]], orders[OrderID], orders[Month])</f>
        <v>6</v>
      </c>
    </row>
    <row r="772" spans="1:10" x14ac:dyDescent="0.35">
      <c r="A772">
        <v>10537</v>
      </c>
      <c r="B772">
        <v>51</v>
      </c>
      <c r="C772">
        <v>53</v>
      </c>
      <c r="D772">
        <v>6</v>
      </c>
      <c r="E772">
        <v>0</v>
      </c>
      <c r="F772">
        <v>318</v>
      </c>
      <c r="G772" t="str">
        <f>VLOOKUP(VLOOKUP(order_details[[#This Row],[ProductID]], products[], 4, FALSE), categories[], 2, FALSE)</f>
        <v>Produce</v>
      </c>
      <c r="H772">
        <f>VLOOKUP(order_details[[#This Row],[ProductID]], products[], 4, FALSE)</f>
        <v>7</v>
      </c>
      <c r="I772" t="str">
        <f>VLOOKUP(order_details[[#This Row],[OrderID]], orders[[OrderID]:[ShipCountry]], 14, FALSE)</f>
        <v>Switzerland</v>
      </c>
      <c r="J772" s="1">
        <f>_xlfn.XLOOKUP(order_details[[#This Row],[OrderID]], orders[OrderID], orders[Month])</f>
        <v>6</v>
      </c>
    </row>
    <row r="773" spans="1:10" x14ac:dyDescent="0.35">
      <c r="A773">
        <v>10537</v>
      </c>
      <c r="B773">
        <v>58</v>
      </c>
      <c r="C773">
        <v>13.25</v>
      </c>
      <c r="D773">
        <v>20</v>
      </c>
      <c r="E773">
        <v>0</v>
      </c>
      <c r="F773">
        <v>265</v>
      </c>
      <c r="G773" t="str">
        <f>VLOOKUP(VLOOKUP(order_details[[#This Row],[ProductID]], products[], 4, FALSE), categories[], 2, FALSE)</f>
        <v>Seafood</v>
      </c>
      <c r="H773">
        <f>VLOOKUP(order_details[[#This Row],[ProductID]], products[], 4, FALSE)</f>
        <v>8</v>
      </c>
      <c r="I773" t="str">
        <f>VLOOKUP(order_details[[#This Row],[OrderID]], orders[[OrderID]:[ShipCountry]], 14, FALSE)</f>
        <v>Switzerland</v>
      </c>
      <c r="J773" s="1">
        <f>_xlfn.XLOOKUP(order_details[[#This Row],[OrderID]], orders[OrderID], orders[Month])</f>
        <v>6</v>
      </c>
    </row>
    <row r="774" spans="1:10" x14ac:dyDescent="0.35">
      <c r="A774">
        <v>10537</v>
      </c>
      <c r="B774">
        <v>72</v>
      </c>
      <c r="C774">
        <v>34.799999999999997</v>
      </c>
      <c r="D774">
        <v>21</v>
      </c>
      <c r="E774">
        <v>0</v>
      </c>
      <c r="F774">
        <v>730.8</v>
      </c>
      <c r="G774" t="str">
        <f>VLOOKUP(VLOOKUP(order_details[[#This Row],[ProductID]], products[], 4, FALSE), categories[], 2, FALSE)</f>
        <v>Dairy Products</v>
      </c>
      <c r="H774">
        <f>VLOOKUP(order_details[[#This Row],[ProductID]], products[], 4, FALSE)</f>
        <v>4</v>
      </c>
      <c r="I774" t="str">
        <f>VLOOKUP(order_details[[#This Row],[OrderID]], orders[[OrderID]:[ShipCountry]], 14, FALSE)</f>
        <v>Switzerland</v>
      </c>
      <c r="J774" s="1">
        <f>_xlfn.XLOOKUP(order_details[[#This Row],[OrderID]], orders[OrderID], orders[Month])</f>
        <v>6</v>
      </c>
    </row>
    <row r="775" spans="1:10" x14ac:dyDescent="0.35">
      <c r="A775">
        <v>10537</v>
      </c>
      <c r="B775">
        <v>73</v>
      </c>
      <c r="C775">
        <v>15</v>
      </c>
      <c r="D775">
        <v>9</v>
      </c>
      <c r="E775">
        <v>0</v>
      </c>
      <c r="F775">
        <v>135</v>
      </c>
      <c r="G775" t="str">
        <f>VLOOKUP(VLOOKUP(order_details[[#This Row],[ProductID]], products[], 4, FALSE), categories[], 2, FALSE)</f>
        <v>Seafood</v>
      </c>
      <c r="H775">
        <f>VLOOKUP(order_details[[#This Row],[ProductID]], products[], 4, FALSE)</f>
        <v>8</v>
      </c>
      <c r="I775" t="str">
        <f>VLOOKUP(order_details[[#This Row],[OrderID]], orders[[OrderID]:[ShipCountry]], 14, FALSE)</f>
        <v>Switzerland</v>
      </c>
      <c r="J775" s="1">
        <f>_xlfn.XLOOKUP(order_details[[#This Row],[OrderID]], orders[OrderID], orders[Month])</f>
        <v>6</v>
      </c>
    </row>
    <row r="776" spans="1:10" x14ac:dyDescent="0.35">
      <c r="A776">
        <v>10538</v>
      </c>
      <c r="B776">
        <v>70</v>
      </c>
      <c r="C776">
        <v>15</v>
      </c>
      <c r="D776">
        <v>7</v>
      </c>
      <c r="E776">
        <v>0</v>
      </c>
      <c r="F776">
        <v>105</v>
      </c>
      <c r="G776" t="str">
        <f>VLOOKUP(VLOOKUP(order_details[[#This Row],[ProductID]], products[], 4, FALSE), categories[], 2, FALSE)</f>
        <v>Beverages</v>
      </c>
      <c r="H776">
        <f>VLOOKUP(order_details[[#This Row],[ProductID]], products[], 4, FALSE)</f>
        <v>1</v>
      </c>
      <c r="I776" t="str">
        <f>VLOOKUP(order_details[[#This Row],[OrderID]], orders[[OrderID]:[ShipCountry]], 14, FALSE)</f>
        <v>UK</v>
      </c>
      <c r="J776" s="1">
        <f>_xlfn.XLOOKUP(order_details[[#This Row],[OrderID]], orders[OrderID], orders[Month])</f>
        <v>6</v>
      </c>
    </row>
    <row r="777" spans="1:10" x14ac:dyDescent="0.35">
      <c r="A777">
        <v>10538</v>
      </c>
      <c r="B777">
        <v>72</v>
      </c>
      <c r="C777">
        <v>34.799999999999997</v>
      </c>
      <c r="D777">
        <v>1</v>
      </c>
      <c r="E777">
        <v>0</v>
      </c>
      <c r="F777">
        <v>34.799999999999997</v>
      </c>
      <c r="G777" t="str">
        <f>VLOOKUP(VLOOKUP(order_details[[#This Row],[ProductID]], products[], 4, FALSE), categories[], 2, FALSE)</f>
        <v>Dairy Products</v>
      </c>
      <c r="H777">
        <f>VLOOKUP(order_details[[#This Row],[ProductID]], products[], 4, FALSE)</f>
        <v>4</v>
      </c>
      <c r="I777" t="str">
        <f>VLOOKUP(order_details[[#This Row],[OrderID]], orders[[OrderID]:[ShipCountry]], 14, FALSE)</f>
        <v>UK</v>
      </c>
      <c r="J777" s="1">
        <f>_xlfn.XLOOKUP(order_details[[#This Row],[OrderID]], orders[OrderID], orders[Month])</f>
        <v>6</v>
      </c>
    </row>
    <row r="778" spans="1:10" x14ac:dyDescent="0.35">
      <c r="A778">
        <v>10539</v>
      </c>
      <c r="B778">
        <v>13</v>
      </c>
      <c r="C778">
        <v>6</v>
      </c>
      <c r="D778">
        <v>8</v>
      </c>
      <c r="E778">
        <v>0</v>
      </c>
      <c r="F778">
        <v>48</v>
      </c>
      <c r="G778" t="str">
        <f>VLOOKUP(VLOOKUP(order_details[[#This Row],[ProductID]], products[], 4, FALSE), categories[], 2, FALSE)</f>
        <v>Seafood</v>
      </c>
      <c r="H778">
        <f>VLOOKUP(order_details[[#This Row],[ProductID]], products[], 4, FALSE)</f>
        <v>8</v>
      </c>
      <c r="I778" t="str">
        <f>VLOOKUP(order_details[[#This Row],[OrderID]], orders[[OrderID]:[ShipCountry]], 14, FALSE)</f>
        <v>UK</v>
      </c>
      <c r="J778" s="1">
        <f>_xlfn.XLOOKUP(order_details[[#This Row],[OrderID]], orders[OrderID], orders[Month])</f>
        <v>6</v>
      </c>
    </row>
    <row r="779" spans="1:10" x14ac:dyDescent="0.35">
      <c r="A779">
        <v>10539</v>
      </c>
      <c r="B779">
        <v>21</v>
      </c>
      <c r="C779">
        <v>10</v>
      </c>
      <c r="D779">
        <v>15</v>
      </c>
      <c r="E779">
        <v>0</v>
      </c>
      <c r="F779">
        <v>150</v>
      </c>
      <c r="G779" t="str">
        <f>VLOOKUP(VLOOKUP(order_details[[#This Row],[ProductID]], products[], 4, FALSE), categories[], 2, FALSE)</f>
        <v>Confections</v>
      </c>
      <c r="H779">
        <f>VLOOKUP(order_details[[#This Row],[ProductID]], products[], 4, FALSE)</f>
        <v>3</v>
      </c>
      <c r="I779" t="str">
        <f>VLOOKUP(order_details[[#This Row],[OrderID]], orders[[OrderID]:[ShipCountry]], 14, FALSE)</f>
        <v>UK</v>
      </c>
      <c r="J779" s="1">
        <f>_xlfn.XLOOKUP(order_details[[#This Row],[OrderID]], orders[OrderID], orders[Month])</f>
        <v>6</v>
      </c>
    </row>
    <row r="780" spans="1:10" x14ac:dyDescent="0.35">
      <c r="A780">
        <v>10539</v>
      </c>
      <c r="B780">
        <v>33</v>
      </c>
      <c r="C780">
        <v>2.5</v>
      </c>
      <c r="D780">
        <v>15</v>
      </c>
      <c r="E780">
        <v>0</v>
      </c>
      <c r="F780">
        <v>37.5</v>
      </c>
      <c r="G780" t="str">
        <f>VLOOKUP(VLOOKUP(order_details[[#This Row],[ProductID]], products[], 4, FALSE), categories[], 2, FALSE)</f>
        <v>Dairy Products</v>
      </c>
      <c r="H780">
        <f>VLOOKUP(order_details[[#This Row],[ProductID]], products[], 4, FALSE)</f>
        <v>4</v>
      </c>
      <c r="I780" t="str">
        <f>VLOOKUP(order_details[[#This Row],[OrderID]], orders[[OrderID]:[ShipCountry]], 14, FALSE)</f>
        <v>UK</v>
      </c>
      <c r="J780" s="1">
        <f>_xlfn.XLOOKUP(order_details[[#This Row],[OrderID]], orders[OrderID], orders[Month])</f>
        <v>6</v>
      </c>
    </row>
    <row r="781" spans="1:10" x14ac:dyDescent="0.35">
      <c r="A781">
        <v>10539</v>
      </c>
      <c r="B781">
        <v>49</v>
      </c>
      <c r="C781">
        <v>20</v>
      </c>
      <c r="D781">
        <v>6</v>
      </c>
      <c r="E781">
        <v>0</v>
      </c>
      <c r="F781">
        <v>120</v>
      </c>
      <c r="G781" t="str">
        <f>VLOOKUP(VLOOKUP(order_details[[#This Row],[ProductID]], products[], 4, FALSE), categories[], 2, FALSE)</f>
        <v>Confections</v>
      </c>
      <c r="H781">
        <f>VLOOKUP(order_details[[#This Row],[ProductID]], products[], 4, FALSE)</f>
        <v>3</v>
      </c>
      <c r="I781" t="str">
        <f>VLOOKUP(order_details[[#This Row],[OrderID]], orders[[OrderID]:[ShipCountry]], 14, FALSE)</f>
        <v>UK</v>
      </c>
      <c r="J781" s="1">
        <f>_xlfn.XLOOKUP(order_details[[#This Row],[OrderID]], orders[OrderID], orders[Month])</f>
        <v>6</v>
      </c>
    </row>
    <row r="782" spans="1:10" x14ac:dyDescent="0.35">
      <c r="A782">
        <v>10540</v>
      </c>
      <c r="B782">
        <v>3</v>
      </c>
      <c r="C782">
        <v>10</v>
      </c>
      <c r="D782">
        <v>60</v>
      </c>
      <c r="E782">
        <v>0</v>
      </c>
      <c r="F782">
        <v>600</v>
      </c>
      <c r="G782" t="str">
        <f>VLOOKUP(VLOOKUP(order_details[[#This Row],[ProductID]], products[], 4, FALSE), categories[], 2, FALSE)</f>
        <v>Condiments</v>
      </c>
      <c r="H782">
        <f>VLOOKUP(order_details[[#This Row],[ProductID]], products[], 4, FALSE)</f>
        <v>2</v>
      </c>
      <c r="I782" t="str">
        <f>VLOOKUP(order_details[[#This Row],[OrderID]], orders[[OrderID]:[ShipCountry]], 14, FALSE)</f>
        <v>Germany</v>
      </c>
      <c r="J782" s="1">
        <f>_xlfn.XLOOKUP(order_details[[#This Row],[OrderID]], orders[OrderID], orders[Month])</f>
        <v>6</v>
      </c>
    </row>
    <row r="783" spans="1:10" x14ac:dyDescent="0.35">
      <c r="A783">
        <v>10540</v>
      </c>
      <c r="B783">
        <v>26</v>
      </c>
      <c r="C783">
        <v>31.23</v>
      </c>
      <c r="D783">
        <v>40</v>
      </c>
      <c r="E783">
        <v>0</v>
      </c>
      <c r="F783">
        <v>1249.2</v>
      </c>
      <c r="G783" t="str">
        <f>VLOOKUP(VLOOKUP(order_details[[#This Row],[ProductID]], products[], 4, FALSE), categories[], 2, FALSE)</f>
        <v>Confections</v>
      </c>
      <c r="H783">
        <f>VLOOKUP(order_details[[#This Row],[ProductID]], products[], 4, FALSE)</f>
        <v>3</v>
      </c>
      <c r="I783" t="str">
        <f>VLOOKUP(order_details[[#This Row],[OrderID]], orders[[OrderID]:[ShipCountry]], 14, FALSE)</f>
        <v>Germany</v>
      </c>
      <c r="J783" s="1">
        <f>_xlfn.XLOOKUP(order_details[[#This Row],[OrderID]], orders[OrderID], orders[Month])</f>
        <v>6</v>
      </c>
    </row>
    <row r="784" spans="1:10" x14ac:dyDescent="0.35">
      <c r="A784">
        <v>10540</v>
      </c>
      <c r="B784">
        <v>38</v>
      </c>
      <c r="C784">
        <v>263.5</v>
      </c>
      <c r="D784">
        <v>30</v>
      </c>
      <c r="E784">
        <v>0</v>
      </c>
      <c r="F784">
        <v>7905</v>
      </c>
      <c r="G784" t="str">
        <f>VLOOKUP(VLOOKUP(order_details[[#This Row],[ProductID]], products[], 4, FALSE), categories[], 2, FALSE)</f>
        <v>Beverages</v>
      </c>
      <c r="H784">
        <f>VLOOKUP(order_details[[#This Row],[ProductID]], products[], 4, FALSE)</f>
        <v>1</v>
      </c>
      <c r="I784" t="str">
        <f>VLOOKUP(order_details[[#This Row],[OrderID]], orders[[OrderID]:[ShipCountry]], 14, FALSE)</f>
        <v>Germany</v>
      </c>
      <c r="J784" s="1">
        <f>_xlfn.XLOOKUP(order_details[[#This Row],[OrderID]], orders[OrderID], orders[Month])</f>
        <v>6</v>
      </c>
    </row>
    <row r="785" spans="1:10" x14ac:dyDescent="0.35">
      <c r="A785">
        <v>10540</v>
      </c>
      <c r="B785">
        <v>68</v>
      </c>
      <c r="C785">
        <v>12.5</v>
      </c>
      <c r="D785">
        <v>35</v>
      </c>
      <c r="E785">
        <v>0</v>
      </c>
      <c r="F785">
        <v>437.5</v>
      </c>
      <c r="G785" t="str">
        <f>VLOOKUP(VLOOKUP(order_details[[#This Row],[ProductID]], products[], 4, FALSE), categories[], 2, FALSE)</f>
        <v>Confections</v>
      </c>
      <c r="H785">
        <f>VLOOKUP(order_details[[#This Row],[ProductID]], products[], 4, FALSE)</f>
        <v>3</v>
      </c>
      <c r="I785" t="str">
        <f>VLOOKUP(order_details[[#This Row],[OrderID]], orders[[OrderID]:[ShipCountry]], 14, FALSE)</f>
        <v>Germany</v>
      </c>
      <c r="J785" s="1">
        <f>_xlfn.XLOOKUP(order_details[[#This Row],[OrderID]], orders[OrderID], orders[Month])</f>
        <v>6</v>
      </c>
    </row>
    <row r="786" spans="1:10" x14ac:dyDescent="0.35">
      <c r="A786">
        <v>10541</v>
      </c>
      <c r="B786">
        <v>24</v>
      </c>
      <c r="C786">
        <v>4.5</v>
      </c>
      <c r="D786">
        <v>35</v>
      </c>
      <c r="E786">
        <v>0.1</v>
      </c>
      <c r="F786">
        <v>141.75</v>
      </c>
      <c r="G786" t="str">
        <f>VLOOKUP(VLOOKUP(order_details[[#This Row],[ProductID]], products[], 4, FALSE), categories[], 2, FALSE)</f>
        <v>Beverages</v>
      </c>
      <c r="H786">
        <f>VLOOKUP(order_details[[#This Row],[ProductID]], products[], 4, FALSE)</f>
        <v>1</v>
      </c>
      <c r="I786" t="str">
        <f>VLOOKUP(order_details[[#This Row],[OrderID]], orders[[OrderID]:[ShipCountry]], 14, FALSE)</f>
        <v>Brazil</v>
      </c>
      <c r="J786" s="1">
        <f>_xlfn.XLOOKUP(order_details[[#This Row],[OrderID]], orders[OrderID], orders[Month])</f>
        <v>6</v>
      </c>
    </row>
    <row r="787" spans="1:10" x14ac:dyDescent="0.35">
      <c r="A787">
        <v>10541</v>
      </c>
      <c r="B787">
        <v>38</v>
      </c>
      <c r="C787">
        <v>263.5</v>
      </c>
      <c r="D787">
        <v>4</v>
      </c>
      <c r="E787">
        <v>0.1</v>
      </c>
      <c r="F787">
        <v>948.6</v>
      </c>
      <c r="G787" t="str">
        <f>VLOOKUP(VLOOKUP(order_details[[#This Row],[ProductID]], products[], 4, FALSE), categories[], 2, FALSE)</f>
        <v>Beverages</v>
      </c>
      <c r="H787">
        <f>VLOOKUP(order_details[[#This Row],[ProductID]], products[], 4, FALSE)</f>
        <v>1</v>
      </c>
      <c r="I787" t="str">
        <f>VLOOKUP(order_details[[#This Row],[OrderID]], orders[[OrderID]:[ShipCountry]], 14, FALSE)</f>
        <v>Brazil</v>
      </c>
      <c r="J787" s="1">
        <f>_xlfn.XLOOKUP(order_details[[#This Row],[OrderID]], orders[OrderID], orders[Month])</f>
        <v>6</v>
      </c>
    </row>
    <row r="788" spans="1:10" x14ac:dyDescent="0.35">
      <c r="A788">
        <v>10541</v>
      </c>
      <c r="B788">
        <v>65</v>
      </c>
      <c r="C788">
        <v>21.05</v>
      </c>
      <c r="D788">
        <v>36</v>
      </c>
      <c r="E788">
        <v>0.1</v>
      </c>
      <c r="F788">
        <v>682.0200000000001</v>
      </c>
      <c r="G788" t="str">
        <f>VLOOKUP(VLOOKUP(order_details[[#This Row],[ProductID]], products[], 4, FALSE), categories[], 2, FALSE)</f>
        <v>Condiments</v>
      </c>
      <c r="H788">
        <f>VLOOKUP(order_details[[#This Row],[ProductID]], products[], 4, FALSE)</f>
        <v>2</v>
      </c>
      <c r="I788" t="str">
        <f>VLOOKUP(order_details[[#This Row],[OrderID]], orders[[OrderID]:[ShipCountry]], 14, FALSE)</f>
        <v>Brazil</v>
      </c>
      <c r="J788" s="1">
        <f>_xlfn.XLOOKUP(order_details[[#This Row],[OrderID]], orders[OrderID], orders[Month])</f>
        <v>6</v>
      </c>
    </row>
    <row r="789" spans="1:10" x14ac:dyDescent="0.35">
      <c r="A789">
        <v>10541</v>
      </c>
      <c r="B789">
        <v>71</v>
      </c>
      <c r="C789">
        <v>21.5</v>
      </c>
      <c r="D789">
        <v>9</v>
      </c>
      <c r="E789">
        <v>0.1</v>
      </c>
      <c r="F789">
        <v>174.15</v>
      </c>
      <c r="G789" t="str">
        <f>VLOOKUP(VLOOKUP(order_details[[#This Row],[ProductID]], products[], 4, FALSE), categories[], 2, FALSE)</f>
        <v>Dairy Products</v>
      </c>
      <c r="H789">
        <f>VLOOKUP(order_details[[#This Row],[ProductID]], products[], 4, FALSE)</f>
        <v>4</v>
      </c>
      <c r="I789" t="str">
        <f>VLOOKUP(order_details[[#This Row],[OrderID]], orders[[OrderID]:[ShipCountry]], 14, FALSE)</f>
        <v>Brazil</v>
      </c>
      <c r="J789" s="1">
        <f>_xlfn.XLOOKUP(order_details[[#This Row],[OrderID]], orders[OrderID], orders[Month])</f>
        <v>6</v>
      </c>
    </row>
    <row r="790" spans="1:10" x14ac:dyDescent="0.35">
      <c r="A790">
        <v>10542</v>
      </c>
      <c r="B790">
        <v>11</v>
      </c>
      <c r="C790">
        <v>21</v>
      </c>
      <c r="D790">
        <v>15</v>
      </c>
      <c r="E790">
        <v>0.05</v>
      </c>
      <c r="F790">
        <v>299.25</v>
      </c>
      <c r="G790" t="str">
        <f>VLOOKUP(VLOOKUP(order_details[[#This Row],[ProductID]], products[], 4, FALSE), categories[], 2, FALSE)</f>
        <v>Dairy Products</v>
      </c>
      <c r="H790">
        <f>VLOOKUP(order_details[[#This Row],[ProductID]], products[], 4, FALSE)</f>
        <v>4</v>
      </c>
      <c r="I790" t="str">
        <f>VLOOKUP(order_details[[#This Row],[OrderID]], orders[[OrderID]:[ShipCountry]], 14, FALSE)</f>
        <v>Germany</v>
      </c>
      <c r="J790" s="1">
        <f>_xlfn.XLOOKUP(order_details[[#This Row],[OrderID]], orders[OrderID], orders[Month])</f>
        <v>6</v>
      </c>
    </row>
    <row r="791" spans="1:10" x14ac:dyDescent="0.35">
      <c r="A791">
        <v>10542</v>
      </c>
      <c r="B791">
        <v>54</v>
      </c>
      <c r="C791">
        <v>7.45</v>
      </c>
      <c r="D791">
        <v>24</v>
      </c>
      <c r="E791">
        <v>0.05</v>
      </c>
      <c r="F791">
        <v>169.86</v>
      </c>
      <c r="G791" t="str">
        <f>VLOOKUP(VLOOKUP(order_details[[#This Row],[ProductID]], products[], 4, FALSE), categories[], 2, FALSE)</f>
        <v>Meat/Poultry</v>
      </c>
      <c r="H791">
        <f>VLOOKUP(order_details[[#This Row],[ProductID]], products[], 4, FALSE)</f>
        <v>6</v>
      </c>
      <c r="I791" t="str">
        <f>VLOOKUP(order_details[[#This Row],[OrderID]], orders[[OrderID]:[ShipCountry]], 14, FALSE)</f>
        <v>Germany</v>
      </c>
      <c r="J791" s="1">
        <f>_xlfn.XLOOKUP(order_details[[#This Row],[OrderID]], orders[OrderID], orders[Month])</f>
        <v>6</v>
      </c>
    </row>
    <row r="792" spans="1:10" x14ac:dyDescent="0.35">
      <c r="A792">
        <v>10543</v>
      </c>
      <c r="B792">
        <v>12</v>
      </c>
      <c r="C792">
        <v>38</v>
      </c>
      <c r="D792">
        <v>30</v>
      </c>
      <c r="E792">
        <v>0.15</v>
      </c>
      <c r="F792">
        <v>969</v>
      </c>
      <c r="G792" t="str">
        <f>VLOOKUP(VLOOKUP(order_details[[#This Row],[ProductID]], products[], 4, FALSE), categories[], 2, FALSE)</f>
        <v>Dairy Products</v>
      </c>
      <c r="H792">
        <f>VLOOKUP(order_details[[#This Row],[ProductID]], products[], 4, FALSE)</f>
        <v>4</v>
      </c>
      <c r="I792" t="str">
        <f>VLOOKUP(order_details[[#This Row],[OrderID]], orders[[OrderID]:[ShipCountry]], 14, FALSE)</f>
        <v>Venezuela</v>
      </c>
      <c r="J792" s="1">
        <f>_xlfn.XLOOKUP(order_details[[#This Row],[OrderID]], orders[OrderID], orders[Month])</f>
        <v>6</v>
      </c>
    </row>
    <row r="793" spans="1:10" x14ac:dyDescent="0.35">
      <c r="A793">
        <v>10543</v>
      </c>
      <c r="B793">
        <v>23</v>
      </c>
      <c r="C793">
        <v>9</v>
      </c>
      <c r="D793">
        <v>70</v>
      </c>
      <c r="E793">
        <v>0.15</v>
      </c>
      <c r="F793">
        <v>535.5</v>
      </c>
      <c r="G793" t="str">
        <f>VLOOKUP(VLOOKUP(order_details[[#This Row],[ProductID]], products[], 4, FALSE), categories[], 2, FALSE)</f>
        <v>Grains/Cereals</v>
      </c>
      <c r="H793">
        <f>VLOOKUP(order_details[[#This Row],[ProductID]], products[], 4, FALSE)</f>
        <v>5</v>
      </c>
      <c r="I793" t="str">
        <f>VLOOKUP(order_details[[#This Row],[OrderID]], orders[[OrderID]:[ShipCountry]], 14, FALSE)</f>
        <v>Venezuela</v>
      </c>
      <c r="J793" s="1">
        <f>_xlfn.XLOOKUP(order_details[[#This Row],[OrderID]], orders[OrderID], orders[Month])</f>
        <v>6</v>
      </c>
    </row>
    <row r="794" spans="1:10" x14ac:dyDescent="0.35">
      <c r="A794">
        <v>10544</v>
      </c>
      <c r="B794">
        <v>28</v>
      </c>
      <c r="C794">
        <v>45.6</v>
      </c>
      <c r="D794">
        <v>7</v>
      </c>
      <c r="E794">
        <v>0</v>
      </c>
      <c r="F794">
        <v>319.2</v>
      </c>
      <c r="G794" t="str">
        <f>VLOOKUP(VLOOKUP(order_details[[#This Row],[ProductID]], products[], 4, FALSE), categories[], 2, FALSE)</f>
        <v>Produce</v>
      </c>
      <c r="H794">
        <f>VLOOKUP(order_details[[#This Row],[ProductID]], products[], 4, FALSE)</f>
        <v>7</v>
      </c>
      <c r="I794" t="str">
        <f>VLOOKUP(order_details[[#This Row],[OrderID]], orders[[OrderID]:[ShipCountry]], 14, FALSE)</f>
        <v>USA</v>
      </c>
      <c r="J794" s="1">
        <f>_xlfn.XLOOKUP(order_details[[#This Row],[OrderID]], orders[OrderID], orders[Month])</f>
        <v>6</v>
      </c>
    </row>
    <row r="795" spans="1:10" x14ac:dyDescent="0.35">
      <c r="A795">
        <v>10544</v>
      </c>
      <c r="B795">
        <v>67</v>
      </c>
      <c r="C795">
        <v>14</v>
      </c>
      <c r="D795">
        <v>7</v>
      </c>
      <c r="E795">
        <v>0</v>
      </c>
      <c r="F795">
        <v>98</v>
      </c>
      <c r="G795" t="str">
        <f>VLOOKUP(VLOOKUP(order_details[[#This Row],[ProductID]], products[], 4, FALSE), categories[], 2, FALSE)</f>
        <v>Beverages</v>
      </c>
      <c r="H795">
        <f>VLOOKUP(order_details[[#This Row],[ProductID]], products[], 4, FALSE)</f>
        <v>1</v>
      </c>
      <c r="I795" t="str">
        <f>VLOOKUP(order_details[[#This Row],[OrderID]], orders[[OrderID]:[ShipCountry]], 14, FALSE)</f>
        <v>USA</v>
      </c>
      <c r="J795" s="1">
        <f>_xlfn.XLOOKUP(order_details[[#This Row],[OrderID]], orders[OrderID], orders[Month])</f>
        <v>6</v>
      </c>
    </row>
    <row r="796" spans="1:10" x14ac:dyDescent="0.35">
      <c r="A796">
        <v>10545</v>
      </c>
      <c r="B796">
        <v>11</v>
      </c>
      <c r="C796">
        <v>21</v>
      </c>
      <c r="D796">
        <v>10</v>
      </c>
      <c r="E796">
        <v>0</v>
      </c>
      <c r="F796">
        <v>210</v>
      </c>
      <c r="G796" t="str">
        <f>VLOOKUP(VLOOKUP(order_details[[#This Row],[ProductID]], products[], 4, FALSE), categories[], 2, FALSE)</f>
        <v>Dairy Products</v>
      </c>
      <c r="H796">
        <f>VLOOKUP(order_details[[#This Row],[ProductID]], products[], 4, FALSE)</f>
        <v>4</v>
      </c>
      <c r="I796" t="str">
        <f>VLOOKUP(order_details[[#This Row],[OrderID]], orders[[OrderID]:[ShipCountry]], 14, FALSE)</f>
        <v>USA</v>
      </c>
      <c r="J796" s="1">
        <f>_xlfn.XLOOKUP(order_details[[#This Row],[OrderID]], orders[OrderID], orders[Month])</f>
        <v>6</v>
      </c>
    </row>
    <row r="797" spans="1:10" x14ac:dyDescent="0.35">
      <c r="A797">
        <v>10546</v>
      </c>
      <c r="B797">
        <v>7</v>
      </c>
      <c r="C797">
        <v>30</v>
      </c>
      <c r="D797">
        <v>10</v>
      </c>
      <c r="E797">
        <v>0</v>
      </c>
      <c r="F797">
        <v>300</v>
      </c>
      <c r="G797" t="str">
        <f>VLOOKUP(VLOOKUP(order_details[[#This Row],[ProductID]], products[], 4, FALSE), categories[], 2, FALSE)</f>
        <v>Produce</v>
      </c>
      <c r="H797">
        <f>VLOOKUP(order_details[[#This Row],[ProductID]], products[], 4, FALSE)</f>
        <v>7</v>
      </c>
      <c r="I797" t="str">
        <f>VLOOKUP(order_details[[#This Row],[OrderID]], orders[[OrderID]:[ShipCountry]], 14, FALSE)</f>
        <v>France</v>
      </c>
      <c r="J797" s="1">
        <f>_xlfn.XLOOKUP(order_details[[#This Row],[OrderID]], orders[OrderID], orders[Month])</f>
        <v>6</v>
      </c>
    </row>
    <row r="798" spans="1:10" x14ac:dyDescent="0.35">
      <c r="A798">
        <v>10546</v>
      </c>
      <c r="B798">
        <v>35</v>
      </c>
      <c r="C798">
        <v>18</v>
      </c>
      <c r="D798">
        <v>30</v>
      </c>
      <c r="E798">
        <v>0</v>
      </c>
      <c r="F798">
        <v>540</v>
      </c>
      <c r="G798" t="str">
        <f>VLOOKUP(VLOOKUP(order_details[[#This Row],[ProductID]], products[], 4, FALSE), categories[], 2, FALSE)</f>
        <v>Beverages</v>
      </c>
      <c r="H798">
        <f>VLOOKUP(order_details[[#This Row],[ProductID]], products[], 4, FALSE)</f>
        <v>1</v>
      </c>
      <c r="I798" t="str">
        <f>VLOOKUP(order_details[[#This Row],[OrderID]], orders[[OrderID]:[ShipCountry]], 14, FALSE)</f>
        <v>France</v>
      </c>
      <c r="J798" s="1">
        <f>_xlfn.XLOOKUP(order_details[[#This Row],[OrderID]], orders[OrderID], orders[Month])</f>
        <v>6</v>
      </c>
    </row>
    <row r="799" spans="1:10" x14ac:dyDescent="0.35">
      <c r="A799">
        <v>10546</v>
      </c>
      <c r="B799">
        <v>62</v>
      </c>
      <c r="C799">
        <v>49.3</v>
      </c>
      <c r="D799">
        <v>40</v>
      </c>
      <c r="E799">
        <v>0</v>
      </c>
      <c r="F799">
        <v>1972</v>
      </c>
      <c r="G799" t="str">
        <f>VLOOKUP(VLOOKUP(order_details[[#This Row],[ProductID]], products[], 4, FALSE), categories[], 2, FALSE)</f>
        <v>Confections</v>
      </c>
      <c r="H799">
        <f>VLOOKUP(order_details[[#This Row],[ProductID]], products[], 4, FALSE)</f>
        <v>3</v>
      </c>
      <c r="I799" t="str">
        <f>VLOOKUP(order_details[[#This Row],[OrderID]], orders[[OrderID]:[ShipCountry]], 14, FALSE)</f>
        <v>France</v>
      </c>
      <c r="J799" s="1">
        <f>_xlfn.XLOOKUP(order_details[[#This Row],[OrderID]], orders[OrderID], orders[Month])</f>
        <v>6</v>
      </c>
    </row>
    <row r="800" spans="1:10" x14ac:dyDescent="0.35">
      <c r="A800">
        <v>10547</v>
      </c>
      <c r="B800">
        <v>32</v>
      </c>
      <c r="C800">
        <v>32</v>
      </c>
      <c r="D800">
        <v>24</v>
      </c>
      <c r="E800">
        <v>0.15</v>
      </c>
      <c r="F800">
        <v>652.79999999999995</v>
      </c>
      <c r="G800" t="str">
        <f>VLOOKUP(VLOOKUP(order_details[[#This Row],[ProductID]], products[], 4, FALSE), categories[], 2, FALSE)</f>
        <v>Dairy Products</v>
      </c>
      <c r="H800">
        <f>VLOOKUP(order_details[[#This Row],[ProductID]], products[], 4, FALSE)</f>
        <v>4</v>
      </c>
      <c r="I800" t="str">
        <f>VLOOKUP(order_details[[#This Row],[OrderID]], orders[[OrderID]:[ShipCountry]], 14, FALSE)</f>
        <v>UK</v>
      </c>
      <c r="J800" s="1">
        <f>_xlfn.XLOOKUP(order_details[[#This Row],[OrderID]], orders[OrderID], orders[Month])</f>
        <v>6</v>
      </c>
    </row>
    <row r="801" spans="1:10" x14ac:dyDescent="0.35">
      <c r="A801">
        <v>10547</v>
      </c>
      <c r="B801">
        <v>36</v>
      </c>
      <c r="C801">
        <v>19</v>
      </c>
      <c r="D801">
        <v>60</v>
      </c>
      <c r="E801">
        <v>0</v>
      </c>
      <c r="F801">
        <v>1140</v>
      </c>
      <c r="G801" t="str">
        <f>VLOOKUP(VLOOKUP(order_details[[#This Row],[ProductID]], products[], 4, FALSE), categories[], 2, FALSE)</f>
        <v>Seafood</v>
      </c>
      <c r="H801">
        <f>VLOOKUP(order_details[[#This Row],[ProductID]], products[], 4, FALSE)</f>
        <v>8</v>
      </c>
      <c r="I801" t="str">
        <f>VLOOKUP(order_details[[#This Row],[OrderID]], orders[[OrderID]:[ShipCountry]], 14, FALSE)</f>
        <v>UK</v>
      </c>
      <c r="J801" s="1">
        <f>_xlfn.XLOOKUP(order_details[[#This Row],[OrderID]], orders[OrderID], orders[Month])</f>
        <v>6</v>
      </c>
    </row>
    <row r="802" spans="1:10" x14ac:dyDescent="0.35">
      <c r="A802">
        <v>10548</v>
      </c>
      <c r="B802">
        <v>34</v>
      </c>
      <c r="C802">
        <v>14</v>
      </c>
      <c r="D802">
        <v>10</v>
      </c>
      <c r="E802">
        <v>0.25</v>
      </c>
      <c r="F802">
        <v>105</v>
      </c>
      <c r="G802" t="str">
        <f>VLOOKUP(VLOOKUP(order_details[[#This Row],[ProductID]], products[], 4, FALSE), categories[], 2, FALSE)</f>
        <v>Beverages</v>
      </c>
      <c r="H802">
        <f>VLOOKUP(order_details[[#This Row],[ProductID]], products[], 4, FALSE)</f>
        <v>1</v>
      </c>
      <c r="I802" t="str">
        <f>VLOOKUP(order_details[[#This Row],[OrderID]], orders[[OrderID]:[ShipCountry]], 14, FALSE)</f>
        <v>Germany</v>
      </c>
      <c r="J802" s="1">
        <f>_xlfn.XLOOKUP(order_details[[#This Row],[OrderID]], orders[OrderID], orders[Month])</f>
        <v>6</v>
      </c>
    </row>
    <row r="803" spans="1:10" x14ac:dyDescent="0.35">
      <c r="A803">
        <v>10548</v>
      </c>
      <c r="B803">
        <v>41</v>
      </c>
      <c r="C803">
        <v>9.65</v>
      </c>
      <c r="D803">
        <v>14</v>
      </c>
      <c r="E803">
        <v>0</v>
      </c>
      <c r="F803">
        <v>135.1</v>
      </c>
      <c r="G803" t="str">
        <f>VLOOKUP(VLOOKUP(order_details[[#This Row],[ProductID]], products[], 4, FALSE), categories[], 2, FALSE)</f>
        <v>Seafood</v>
      </c>
      <c r="H803">
        <f>VLOOKUP(order_details[[#This Row],[ProductID]], products[], 4, FALSE)</f>
        <v>8</v>
      </c>
      <c r="I803" t="str">
        <f>VLOOKUP(order_details[[#This Row],[OrderID]], orders[[OrderID]:[ShipCountry]], 14, FALSE)</f>
        <v>Germany</v>
      </c>
      <c r="J803" s="1">
        <f>_xlfn.XLOOKUP(order_details[[#This Row],[OrderID]], orders[OrderID], orders[Month])</f>
        <v>6</v>
      </c>
    </row>
    <row r="804" spans="1:10" x14ac:dyDescent="0.35">
      <c r="A804">
        <v>10549</v>
      </c>
      <c r="B804">
        <v>31</v>
      </c>
      <c r="C804">
        <v>12.5</v>
      </c>
      <c r="D804">
        <v>55</v>
      </c>
      <c r="E804">
        <v>0.15</v>
      </c>
      <c r="F804">
        <v>584.375</v>
      </c>
      <c r="G804" t="str">
        <f>VLOOKUP(VLOOKUP(order_details[[#This Row],[ProductID]], products[], 4, FALSE), categories[], 2, FALSE)</f>
        <v>Dairy Products</v>
      </c>
      <c r="H804">
        <f>VLOOKUP(order_details[[#This Row],[ProductID]], products[], 4, FALSE)</f>
        <v>4</v>
      </c>
      <c r="I804" t="str">
        <f>VLOOKUP(order_details[[#This Row],[OrderID]], orders[[OrderID]:[ShipCountry]], 14, FALSE)</f>
        <v>Germany</v>
      </c>
      <c r="J804" s="1">
        <f>_xlfn.XLOOKUP(order_details[[#This Row],[OrderID]], orders[OrderID], orders[Month])</f>
        <v>6</v>
      </c>
    </row>
    <row r="805" spans="1:10" x14ac:dyDescent="0.35">
      <c r="A805">
        <v>10549</v>
      </c>
      <c r="B805">
        <v>45</v>
      </c>
      <c r="C805">
        <v>9.5</v>
      </c>
      <c r="D805">
        <v>100</v>
      </c>
      <c r="E805">
        <v>0.15</v>
      </c>
      <c r="F805">
        <v>807.5</v>
      </c>
      <c r="G805" t="str">
        <f>VLOOKUP(VLOOKUP(order_details[[#This Row],[ProductID]], products[], 4, FALSE), categories[], 2, FALSE)</f>
        <v>Seafood</v>
      </c>
      <c r="H805">
        <f>VLOOKUP(order_details[[#This Row],[ProductID]], products[], 4, FALSE)</f>
        <v>8</v>
      </c>
      <c r="I805" t="str">
        <f>VLOOKUP(order_details[[#This Row],[OrderID]], orders[[OrderID]:[ShipCountry]], 14, FALSE)</f>
        <v>Germany</v>
      </c>
      <c r="J805" s="1">
        <f>_xlfn.XLOOKUP(order_details[[#This Row],[OrderID]], orders[OrderID], orders[Month])</f>
        <v>6</v>
      </c>
    </row>
    <row r="806" spans="1:10" x14ac:dyDescent="0.35">
      <c r="A806">
        <v>10549</v>
      </c>
      <c r="B806">
        <v>51</v>
      </c>
      <c r="C806">
        <v>53</v>
      </c>
      <c r="D806">
        <v>48</v>
      </c>
      <c r="E806">
        <v>0.15</v>
      </c>
      <c r="F806">
        <v>2162.4</v>
      </c>
      <c r="G806" t="str">
        <f>VLOOKUP(VLOOKUP(order_details[[#This Row],[ProductID]], products[], 4, FALSE), categories[], 2, FALSE)</f>
        <v>Produce</v>
      </c>
      <c r="H806">
        <f>VLOOKUP(order_details[[#This Row],[ProductID]], products[], 4, FALSE)</f>
        <v>7</v>
      </c>
      <c r="I806" t="str">
        <f>VLOOKUP(order_details[[#This Row],[OrderID]], orders[[OrderID]:[ShipCountry]], 14, FALSE)</f>
        <v>Germany</v>
      </c>
      <c r="J806" s="1">
        <f>_xlfn.XLOOKUP(order_details[[#This Row],[OrderID]], orders[OrderID], orders[Month])</f>
        <v>6</v>
      </c>
    </row>
    <row r="807" spans="1:10" x14ac:dyDescent="0.35">
      <c r="A807">
        <v>10550</v>
      </c>
      <c r="B807">
        <v>17</v>
      </c>
      <c r="C807">
        <v>39</v>
      </c>
      <c r="D807">
        <v>8</v>
      </c>
      <c r="E807">
        <v>0.1</v>
      </c>
      <c r="F807">
        <v>280.8</v>
      </c>
      <c r="G807" t="str">
        <f>VLOOKUP(VLOOKUP(order_details[[#This Row],[ProductID]], products[], 4, FALSE), categories[], 2, FALSE)</f>
        <v>Meat/Poultry</v>
      </c>
      <c r="H807">
        <f>VLOOKUP(order_details[[#This Row],[ProductID]], products[], 4, FALSE)</f>
        <v>6</v>
      </c>
      <c r="I807" t="str">
        <f>VLOOKUP(order_details[[#This Row],[OrderID]], orders[[OrderID]:[ShipCountry]], 14, FALSE)</f>
        <v>Spain</v>
      </c>
      <c r="J807" s="1">
        <f>_xlfn.XLOOKUP(order_details[[#This Row],[OrderID]], orders[OrderID], orders[Month])</f>
        <v>6</v>
      </c>
    </row>
    <row r="808" spans="1:10" x14ac:dyDescent="0.35">
      <c r="A808">
        <v>10550</v>
      </c>
      <c r="B808">
        <v>19</v>
      </c>
      <c r="C808">
        <v>9.1999999999999993</v>
      </c>
      <c r="D808">
        <v>10</v>
      </c>
      <c r="E808">
        <v>0</v>
      </c>
      <c r="F808">
        <v>92</v>
      </c>
      <c r="G808" t="str">
        <f>VLOOKUP(VLOOKUP(order_details[[#This Row],[ProductID]], products[], 4, FALSE), categories[], 2, FALSE)</f>
        <v>Confections</v>
      </c>
      <c r="H808">
        <f>VLOOKUP(order_details[[#This Row],[ProductID]], products[], 4, FALSE)</f>
        <v>3</v>
      </c>
      <c r="I808" t="str">
        <f>VLOOKUP(order_details[[#This Row],[OrderID]], orders[[OrderID]:[ShipCountry]], 14, FALSE)</f>
        <v>Spain</v>
      </c>
      <c r="J808" s="1">
        <f>_xlfn.XLOOKUP(order_details[[#This Row],[OrderID]], orders[OrderID], orders[Month])</f>
        <v>6</v>
      </c>
    </row>
    <row r="809" spans="1:10" x14ac:dyDescent="0.35">
      <c r="A809">
        <v>10550</v>
      </c>
      <c r="B809">
        <v>21</v>
      </c>
      <c r="C809">
        <v>10</v>
      </c>
      <c r="D809">
        <v>6</v>
      </c>
      <c r="E809">
        <v>0.1</v>
      </c>
      <c r="F809">
        <v>54</v>
      </c>
      <c r="G809" t="str">
        <f>VLOOKUP(VLOOKUP(order_details[[#This Row],[ProductID]], products[], 4, FALSE), categories[], 2, FALSE)</f>
        <v>Confections</v>
      </c>
      <c r="H809">
        <f>VLOOKUP(order_details[[#This Row],[ProductID]], products[], 4, FALSE)</f>
        <v>3</v>
      </c>
      <c r="I809" t="str">
        <f>VLOOKUP(order_details[[#This Row],[OrderID]], orders[[OrderID]:[ShipCountry]], 14, FALSE)</f>
        <v>Spain</v>
      </c>
      <c r="J809" s="1">
        <f>_xlfn.XLOOKUP(order_details[[#This Row],[OrderID]], orders[OrderID], orders[Month])</f>
        <v>6</v>
      </c>
    </row>
    <row r="810" spans="1:10" x14ac:dyDescent="0.35">
      <c r="A810">
        <v>10550</v>
      </c>
      <c r="B810">
        <v>61</v>
      </c>
      <c r="C810">
        <v>28.5</v>
      </c>
      <c r="D810">
        <v>10</v>
      </c>
      <c r="E810">
        <v>0.1</v>
      </c>
      <c r="F810">
        <v>256.5</v>
      </c>
      <c r="G810" t="str">
        <f>VLOOKUP(VLOOKUP(order_details[[#This Row],[ProductID]], products[], 4, FALSE), categories[], 2, FALSE)</f>
        <v>Condiments</v>
      </c>
      <c r="H810">
        <f>VLOOKUP(order_details[[#This Row],[ProductID]], products[], 4, FALSE)</f>
        <v>2</v>
      </c>
      <c r="I810" t="str">
        <f>VLOOKUP(order_details[[#This Row],[OrderID]], orders[[OrderID]:[ShipCountry]], 14, FALSE)</f>
        <v>Spain</v>
      </c>
      <c r="J810" s="1">
        <f>_xlfn.XLOOKUP(order_details[[#This Row],[OrderID]], orders[OrderID], orders[Month])</f>
        <v>6</v>
      </c>
    </row>
    <row r="811" spans="1:10" x14ac:dyDescent="0.35">
      <c r="A811">
        <v>10551</v>
      </c>
      <c r="B811">
        <v>16</v>
      </c>
      <c r="C811">
        <v>17.45</v>
      </c>
      <c r="D811">
        <v>40</v>
      </c>
      <c r="E811">
        <v>0.15</v>
      </c>
      <c r="F811">
        <v>593.29999999999995</v>
      </c>
      <c r="G811" t="str">
        <f>VLOOKUP(VLOOKUP(order_details[[#This Row],[ProductID]], products[], 4, FALSE), categories[], 2, FALSE)</f>
        <v>Confections</v>
      </c>
      <c r="H811">
        <f>VLOOKUP(order_details[[#This Row],[ProductID]], products[], 4, FALSE)</f>
        <v>3</v>
      </c>
      <c r="I811" t="str">
        <f>VLOOKUP(order_details[[#This Row],[OrderID]], orders[[OrderID]:[ShipCountry]], 14, FALSE)</f>
        <v>Portugal</v>
      </c>
      <c r="J811" s="1">
        <f>_xlfn.XLOOKUP(order_details[[#This Row],[OrderID]], orders[OrderID], orders[Month])</f>
        <v>6</v>
      </c>
    </row>
    <row r="812" spans="1:10" x14ac:dyDescent="0.35">
      <c r="A812">
        <v>10551</v>
      </c>
      <c r="B812">
        <v>35</v>
      </c>
      <c r="C812">
        <v>18</v>
      </c>
      <c r="D812">
        <v>20</v>
      </c>
      <c r="E812">
        <v>0.15</v>
      </c>
      <c r="F812">
        <v>306</v>
      </c>
      <c r="G812" t="str">
        <f>VLOOKUP(VLOOKUP(order_details[[#This Row],[ProductID]], products[], 4, FALSE), categories[], 2, FALSE)</f>
        <v>Beverages</v>
      </c>
      <c r="H812">
        <f>VLOOKUP(order_details[[#This Row],[ProductID]], products[], 4, FALSE)</f>
        <v>1</v>
      </c>
      <c r="I812" t="str">
        <f>VLOOKUP(order_details[[#This Row],[OrderID]], orders[[OrderID]:[ShipCountry]], 14, FALSE)</f>
        <v>Portugal</v>
      </c>
      <c r="J812" s="1">
        <f>_xlfn.XLOOKUP(order_details[[#This Row],[OrderID]], orders[OrderID], orders[Month])</f>
        <v>6</v>
      </c>
    </row>
    <row r="813" spans="1:10" x14ac:dyDescent="0.35">
      <c r="A813">
        <v>10551</v>
      </c>
      <c r="B813">
        <v>44</v>
      </c>
      <c r="C813">
        <v>19.45</v>
      </c>
      <c r="D813">
        <v>40</v>
      </c>
      <c r="E813">
        <v>0</v>
      </c>
      <c r="F813">
        <v>778</v>
      </c>
      <c r="G813" t="str">
        <f>VLOOKUP(VLOOKUP(order_details[[#This Row],[ProductID]], products[], 4, FALSE), categories[], 2, FALSE)</f>
        <v>Condiments</v>
      </c>
      <c r="H813">
        <f>VLOOKUP(order_details[[#This Row],[ProductID]], products[], 4, FALSE)</f>
        <v>2</v>
      </c>
      <c r="I813" t="str">
        <f>VLOOKUP(order_details[[#This Row],[OrderID]], orders[[OrderID]:[ShipCountry]], 14, FALSE)</f>
        <v>Portugal</v>
      </c>
      <c r="J813" s="1">
        <f>_xlfn.XLOOKUP(order_details[[#This Row],[OrderID]], orders[OrderID], orders[Month])</f>
        <v>6</v>
      </c>
    </row>
    <row r="814" spans="1:10" x14ac:dyDescent="0.35">
      <c r="A814">
        <v>10552</v>
      </c>
      <c r="B814">
        <v>69</v>
      </c>
      <c r="C814">
        <v>36</v>
      </c>
      <c r="D814">
        <v>18</v>
      </c>
      <c r="E814">
        <v>0</v>
      </c>
      <c r="F814">
        <v>648</v>
      </c>
      <c r="G814" t="str">
        <f>VLOOKUP(VLOOKUP(order_details[[#This Row],[ProductID]], products[], 4, FALSE), categories[], 2, FALSE)</f>
        <v>Dairy Products</v>
      </c>
      <c r="H814">
        <f>VLOOKUP(order_details[[#This Row],[ProductID]], products[], 4, FALSE)</f>
        <v>4</v>
      </c>
      <c r="I814" t="str">
        <f>VLOOKUP(order_details[[#This Row],[OrderID]], orders[[OrderID]:[ShipCountry]], 14, FALSE)</f>
        <v>Venezuela</v>
      </c>
      <c r="J814" s="1">
        <f>_xlfn.XLOOKUP(order_details[[#This Row],[OrderID]], orders[OrderID], orders[Month])</f>
        <v>6</v>
      </c>
    </row>
    <row r="815" spans="1:10" x14ac:dyDescent="0.35">
      <c r="A815">
        <v>10552</v>
      </c>
      <c r="B815">
        <v>75</v>
      </c>
      <c r="C815">
        <v>7.75</v>
      </c>
      <c r="D815">
        <v>30</v>
      </c>
      <c r="E815">
        <v>0</v>
      </c>
      <c r="F815">
        <v>232.5</v>
      </c>
      <c r="G815" t="str">
        <f>VLOOKUP(VLOOKUP(order_details[[#This Row],[ProductID]], products[], 4, FALSE), categories[], 2, FALSE)</f>
        <v>Beverages</v>
      </c>
      <c r="H815">
        <f>VLOOKUP(order_details[[#This Row],[ProductID]], products[], 4, FALSE)</f>
        <v>1</v>
      </c>
      <c r="I815" t="str">
        <f>VLOOKUP(order_details[[#This Row],[OrderID]], orders[[OrderID]:[ShipCountry]], 14, FALSE)</f>
        <v>Venezuela</v>
      </c>
      <c r="J815" s="1">
        <f>_xlfn.XLOOKUP(order_details[[#This Row],[OrderID]], orders[OrderID], orders[Month])</f>
        <v>6</v>
      </c>
    </row>
    <row r="816" spans="1:10" x14ac:dyDescent="0.35">
      <c r="A816">
        <v>10553</v>
      </c>
      <c r="B816">
        <v>11</v>
      </c>
      <c r="C816">
        <v>21</v>
      </c>
      <c r="D816">
        <v>15</v>
      </c>
      <c r="E816">
        <v>0</v>
      </c>
      <c r="F816">
        <v>315</v>
      </c>
      <c r="G816" t="str">
        <f>VLOOKUP(VLOOKUP(order_details[[#This Row],[ProductID]], products[], 4, FALSE), categories[], 2, FALSE)</f>
        <v>Dairy Products</v>
      </c>
      <c r="H816">
        <f>VLOOKUP(order_details[[#This Row],[ProductID]], products[], 4, FALSE)</f>
        <v>4</v>
      </c>
      <c r="I816" t="str">
        <f>VLOOKUP(order_details[[#This Row],[OrderID]], orders[[OrderID]:[ShipCountry]], 14, FALSE)</f>
        <v>Finland</v>
      </c>
      <c r="J816" s="1">
        <f>_xlfn.XLOOKUP(order_details[[#This Row],[OrderID]], orders[OrderID], orders[Month])</f>
        <v>6</v>
      </c>
    </row>
    <row r="817" spans="1:10" x14ac:dyDescent="0.35">
      <c r="A817">
        <v>10553</v>
      </c>
      <c r="B817">
        <v>16</v>
      </c>
      <c r="C817">
        <v>17.45</v>
      </c>
      <c r="D817">
        <v>14</v>
      </c>
      <c r="E817">
        <v>0</v>
      </c>
      <c r="F817">
        <v>244.29999999999998</v>
      </c>
      <c r="G817" t="str">
        <f>VLOOKUP(VLOOKUP(order_details[[#This Row],[ProductID]], products[], 4, FALSE), categories[], 2, FALSE)</f>
        <v>Confections</v>
      </c>
      <c r="H817">
        <f>VLOOKUP(order_details[[#This Row],[ProductID]], products[], 4, FALSE)</f>
        <v>3</v>
      </c>
      <c r="I817" t="str">
        <f>VLOOKUP(order_details[[#This Row],[OrderID]], orders[[OrderID]:[ShipCountry]], 14, FALSE)</f>
        <v>Finland</v>
      </c>
      <c r="J817" s="1">
        <f>_xlfn.XLOOKUP(order_details[[#This Row],[OrderID]], orders[OrderID], orders[Month])</f>
        <v>6</v>
      </c>
    </row>
    <row r="818" spans="1:10" x14ac:dyDescent="0.35">
      <c r="A818">
        <v>10553</v>
      </c>
      <c r="B818">
        <v>22</v>
      </c>
      <c r="C818">
        <v>21</v>
      </c>
      <c r="D818">
        <v>24</v>
      </c>
      <c r="E818">
        <v>0</v>
      </c>
      <c r="F818">
        <v>504</v>
      </c>
      <c r="G818" t="str">
        <f>VLOOKUP(VLOOKUP(order_details[[#This Row],[ProductID]], products[], 4, FALSE), categories[], 2, FALSE)</f>
        <v>Grains/Cereals</v>
      </c>
      <c r="H818">
        <f>VLOOKUP(order_details[[#This Row],[ProductID]], products[], 4, FALSE)</f>
        <v>5</v>
      </c>
      <c r="I818" t="str">
        <f>VLOOKUP(order_details[[#This Row],[OrderID]], orders[[OrderID]:[ShipCountry]], 14, FALSE)</f>
        <v>Finland</v>
      </c>
      <c r="J818" s="1">
        <f>_xlfn.XLOOKUP(order_details[[#This Row],[OrderID]], orders[OrderID], orders[Month])</f>
        <v>6</v>
      </c>
    </row>
    <row r="819" spans="1:10" x14ac:dyDescent="0.35">
      <c r="A819">
        <v>10553</v>
      </c>
      <c r="B819">
        <v>31</v>
      </c>
      <c r="C819">
        <v>12.5</v>
      </c>
      <c r="D819">
        <v>30</v>
      </c>
      <c r="E819">
        <v>0</v>
      </c>
      <c r="F819">
        <v>375</v>
      </c>
      <c r="G819" t="str">
        <f>VLOOKUP(VLOOKUP(order_details[[#This Row],[ProductID]], products[], 4, FALSE), categories[], 2, FALSE)</f>
        <v>Dairy Products</v>
      </c>
      <c r="H819">
        <f>VLOOKUP(order_details[[#This Row],[ProductID]], products[], 4, FALSE)</f>
        <v>4</v>
      </c>
      <c r="I819" t="str">
        <f>VLOOKUP(order_details[[#This Row],[OrderID]], orders[[OrderID]:[ShipCountry]], 14, FALSE)</f>
        <v>Finland</v>
      </c>
      <c r="J819" s="1">
        <f>_xlfn.XLOOKUP(order_details[[#This Row],[OrderID]], orders[OrderID], orders[Month])</f>
        <v>6</v>
      </c>
    </row>
    <row r="820" spans="1:10" x14ac:dyDescent="0.35">
      <c r="A820">
        <v>10553</v>
      </c>
      <c r="B820">
        <v>35</v>
      </c>
      <c r="C820">
        <v>18</v>
      </c>
      <c r="D820">
        <v>6</v>
      </c>
      <c r="E820">
        <v>0</v>
      </c>
      <c r="F820">
        <v>108</v>
      </c>
      <c r="G820" t="str">
        <f>VLOOKUP(VLOOKUP(order_details[[#This Row],[ProductID]], products[], 4, FALSE), categories[], 2, FALSE)</f>
        <v>Beverages</v>
      </c>
      <c r="H820">
        <f>VLOOKUP(order_details[[#This Row],[ProductID]], products[], 4, FALSE)</f>
        <v>1</v>
      </c>
      <c r="I820" t="str">
        <f>VLOOKUP(order_details[[#This Row],[OrderID]], orders[[OrderID]:[ShipCountry]], 14, FALSE)</f>
        <v>Finland</v>
      </c>
      <c r="J820" s="1">
        <f>_xlfn.XLOOKUP(order_details[[#This Row],[OrderID]], orders[OrderID], orders[Month])</f>
        <v>6</v>
      </c>
    </row>
    <row r="821" spans="1:10" x14ac:dyDescent="0.35">
      <c r="A821">
        <v>10554</v>
      </c>
      <c r="B821">
        <v>16</v>
      </c>
      <c r="C821">
        <v>17.45</v>
      </c>
      <c r="D821">
        <v>30</v>
      </c>
      <c r="E821">
        <v>0.05</v>
      </c>
      <c r="F821">
        <v>497.32499999999999</v>
      </c>
      <c r="G821" t="str">
        <f>VLOOKUP(VLOOKUP(order_details[[#This Row],[ProductID]], products[], 4, FALSE), categories[], 2, FALSE)</f>
        <v>Confections</v>
      </c>
      <c r="H821">
        <f>VLOOKUP(order_details[[#This Row],[ProductID]], products[], 4, FALSE)</f>
        <v>3</v>
      </c>
      <c r="I821" t="str">
        <f>VLOOKUP(order_details[[#This Row],[OrderID]], orders[[OrderID]:[ShipCountry]], 14, FALSE)</f>
        <v>Germany</v>
      </c>
      <c r="J821" s="1">
        <f>_xlfn.XLOOKUP(order_details[[#This Row],[OrderID]], orders[OrderID], orders[Month])</f>
        <v>6</v>
      </c>
    </row>
    <row r="822" spans="1:10" x14ac:dyDescent="0.35">
      <c r="A822">
        <v>10554</v>
      </c>
      <c r="B822">
        <v>23</v>
      </c>
      <c r="C822">
        <v>9</v>
      </c>
      <c r="D822">
        <v>20</v>
      </c>
      <c r="E822">
        <v>0.05</v>
      </c>
      <c r="F822">
        <v>171</v>
      </c>
      <c r="G822" t="str">
        <f>VLOOKUP(VLOOKUP(order_details[[#This Row],[ProductID]], products[], 4, FALSE), categories[], 2, FALSE)</f>
        <v>Grains/Cereals</v>
      </c>
      <c r="H822">
        <f>VLOOKUP(order_details[[#This Row],[ProductID]], products[], 4, FALSE)</f>
        <v>5</v>
      </c>
      <c r="I822" t="str">
        <f>VLOOKUP(order_details[[#This Row],[OrderID]], orders[[OrderID]:[ShipCountry]], 14, FALSE)</f>
        <v>Germany</v>
      </c>
      <c r="J822" s="1">
        <f>_xlfn.XLOOKUP(order_details[[#This Row],[OrderID]], orders[OrderID], orders[Month])</f>
        <v>6</v>
      </c>
    </row>
    <row r="823" spans="1:10" x14ac:dyDescent="0.35">
      <c r="A823">
        <v>10554</v>
      </c>
      <c r="B823">
        <v>62</v>
      </c>
      <c r="C823">
        <v>49.3</v>
      </c>
      <c r="D823">
        <v>20</v>
      </c>
      <c r="E823">
        <v>0.05</v>
      </c>
      <c r="F823">
        <v>936.69999999999993</v>
      </c>
      <c r="G823" t="str">
        <f>VLOOKUP(VLOOKUP(order_details[[#This Row],[ProductID]], products[], 4, FALSE), categories[], 2, FALSE)</f>
        <v>Confections</v>
      </c>
      <c r="H823">
        <f>VLOOKUP(order_details[[#This Row],[ProductID]], products[], 4, FALSE)</f>
        <v>3</v>
      </c>
      <c r="I823" t="str">
        <f>VLOOKUP(order_details[[#This Row],[OrderID]], orders[[OrderID]:[ShipCountry]], 14, FALSE)</f>
        <v>Germany</v>
      </c>
      <c r="J823" s="1">
        <f>_xlfn.XLOOKUP(order_details[[#This Row],[OrderID]], orders[OrderID], orders[Month])</f>
        <v>6</v>
      </c>
    </row>
    <row r="824" spans="1:10" x14ac:dyDescent="0.35">
      <c r="A824">
        <v>10554</v>
      </c>
      <c r="B824">
        <v>77</v>
      </c>
      <c r="C824">
        <v>13</v>
      </c>
      <c r="D824">
        <v>10</v>
      </c>
      <c r="E824">
        <v>0.05</v>
      </c>
      <c r="F824">
        <v>123.5</v>
      </c>
      <c r="G824" t="str">
        <f>VLOOKUP(VLOOKUP(order_details[[#This Row],[ProductID]], products[], 4, FALSE), categories[], 2, FALSE)</f>
        <v>Condiments</v>
      </c>
      <c r="H824">
        <f>VLOOKUP(order_details[[#This Row],[ProductID]], products[], 4, FALSE)</f>
        <v>2</v>
      </c>
      <c r="I824" t="str">
        <f>VLOOKUP(order_details[[#This Row],[OrderID]], orders[[OrderID]:[ShipCountry]], 14, FALSE)</f>
        <v>Germany</v>
      </c>
      <c r="J824" s="1">
        <f>_xlfn.XLOOKUP(order_details[[#This Row],[OrderID]], orders[OrderID], orders[Month])</f>
        <v>6</v>
      </c>
    </row>
    <row r="825" spans="1:10" x14ac:dyDescent="0.35">
      <c r="A825">
        <v>10555</v>
      </c>
      <c r="B825">
        <v>14</v>
      </c>
      <c r="C825">
        <v>23.25</v>
      </c>
      <c r="D825">
        <v>30</v>
      </c>
      <c r="E825">
        <v>0.2</v>
      </c>
      <c r="F825">
        <v>558</v>
      </c>
      <c r="G825" t="str">
        <f>VLOOKUP(VLOOKUP(order_details[[#This Row],[ProductID]], products[], 4, FALSE), categories[], 2, FALSE)</f>
        <v>Produce</v>
      </c>
      <c r="H825">
        <f>VLOOKUP(order_details[[#This Row],[ProductID]], products[], 4, FALSE)</f>
        <v>7</v>
      </c>
      <c r="I825" t="str">
        <f>VLOOKUP(order_details[[#This Row],[OrderID]], orders[[OrderID]:[ShipCountry]], 14, FALSE)</f>
        <v>USA</v>
      </c>
      <c r="J825" s="1">
        <f>_xlfn.XLOOKUP(order_details[[#This Row],[OrderID]], orders[OrderID], orders[Month])</f>
        <v>7</v>
      </c>
    </row>
    <row r="826" spans="1:10" x14ac:dyDescent="0.35">
      <c r="A826">
        <v>10555</v>
      </c>
      <c r="B826">
        <v>19</v>
      </c>
      <c r="C826">
        <v>9.1999999999999993</v>
      </c>
      <c r="D826">
        <v>35</v>
      </c>
      <c r="E826">
        <v>0.2</v>
      </c>
      <c r="F826">
        <v>257.60000000000002</v>
      </c>
      <c r="G826" t="str">
        <f>VLOOKUP(VLOOKUP(order_details[[#This Row],[ProductID]], products[], 4, FALSE), categories[], 2, FALSE)</f>
        <v>Confections</v>
      </c>
      <c r="H826">
        <f>VLOOKUP(order_details[[#This Row],[ProductID]], products[], 4, FALSE)</f>
        <v>3</v>
      </c>
      <c r="I826" t="str">
        <f>VLOOKUP(order_details[[#This Row],[OrderID]], orders[[OrderID]:[ShipCountry]], 14, FALSE)</f>
        <v>USA</v>
      </c>
      <c r="J826" s="1">
        <f>_xlfn.XLOOKUP(order_details[[#This Row],[OrderID]], orders[OrderID], orders[Month])</f>
        <v>7</v>
      </c>
    </row>
    <row r="827" spans="1:10" x14ac:dyDescent="0.35">
      <c r="A827">
        <v>10555</v>
      </c>
      <c r="B827">
        <v>24</v>
      </c>
      <c r="C827">
        <v>4.5</v>
      </c>
      <c r="D827">
        <v>18</v>
      </c>
      <c r="E827">
        <v>0.2</v>
      </c>
      <c r="F827">
        <v>64.8</v>
      </c>
      <c r="G827" t="str">
        <f>VLOOKUP(VLOOKUP(order_details[[#This Row],[ProductID]], products[], 4, FALSE), categories[], 2, FALSE)</f>
        <v>Beverages</v>
      </c>
      <c r="H827">
        <f>VLOOKUP(order_details[[#This Row],[ProductID]], products[], 4, FALSE)</f>
        <v>1</v>
      </c>
      <c r="I827" t="str">
        <f>VLOOKUP(order_details[[#This Row],[OrderID]], orders[[OrderID]:[ShipCountry]], 14, FALSE)</f>
        <v>USA</v>
      </c>
      <c r="J827" s="1">
        <f>_xlfn.XLOOKUP(order_details[[#This Row],[OrderID]], orders[OrderID], orders[Month])</f>
        <v>7</v>
      </c>
    </row>
    <row r="828" spans="1:10" x14ac:dyDescent="0.35">
      <c r="A828">
        <v>10555</v>
      </c>
      <c r="B828">
        <v>51</v>
      </c>
      <c r="C828">
        <v>53</v>
      </c>
      <c r="D828">
        <v>20</v>
      </c>
      <c r="E828">
        <v>0.2</v>
      </c>
      <c r="F828">
        <v>848</v>
      </c>
      <c r="G828" t="str">
        <f>VLOOKUP(VLOOKUP(order_details[[#This Row],[ProductID]], products[], 4, FALSE), categories[], 2, FALSE)</f>
        <v>Produce</v>
      </c>
      <c r="H828">
        <f>VLOOKUP(order_details[[#This Row],[ProductID]], products[], 4, FALSE)</f>
        <v>7</v>
      </c>
      <c r="I828" t="str">
        <f>VLOOKUP(order_details[[#This Row],[OrderID]], orders[[OrderID]:[ShipCountry]], 14, FALSE)</f>
        <v>USA</v>
      </c>
      <c r="J828" s="1">
        <f>_xlfn.XLOOKUP(order_details[[#This Row],[OrderID]], orders[OrderID], orders[Month])</f>
        <v>7</v>
      </c>
    </row>
    <row r="829" spans="1:10" x14ac:dyDescent="0.35">
      <c r="A829">
        <v>10555</v>
      </c>
      <c r="B829">
        <v>56</v>
      </c>
      <c r="C829">
        <v>38</v>
      </c>
      <c r="D829">
        <v>40</v>
      </c>
      <c r="E829">
        <v>0.2</v>
      </c>
      <c r="F829">
        <v>1216</v>
      </c>
      <c r="G829" t="str">
        <f>VLOOKUP(VLOOKUP(order_details[[#This Row],[ProductID]], products[], 4, FALSE), categories[], 2, FALSE)</f>
        <v>Grains/Cereals</v>
      </c>
      <c r="H829">
        <f>VLOOKUP(order_details[[#This Row],[ProductID]], products[], 4, FALSE)</f>
        <v>5</v>
      </c>
      <c r="I829" t="str">
        <f>VLOOKUP(order_details[[#This Row],[OrderID]], orders[[OrderID]:[ShipCountry]], 14, FALSE)</f>
        <v>USA</v>
      </c>
      <c r="J829" s="1">
        <f>_xlfn.XLOOKUP(order_details[[#This Row],[OrderID]], orders[OrderID], orders[Month])</f>
        <v>7</v>
      </c>
    </row>
    <row r="830" spans="1:10" x14ac:dyDescent="0.35">
      <c r="A830">
        <v>10556</v>
      </c>
      <c r="B830">
        <v>72</v>
      </c>
      <c r="C830">
        <v>34.799999999999997</v>
      </c>
      <c r="D830">
        <v>24</v>
      </c>
      <c r="E830">
        <v>0</v>
      </c>
      <c r="F830">
        <v>835.19999999999993</v>
      </c>
      <c r="G830" t="str">
        <f>VLOOKUP(VLOOKUP(order_details[[#This Row],[ProductID]], products[], 4, FALSE), categories[], 2, FALSE)</f>
        <v>Dairy Products</v>
      </c>
      <c r="H830">
        <f>VLOOKUP(order_details[[#This Row],[ProductID]], products[], 4, FALSE)</f>
        <v>4</v>
      </c>
      <c r="I830" t="str">
        <f>VLOOKUP(order_details[[#This Row],[OrderID]], orders[[OrderID]:[ShipCountry]], 14, FALSE)</f>
        <v>Denmark</v>
      </c>
      <c r="J830" s="1">
        <f>_xlfn.XLOOKUP(order_details[[#This Row],[OrderID]], orders[OrderID], orders[Month])</f>
        <v>7</v>
      </c>
    </row>
    <row r="831" spans="1:10" x14ac:dyDescent="0.35">
      <c r="A831">
        <v>10557</v>
      </c>
      <c r="B831">
        <v>64</v>
      </c>
      <c r="C831">
        <v>33.25</v>
      </c>
      <c r="D831">
        <v>30</v>
      </c>
      <c r="E831">
        <v>0</v>
      </c>
      <c r="F831">
        <v>997.5</v>
      </c>
      <c r="G831" t="str">
        <f>VLOOKUP(VLOOKUP(order_details[[#This Row],[ProductID]], products[], 4, FALSE), categories[], 2, FALSE)</f>
        <v>Grains/Cereals</v>
      </c>
      <c r="H831">
        <f>VLOOKUP(order_details[[#This Row],[ProductID]], products[], 4, FALSE)</f>
        <v>5</v>
      </c>
      <c r="I831" t="str">
        <f>VLOOKUP(order_details[[#This Row],[OrderID]], orders[[OrderID]:[ShipCountry]], 14, FALSE)</f>
        <v>Germany</v>
      </c>
      <c r="J831" s="1">
        <f>_xlfn.XLOOKUP(order_details[[#This Row],[OrderID]], orders[OrderID], orders[Month])</f>
        <v>7</v>
      </c>
    </row>
    <row r="832" spans="1:10" x14ac:dyDescent="0.35">
      <c r="A832">
        <v>10557</v>
      </c>
      <c r="B832">
        <v>75</v>
      </c>
      <c r="C832">
        <v>7.75</v>
      </c>
      <c r="D832">
        <v>20</v>
      </c>
      <c r="E832">
        <v>0</v>
      </c>
      <c r="F832">
        <v>155</v>
      </c>
      <c r="G832" t="str">
        <f>VLOOKUP(VLOOKUP(order_details[[#This Row],[ProductID]], products[], 4, FALSE), categories[], 2, FALSE)</f>
        <v>Beverages</v>
      </c>
      <c r="H832">
        <f>VLOOKUP(order_details[[#This Row],[ProductID]], products[], 4, FALSE)</f>
        <v>1</v>
      </c>
      <c r="I832" t="str">
        <f>VLOOKUP(order_details[[#This Row],[OrderID]], orders[[OrderID]:[ShipCountry]], 14, FALSE)</f>
        <v>Germany</v>
      </c>
      <c r="J832" s="1">
        <f>_xlfn.XLOOKUP(order_details[[#This Row],[OrderID]], orders[OrderID], orders[Month])</f>
        <v>7</v>
      </c>
    </row>
    <row r="833" spans="1:10" x14ac:dyDescent="0.35">
      <c r="A833">
        <v>10558</v>
      </c>
      <c r="B833">
        <v>47</v>
      </c>
      <c r="C833">
        <v>9.5</v>
      </c>
      <c r="D833">
        <v>25</v>
      </c>
      <c r="E833">
        <v>0</v>
      </c>
      <c r="F833">
        <v>237.5</v>
      </c>
      <c r="G833" t="str">
        <f>VLOOKUP(VLOOKUP(order_details[[#This Row],[ProductID]], products[], 4, FALSE), categories[], 2, FALSE)</f>
        <v>Confections</v>
      </c>
      <c r="H833">
        <f>VLOOKUP(order_details[[#This Row],[ProductID]], products[], 4, FALSE)</f>
        <v>3</v>
      </c>
      <c r="I833" t="str">
        <f>VLOOKUP(order_details[[#This Row],[OrderID]], orders[[OrderID]:[ShipCountry]], 14, FALSE)</f>
        <v>UK</v>
      </c>
      <c r="J833" s="1">
        <f>_xlfn.XLOOKUP(order_details[[#This Row],[OrderID]], orders[OrderID], orders[Month])</f>
        <v>7</v>
      </c>
    </row>
    <row r="834" spans="1:10" x14ac:dyDescent="0.35">
      <c r="A834">
        <v>10558</v>
      </c>
      <c r="B834">
        <v>51</v>
      </c>
      <c r="C834">
        <v>53</v>
      </c>
      <c r="D834">
        <v>20</v>
      </c>
      <c r="E834">
        <v>0</v>
      </c>
      <c r="F834">
        <v>1060</v>
      </c>
      <c r="G834" t="str">
        <f>VLOOKUP(VLOOKUP(order_details[[#This Row],[ProductID]], products[], 4, FALSE), categories[], 2, FALSE)</f>
        <v>Produce</v>
      </c>
      <c r="H834">
        <f>VLOOKUP(order_details[[#This Row],[ProductID]], products[], 4, FALSE)</f>
        <v>7</v>
      </c>
      <c r="I834" t="str">
        <f>VLOOKUP(order_details[[#This Row],[OrderID]], orders[[OrderID]:[ShipCountry]], 14, FALSE)</f>
        <v>UK</v>
      </c>
      <c r="J834" s="1">
        <f>_xlfn.XLOOKUP(order_details[[#This Row],[OrderID]], orders[OrderID], orders[Month])</f>
        <v>7</v>
      </c>
    </row>
    <row r="835" spans="1:10" x14ac:dyDescent="0.35">
      <c r="A835">
        <v>10558</v>
      </c>
      <c r="B835">
        <v>52</v>
      </c>
      <c r="C835">
        <v>7</v>
      </c>
      <c r="D835">
        <v>30</v>
      </c>
      <c r="E835">
        <v>0</v>
      </c>
      <c r="F835">
        <v>210</v>
      </c>
      <c r="G835" t="str">
        <f>VLOOKUP(VLOOKUP(order_details[[#This Row],[ProductID]], products[], 4, FALSE), categories[], 2, FALSE)</f>
        <v>Grains/Cereals</v>
      </c>
      <c r="H835">
        <f>VLOOKUP(order_details[[#This Row],[ProductID]], products[], 4, FALSE)</f>
        <v>5</v>
      </c>
      <c r="I835" t="str">
        <f>VLOOKUP(order_details[[#This Row],[OrderID]], orders[[OrderID]:[ShipCountry]], 14, FALSE)</f>
        <v>UK</v>
      </c>
      <c r="J835" s="1">
        <f>_xlfn.XLOOKUP(order_details[[#This Row],[OrderID]], orders[OrderID], orders[Month])</f>
        <v>7</v>
      </c>
    </row>
    <row r="836" spans="1:10" x14ac:dyDescent="0.35">
      <c r="A836">
        <v>10558</v>
      </c>
      <c r="B836">
        <v>53</v>
      </c>
      <c r="C836">
        <v>32.799999999999997</v>
      </c>
      <c r="D836">
        <v>18</v>
      </c>
      <c r="E836">
        <v>0</v>
      </c>
      <c r="F836">
        <v>590.4</v>
      </c>
      <c r="G836" t="str">
        <f>VLOOKUP(VLOOKUP(order_details[[#This Row],[ProductID]], products[], 4, FALSE), categories[], 2, FALSE)</f>
        <v>Meat/Poultry</v>
      </c>
      <c r="H836">
        <f>VLOOKUP(order_details[[#This Row],[ProductID]], products[], 4, FALSE)</f>
        <v>6</v>
      </c>
      <c r="I836" t="str">
        <f>VLOOKUP(order_details[[#This Row],[OrderID]], orders[[OrderID]:[ShipCountry]], 14, FALSE)</f>
        <v>UK</v>
      </c>
      <c r="J836" s="1">
        <f>_xlfn.XLOOKUP(order_details[[#This Row],[OrderID]], orders[OrderID], orders[Month])</f>
        <v>7</v>
      </c>
    </row>
    <row r="837" spans="1:10" x14ac:dyDescent="0.35">
      <c r="A837">
        <v>10558</v>
      </c>
      <c r="B837">
        <v>73</v>
      </c>
      <c r="C837">
        <v>15</v>
      </c>
      <c r="D837">
        <v>3</v>
      </c>
      <c r="E837">
        <v>0</v>
      </c>
      <c r="F837">
        <v>45</v>
      </c>
      <c r="G837" t="str">
        <f>VLOOKUP(VLOOKUP(order_details[[#This Row],[ProductID]], products[], 4, FALSE), categories[], 2, FALSE)</f>
        <v>Seafood</v>
      </c>
      <c r="H837">
        <f>VLOOKUP(order_details[[#This Row],[ProductID]], products[], 4, FALSE)</f>
        <v>8</v>
      </c>
      <c r="I837" t="str">
        <f>VLOOKUP(order_details[[#This Row],[OrderID]], orders[[OrderID]:[ShipCountry]], 14, FALSE)</f>
        <v>UK</v>
      </c>
      <c r="J837" s="1">
        <f>_xlfn.XLOOKUP(order_details[[#This Row],[OrderID]], orders[OrderID], orders[Month])</f>
        <v>7</v>
      </c>
    </row>
    <row r="838" spans="1:10" x14ac:dyDescent="0.35">
      <c r="A838">
        <v>10559</v>
      </c>
      <c r="B838">
        <v>41</v>
      </c>
      <c r="C838">
        <v>9.65</v>
      </c>
      <c r="D838">
        <v>12</v>
      </c>
      <c r="E838">
        <v>0.05</v>
      </c>
      <c r="F838">
        <v>110.01</v>
      </c>
      <c r="G838" t="str">
        <f>VLOOKUP(VLOOKUP(order_details[[#This Row],[ProductID]], products[], 4, FALSE), categories[], 2, FALSE)</f>
        <v>Seafood</v>
      </c>
      <c r="H838">
        <f>VLOOKUP(order_details[[#This Row],[ProductID]], products[], 4, FALSE)</f>
        <v>8</v>
      </c>
      <c r="I838" t="str">
        <f>VLOOKUP(order_details[[#This Row],[OrderID]], orders[[OrderID]:[ShipCountry]], 14, FALSE)</f>
        <v>France</v>
      </c>
      <c r="J838" s="1">
        <f>_xlfn.XLOOKUP(order_details[[#This Row],[OrderID]], orders[OrderID], orders[Month])</f>
        <v>7</v>
      </c>
    </row>
    <row r="839" spans="1:10" x14ac:dyDescent="0.35">
      <c r="A839">
        <v>10559</v>
      </c>
      <c r="B839">
        <v>55</v>
      </c>
      <c r="C839">
        <v>24</v>
      </c>
      <c r="D839">
        <v>18</v>
      </c>
      <c r="E839">
        <v>0.05</v>
      </c>
      <c r="F839">
        <v>410.4</v>
      </c>
      <c r="G839" t="str">
        <f>VLOOKUP(VLOOKUP(order_details[[#This Row],[ProductID]], products[], 4, FALSE), categories[], 2, FALSE)</f>
        <v>Meat/Poultry</v>
      </c>
      <c r="H839">
        <f>VLOOKUP(order_details[[#This Row],[ProductID]], products[], 4, FALSE)</f>
        <v>6</v>
      </c>
      <c r="I839" t="str">
        <f>VLOOKUP(order_details[[#This Row],[OrderID]], orders[[OrderID]:[ShipCountry]], 14, FALSE)</f>
        <v>France</v>
      </c>
      <c r="J839" s="1">
        <f>_xlfn.XLOOKUP(order_details[[#This Row],[OrderID]], orders[OrderID], orders[Month])</f>
        <v>7</v>
      </c>
    </row>
    <row r="840" spans="1:10" x14ac:dyDescent="0.35">
      <c r="A840">
        <v>10560</v>
      </c>
      <c r="B840">
        <v>30</v>
      </c>
      <c r="C840">
        <v>25.89</v>
      </c>
      <c r="D840">
        <v>20</v>
      </c>
      <c r="E840">
        <v>0</v>
      </c>
      <c r="F840">
        <v>517.79999999999995</v>
      </c>
      <c r="G840" t="str">
        <f>VLOOKUP(VLOOKUP(order_details[[#This Row],[ProductID]], products[], 4, FALSE), categories[], 2, FALSE)</f>
        <v>Seafood</v>
      </c>
      <c r="H840">
        <f>VLOOKUP(order_details[[#This Row],[ProductID]], products[], 4, FALSE)</f>
        <v>8</v>
      </c>
      <c r="I840" t="str">
        <f>VLOOKUP(order_details[[#This Row],[OrderID]], orders[[OrderID]:[ShipCountry]], 14, FALSE)</f>
        <v>Germany</v>
      </c>
      <c r="J840" s="1">
        <f>_xlfn.XLOOKUP(order_details[[#This Row],[OrderID]], orders[OrderID], orders[Month])</f>
        <v>7</v>
      </c>
    </row>
    <row r="841" spans="1:10" x14ac:dyDescent="0.35">
      <c r="A841">
        <v>10560</v>
      </c>
      <c r="B841">
        <v>62</v>
      </c>
      <c r="C841">
        <v>49.3</v>
      </c>
      <c r="D841">
        <v>15</v>
      </c>
      <c r="E841">
        <v>0.25</v>
      </c>
      <c r="F841">
        <v>554.625</v>
      </c>
      <c r="G841" t="str">
        <f>VLOOKUP(VLOOKUP(order_details[[#This Row],[ProductID]], products[], 4, FALSE), categories[], 2, FALSE)</f>
        <v>Confections</v>
      </c>
      <c r="H841">
        <f>VLOOKUP(order_details[[#This Row],[ProductID]], products[], 4, FALSE)</f>
        <v>3</v>
      </c>
      <c r="I841" t="str">
        <f>VLOOKUP(order_details[[#This Row],[OrderID]], orders[[OrderID]:[ShipCountry]], 14, FALSE)</f>
        <v>Germany</v>
      </c>
      <c r="J841" s="1">
        <f>_xlfn.XLOOKUP(order_details[[#This Row],[OrderID]], orders[OrderID], orders[Month])</f>
        <v>7</v>
      </c>
    </row>
    <row r="842" spans="1:10" x14ac:dyDescent="0.35">
      <c r="A842">
        <v>10561</v>
      </c>
      <c r="B842">
        <v>44</v>
      </c>
      <c r="C842">
        <v>19.45</v>
      </c>
      <c r="D842">
        <v>10</v>
      </c>
      <c r="E842">
        <v>0</v>
      </c>
      <c r="F842">
        <v>194.5</v>
      </c>
      <c r="G842" t="str">
        <f>VLOOKUP(VLOOKUP(order_details[[#This Row],[ProductID]], products[], 4, FALSE), categories[], 2, FALSE)</f>
        <v>Condiments</v>
      </c>
      <c r="H842">
        <f>VLOOKUP(order_details[[#This Row],[ProductID]], products[], 4, FALSE)</f>
        <v>2</v>
      </c>
      <c r="I842" t="str">
        <f>VLOOKUP(order_details[[#This Row],[OrderID]], orders[[OrderID]:[ShipCountry]], 14, FALSE)</f>
        <v>Sweden</v>
      </c>
      <c r="J842" s="1">
        <f>_xlfn.XLOOKUP(order_details[[#This Row],[OrderID]], orders[OrderID], orders[Month])</f>
        <v>7</v>
      </c>
    </row>
    <row r="843" spans="1:10" x14ac:dyDescent="0.35">
      <c r="A843">
        <v>10561</v>
      </c>
      <c r="B843">
        <v>51</v>
      </c>
      <c r="C843">
        <v>53</v>
      </c>
      <c r="D843">
        <v>50</v>
      </c>
      <c r="E843">
        <v>0</v>
      </c>
      <c r="F843">
        <v>2650</v>
      </c>
      <c r="G843" t="str">
        <f>VLOOKUP(VLOOKUP(order_details[[#This Row],[ProductID]], products[], 4, FALSE), categories[], 2, FALSE)</f>
        <v>Produce</v>
      </c>
      <c r="H843">
        <f>VLOOKUP(order_details[[#This Row],[ProductID]], products[], 4, FALSE)</f>
        <v>7</v>
      </c>
      <c r="I843" t="str">
        <f>VLOOKUP(order_details[[#This Row],[OrderID]], orders[[OrderID]:[ShipCountry]], 14, FALSE)</f>
        <v>Sweden</v>
      </c>
      <c r="J843" s="1">
        <f>_xlfn.XLOOKUP(order_details[[#This Row],[OrderID]], orders[OrderID], orders[Month])</f>
        <v>7</v>
      </c>
    </row>
    <row r="844" spans="1:10" x14ac:dyDescent="0.35">
      <c r="A844">
        <v>10562</v>
      </c>
      <c r="B844">
        <v>33</v>
      </c>
      <c r="C844">
        <v>2.5</v>
      </c>
      <c r="D844">
        <v>20</v>
      </c>
      <c r="E844">
        <v>0.1</v>
      </c>
      <c r="F844">
        <v>45</v>
      </c>
      <c r="G844" t="str">
        <f>VLOOKUP(VLOOKUP(order_details[[#This Row],[ProductID]], products[], 4, FALSE), categories[], 2, FALSE)</f>
        <v>Dairy Products</v>
      </c>
      <c r="H844">
        <f>VLOOKUP(order_details[[#This Row],[ProductID]], products[], 4, FALSE)</f>
        <v>4</v>
      </c>
      <c r="I844" t="str">
        <f>VLOOKUP(order_details[[#This Row],[OrderID]], orders[[OrderID]:[ShipCountry]], 14, FALSE)</f>
        <v>Italy</v>
      </c>
      <c r="J844" s="1">
        <f>_xlfn.XLOOKUP(order_details[[#This Row],[OrderID]], orders[OrderID], orders[Month])</f>
        <v>7</v>
      </c>
    </row>
    <row r="845" spans="1:10" x14ac:dyDescent="0.35">
      <c r="A845">
        <v>10562</v>
      </c>
      <c r="B845">
        <v>62</v>
      </c>
      <c r="C845">
        <v>49.3</v>
      </c>
      <c r="D845">
        <v>10</v>
      </c>
      <c r="E845">
        <v>0.1</v>
      </c>
      <c r="F845">
        <v>443.7</v>
      </c>
      <c r="G845" t="str">
        <f>VLOOKUP(VLOOKUP(order_details[[#This Row],[ProductID]], products[], 4, FALSE), categories[], 2, FALSE)</f>
        <v>Confections</v>
      </c>
      <c r="H845">
        <f>VLOOKUP(order_details[[#This Row],[ProductID]], products[], 4, FALSE)</f>
        <v>3</v>
      </c>
      <c r="I845" t="str">
        <f>VLOOKUP(order_details[[#This Row],[OrderID]], orders[[OrderID]:[ShipCountry]], 14, FALSE)</f>
        <v>Italy</v>
      </c>
      <c r="J845" s="1">
        <f>_xlfn.XLOOKUP(order_details[[#This Row],[OrderID]], orders[OrderID], orders[Month])</f>
        <v>7</v>
      </c>
    </row>
    <row r="846" spans="1:10" x14ac:dyDescent="0.35">
      <c r="A846">
        <v>10563</v>
      </c>
      <c r="B846">
        <v>36</v>
      </c>
      <c r="C846">
        <v>19</v>
      </c>
      <c r="D846">
        <v>25</v>
      </c>
      <c r="E846">
        <v>0</v>
      </c>
      <c r="F846">
        <v>475</v>
      </c>
      <c r="G846" t="str">
        <f>VLOOKUP(VLOOKUP(order_details[[#This Row],[ProductID]], products[], 4, FALSE), categories[], 2, FALSE)</f>
        <v>Seafood</v>
      </c>
      <c r="H846">
        <f>VLOOKUP(order_details[[#This Row],[ProductID]], products[], 4, FALSE)</f>
        <v>8</v>
      </c>
      <c r="I846" t="str">
        <f>VLOOKUP(order_details[[#This Row],[OrderID]], orders[[OrderID]:[ShipCountry]], 14, FALSE)</f>
        <v>Brazil</v>
      </c>
      <c r="J846" s="1">
        <f>_xlfn.XLOOKUP(order_details[[#This Row],[OrderID]], orders[OrderID], orders[Month])</f>
        <v>7</v>
      </c>
    </row>
    <row r="847" spans="1:10" x14ac:dyDescent="0.35">
      <c r="A847">
        <v>10563</v>
      </c>
      <c r="B847">
        <v>52</v>
      </c>
      <c r="C847">
        <v>7</v>
      </c>
      <c r="D847">
        <v>70</v>
      </c>
      <c r="E847">
        <v>0</v>
      </c>
      <c r="F847">
        <v>490</v>
      </c>
      <c r="G847" t="str">
        <f>VLOOKUP(VLOOKUP(order_details[[#This Row],[ProductID]], products[], 4, FALSE), categories[], 2, FALSE)</f>
        <v>Grains/Cereals</v>
      </c>
      <c r="H847">
        <f>VLOOKUP(order_details[[#This Row],[ProductID]], products[], 4, FALSE)</f>
        <v>5</v>
      </c>
      <c r="I847" t="str">
        <f>VLOOKUP(order_details[[#This Row],[OrderID]], orders[[OrderID]:[ShipCountry]], 14, FALSE)</f>
        <v>Brazil</v>
      </c>
      <c r="J847" s="1">
        <f>_xlfn.XLOOKUP(order_details[[#This Row],[OrderID]], orders[OrderID], orders[Month])</f>
        <v>7</v>
      </c>
    </row>
    <row r="848" spans="1:10" x14ac:dyDescent="0.35">
      <c r="A848">
        <v>10564</v>
      </c>
      <c r="B848">
        <v>17</v>
      </c>
      <c r="C848">
        <v>39</v>
      </c>
      <c r="D848">
        <v>16</v>
      </c>
      <c r="E848">
        <v>0.05</v>
      </c>
      <c r="F848">
        <v>592.79999999999995</v>
      </c>
      <c r="G848" t="str">
        <f>VLOOKUP(VLOOKUP(order_details[[#This Row],[ProductID]], products[], 4, FALSE), categories[], 2, FALSE)</f>
        <v>Meat/Poultry</v>
      </c>
      <c r="H848">
        <f>VLOOKUP(order_details[[#This Row],[ProductID]], products[], 4, FALSE)</f>
        <v>6</v>
      </c>
      <c r="I848" t="str">
        <f>VLOOKUP(order_details[[#This Row],[OrderID]], orders[[OrderID]:[ShipCountry]], 14, FALSE)</f>
        <v>USA</v>
      </c>
      <c r="J848" s="1">
        <f>_xlfn.XLOOKUP(order_details[[#This Row],[OrderID]], orders[OrderID], orders[Month])</f>
        <v>7</v>
      </c>
    </row>
    <row r="849" spans="1:10" x14ac:dyDescent="0.35">
      <c r="A849">
        <v>10564</v>
      </c>
      <c r="B849">
        <v>31</v>
      </c>
      <c r="C849">
        <v>12.5</v>
      </c>
      <c r="D849">
        <v>6</v>
      </c>
      <c r="E849">
        <v>0.05</v>
      </c>
      <c r="F849">
        <v>71.25</v>
      </c>
      <c r="G849" t="str">
        <f>VLOOKUP(VLOOKUP(order_details[[#This Row],[ProductID]], products[], 4, FALSE), categories[], 2, FALSE)</f>
        <v>Dairy Products</v>
      </c>
      <c r="H849">
        <f>VLOOKUP(order_details[[#This Row],[ProductID]], products[], 4, FALSE)</f>
        <v>4</v>
      </c>
      <c r="I849" t="str">
        <f>VLOOKUP(order_details[[#This Row],[OrderID]], orders[[OrderID]:[ShipCountry]], 14, FALSE)</f>
        <v>USA</v>
      </c>
      <c r="J849" s="1">
        <f>_xlfn.XLOOKUP(order_details[[#This Row],[OrderID]], orders[OrderID], orders[Month])</f>
        <v>7</v>
      </c>
    </row>
    <row r="850" spans="1:10" x14ac:dyDescent="0.35">
      <c r="A850">
        <v>10564</v>
      </c>
      <c r="B850">
        <v>55</v>
      </c>
      <c r="C850">
        <v>24</v>
      </c>
      <c r="D850">
        <v>25</v>
      </c>
      <c r="E850">
        <v>0.05</v>
      </c>
      <c r="F850">
        <v>570</v>
      </c>
      <c r="G850" t="str">
        <f>VLOOKUP(VLOOKUP(order_details[[#This Row],[ProductID]], products[], 4, FALSE), categories[], 2, FALSE)</f>
        <v>Meat/Poultry</v>
      </c>
      <c r="H850">
        <f>VLOOKUP(order_details[[#This Row],[ProductID]], products[], 4, FALSE)</f>
        <v>6</v>
      </c>
      <c r="I850" t="str">
        <f>VLOOKUP(order_details[[#This Row],[OrderID]], orders[[OrderID]:[ShipCountry]], 14, FALSE)</f>
        <v>USA</v>
      </c>
      <c r="J850" s="1">
        <f>_xlfn.XLOOKUP(order_details[[#This Row],[OrderID]], orders[OrderID], orders[Month])</f>
        <v>7</v>
      </c>
    </row>
    <row r="851" spans="1:10" x14ac:dyDescent="0.35">
      <c r="A851">
        <v>10565</v>
      </c>
      <c r="B851">
        <v>24</v>
      </c>
      <c r="C851">
        <v>4.5</v>
      </c>
      <c r="D851">
        <v>25</v>
      </c>
      <c r="E851">
        <v>0.1</v>
      </c>
      <c r="F851">
        <v>101.25</v>
      </c>
      <c r="G851" t="str">
        <f>VLOOKUP(VLOOKUP(order_details[[#This Row],[ProductID]], products[], 4, FALSE), categories[], 2, FALSE)</f>
        <v>Beverages</v>
      </c>
      <c r="H851">
        <f>VLOOKUP(order_details[[#This Row],[ProductID]], products[], 4, FALSE)</f>
        <v>1</v>
      </c>
      <c r="I851" t="str">
        <f>VLOOKUP(order_details[[#This Row],[OrderID]], orders[[OrderID]:[ShipCountry]], 14, FALSE)</f>
        <v>Canada</v>
      </c>
      <c r="J851" s="1">
        <f>_xlfn.XLOOKUP(order_details[[#This Row],[OrderID]], orders[OrderID], orders[Month])</f>
        <v>7</v>
      </c>
    </row>
    <row r="852" spans="1:10" x14ac:dyDescent="0.35">
      <c r="A852">
        <v>10565</v>
      </c>
      <c r="B852">
        <v>64</v>
      </c>
      <c r="C852">
        <v>33.25</v>
      </c>
      <c r="D852">
        <v>18</v>
      </c>
      <c r="E852">
        <v>0.1</v>
      </c>
      <c r="F852">
        <v>538.65</v>
      </c>
      <c r="G852" t="str">
        <f>VLOOKUP(VLOOKUP(order_details[[#This Row],[ProductID]], products[], 4, FALSE), categories[], 2, FALSE)</f>
        <v>Grains/Cereals</v>
      </c>
      <c r="H852">
        <f>VLOOKUP(order_details[[#This Row],[ProductID]], products[], 4, FALSE)</f>
        <v>5</v>
      </c>
      <c r="I852" t="str">
        <f>VLOOKUP(order_details[[#This Row],[OrderID]], orders[[OrderID]:[ShipCountry]], 14, FALSE)</f>
        <v>Canada</v>
      </c>
      <c r="J852" s="1">
        <f>_xlfn.XLOOKUP(order_details[[#This Row],[OrderID]], orders[OrderID], orders[Month])</f>
        <v>7</v>
      </c>
    </row>
    <row r="853" spans="1:10" x14ac:dyDescent="0.35">
      <c r="A853">
        <v>10566</v>
      </c>
      <c r="B853">
        <v>11</v>
      </c>
      <c r="C853">
        <v>21</v>
      </c>
      <c r="D853">
        <v>35</v>
      </c>
      <c r="E853">
        <v>0.15</v>
      </c>
      <c r="F853">
        <v>624.75</v>
      </c>
      <c r="G853" t="str">
        <f>VLOOKUP(VLOOKUP(order_details[[#This Row],[ProductID]], products[], 4, FALSE), categories[], 2, FALSE)</f>
        <v>Dairy Products</v>
      </c>
      <c r="H853">
        <f>VLOOKUP(order_details[[#This Row],[ProductID]], products[], 4, FALSE)</f>
        <v>4</v>
      </c>
      <c r="I853" t="str">
        <f>VLOOKUP(order_details[[#This Row],[OrderID]], orders[[OrderID]:[ShipCountry]], 14, FALSE)</f>
        <v>France</v>
      </c>
      <c r="J853" s="1">
        <f>_xlfn.XLOOKUP(order_details[[#This Row],[OrderID]], orders[OrderID], orders[Month])</f>
        <v>7</v>
      </c>
    </row>
    <row r="854" spans="1:10" x14ac:dyDescent="0.35">
      <c r="A854">
        <v>10566</v>
      </c>
      <c r="B854">
        <v>18</v>
      </c>
      <c r="C854">
        <v>62.5</v>
      </c>
      <c r="D854">
        <v>18</v>
      </c>
      <c r="E854">
        <v>0.15</v>
      </c>
      <c r="F854">
        <v>956.25</v>
      </c>
      <c r="G854" t="str">
        <f>VLOOKUP(VLOOKUP(order_details[[#This Row],[ProductID]], products[], 4, FALSE), categories[], 2, FALSE)</f>
        <v>Seafood</v>
      </c>
      <c r="H854">
        <f>VLOOKUP(order_details[[#This Row],[ProductID]], products[], 4, FALSE)</f>
        <v>8</v>
      </c>
      <c r="I854" t="str">
        <f>VLOOKUP(order_details[[#This Row],[OrderID]], orders[[OrderID]:[ShipCountry]], 14, FALSE)</f>
        <v>France</v>
      </c>
      <c r="J854" s="1">
        <f>_xlfn.XLOOKUP(order_details[[#This Row],[OrderID]], orders[OrderID], orders[Month])</f>
        <v>7</v>
      </c>
    </row>
    <row r="855" spans="1:10" x14ac:dyDescent="0.35">
      <c r="A855">
        <v>10566</v>
      </c>
      <c r="B855">
        <v>76</v>
      </c>
      <c r="C855">
        <v>18</v>
      </c>
      <c r="D855">
        <v>10</v>
      </c>
      <c r="E855">
        <v>0</v>
      </c>
      <c r="F855">
        <v>180</v>
      </c>
      <c r="G855" t="str">
        <f>VLOOKUP(VLOOKUP(order_details[[#This Row],[ProductID]], products[], 4, FALSE), categories[], 2, FALSE)</f>
        <v>Beverages</v>
      </c>
      <c r="H855">
        <f>VLOOKUP(order_details[[#This Row],[ProductID]], products[], 4, FALSE)</f>
        <v>1</v>
      </c>
      <c r="I855" t="str">
        <f>VLOOKUP(order_details[[#This Row],[OrderID]], orders[[OrderID]:[ShipCountry]], 14, FALSE)</f>
        <v>France</v>
      </c>
      <c r="J855" s="1">
        <f>_xlfn.XLOOKUP(order_details[[#This Row],[OrderID]], orders[OrderID], orders[Month])</f>
        <v>7</v>
      </c>
    </row>
    <row r="856" spans="1:10" x14ac:dyDescent="0.35">
      <c r="A856">
        <v>10567</v>
      </c>
      <c r="B856">
        <v>31</v>
      </c>
      <c r="C856">
        <v>12.5</v>
      </c>
      <c r="D856">
        <v>60</v>
      </c>
      <c r="E856">
        <v>0.2</v>
      </c>
      <c r="F856">
        <v>600</v>
      </c>
      <c r="G856" t="str">
        <f>VLOOKUP(VLOOKUP(order_details[[#This Row],[ProductID]], products[], 4, FALSE), categories[], 2, FALSE)</f>
        <v>Dairy Products</v>
      </c>
      <c r="H856">
        <f>VLOOKUP(order_details[[#This Row],[ProductID]], products[], 4, FALSE)</f>
        <v>4</v>
      </c>
      <c r="I856" t="str">
        <f>VLOOKUP(order_details[[#This Row],[OrderID]], orders[[OrderID]:[ShipCountry]], 14, FALSE)</f>
        <v>Ireland</v>
      </c>
      <c r="J856" s="1">
        <f>_xlfn.XLOOKUP(order_details[[#This Row],[OrderID]], orders[OrderID], orders[Month])</f>
        <v>7</v>
      </c>
    </row>
    <row r="857" spans="1:10" x14ac:dyDescent="0.35">
      <c r="A857">
        <v>10567</v>
      </c>
      <c r="B857">
        <v>51</v>
      </c>
      <c r="C857">
        <v>53</v>
      </c>
      <c r="D857">
        <v>3</v>
      </c>
      <c r="E857">
        <v>0</v>
      </c>
      <c r="F857">
        <v>159</v>
      </c>
      <c r="G857" t="str">
        <f>VLOOKUP(VLOOKUP(order_details[[#This Row],[ProductID]], products[], 4, FALSE), categories[], 2, FALSE)</f>
        <v>Produce</v>
      </c>
      <c r="H857">
        <f>VLOOKUP(order_details[[#This Row],[ProductID]], products[], 4, FALSE)</f>
        <v>7</v>
      </c>
      <c r="I857" t="str">
        <f>VLOOKUP(order_details[[#This Row],[OrderID]], orders[[OrderID]:[ShipCountry]], 14, FALSE)</f>
        <v>Ireland</v>
      </c>
      <c r="J857" s="1">
        <f>_xlfn.XLOOKUP(order_details[[#This Row],[OrderID]], orders[OrderID], orders[Month])</f>
        <v>7</v>
      </c>
    </row>
    <row r="858" spans="1:10" x14ac:dyDescent="0.35">
      <c r="A858">
        <v>10567</v>
      </c>
      <c r="B858">
        <v>59</v>
      </c>
      <c r="C858">
        <v>55</v>
      </c>
      <c r="D858">
        <v>40</v>
      </c>
      <c r="E858">
        <v>0.2</v>
      </c>
      <c r="F858">
        <v>1760</v>
      </c>
      <c r="G858" t="str">
        <f>VLOOKUP(VLOOKUP(order_details[[#This Row],[ProductID]], products[], 4, FALSE), categories[], 2, FALSE)</f>
        <v>Dairy Products</v>
      </c>
      <c r="H858">
        <f>VLOOKUP(order_details[[#This Row],[ProductID]], products[], 4, FALSE)</f>
        <v>4</v>
      </c>
      <c r="I858" t="str">
        <f>VLOOKUP(order_details[[#This Row],[OrderID]], orders[[OrderID]:[ShipCountry]], 14, FALSE)</f>
        <v>Ireland</v>
      </c>
      <c r="J858" s="1">
        <f>_xlfn.XLOOKUP(order_details[[#This Row],[OrderID]], orders[OrderID], orders[Month])</f>
        <v>7</v>
      </c>
    </row>
    <row r="859" spans="1:10" x14ac:dyDescent="0.35">
      <c r="A859">
        <v>10568</v>
      </c>
      <c r="B859">
        <v>10</v>
      </c>
      <c r="C859">
        <v>31</v>
      </c>
      <c r="D859">
        <v>5</v>
      </c>
      <c r="E859">
        <v>0</v>
      </c>
      <c r="F859">
        <v>155</v>
      </c>
      <c r="G859" t="str">
        <f>VLOOKUP(VLOOKUP(order_details[[#This Row],[ProductID]], products[], 4, FALSE), categories[], 2, FALSE)</f>
        <v>Seafood</v>
      </c>
      <c r="H859">
        <f>VLOOKUP(order_details[[#This Row],[ProductID]], products[], 4, FALSE)</f>
        <v>8</v>
      </c>
      <c r="I859" t="str">
        <f>VLOOKUP(order_details[[#This Row],[OrderID]], orders[[OrderID]:[ShipCountry]], 14, FALSE)</f>
        <v>Spain</v>
      </c>
      <c r="J859" s="1">
        <f>_xlfn.XLOOKUP(order_details[[#This Row],[OrderID]], orders[OrderID], orders[Month])</f>
        <v>7</v>
      </c>
    </row>
    <row r="860" spans="1:10" x14ac:dyDescent="0.35">
      <c r="A860">
        <v>10569</v>
      </c>
      <c r="B860">
        <v>31</v>
      </c>
      <c r="C860">
        <v>12.5</v>
      </c>
      <c r="D860">
        <v>35</v>
      </c>
      <c r="E860">
        <v>0.2</v>
      </c>
      <c r="F860">
        <v>350</v>
      </c>
      <c r="G860" t="str">
        <f>VLOOKUP(VLOOKUP(order_details[[#This Row],[ProductID]], products[], 4, FALSE), categories[], 2, FALSE)</f>
        <v>Dairy Products</v>
      </c>
      <c r="H860">
        <f>VLOOKUP(order_details[[#This Row],[ProductID]], products[], 4, FALSE)</f>
        <v>4</v>
      </c>
      <c r="I860" t="str">
        <f>VLOOKUP(order_details[[#This Row],[OrderID]], orders[[OrderID]:[ShipCountry]], 14, FALSE)</f>
        <v>USA</v>
      </c>
      <c r="J860" s="1">
        <f>_xlfn.XLOOKUP(order_details[[#This Row],[OrderID]], orders[OrderID], orders[Month])</f>
        <v>7</v>
      </c>
    </row>
    <row r="861" spans="1:10" x14ac:dyDescent="0.35">
      <c r="A861">
        <v>10569</v>
      </c>
      <c r="B861">
        <v>76</v>
      </c>
      <c r="C861">
        <v>18</v>
      </c>
      <c r="D861">
        <v>30</v>
      </c>
      <c r="E861">
        <v>0</v>
      </c>
      <c r="F861">
        <v>540</v>
      </c>
      <c r="G861" t="str">
        <f>VLOOKUP(VLOOKUP(order_details[[#This Row],[ProductID]], products[], 4, FALSE), categories[], 2, FALSE)</f>
        <v>Beverages</v>
      </c>
      <c r="H861">
        <f>VLOOKUP(order_details[[#This Row],[ProductID]], products[], 4, FALSE)</f>
        <v>1</v>
      </c>
      <c r="I861" t="str">
        <f>VLOOKUP(order_details[[#This Row],[OrderID]], orders[[OrderID]:[ShipCountry]], 14, FALSE)</f>
        <v>USA</v>
      </c>
      <c r="J861" s="1">
        <f>_xlfn.XLOOKUP(order_details[[#This Row],[OrderID]], orders[OrderID], orders[Month])</f>
        <v>7</v>
      </c>
    </row>
    <row r="862" spans="1:10" x14ac:dyDescent="0.35">
      <c r="A862">
        <v>10570</v>
      </c>
      <c r="B862">
        <v>11</v>
      </c>
      <c r="C862">
        <v>21</v>
      </c>
      <c r="D862">
        <v>15</v>
      </c>
      <c r="E862">
        <v>0.05</v>
      </c>
      <c r="F862">
        <v>299.25</v>
      </c>
      <c r="G862" t="str">
        <f>VLOOKUP(VLOOKUP(order_details[[#This Row],[ProductID]], products[], 4, FALSE), categories[], 2, FALSE)</f>
        <v>Dairy Products</v>
      </c>
      <c r="H862">
        <f>VLOOKUP(order_details[[#This Row],[ProductID]], products[], 4, FALSE)</f>
        <v>4</v>
      </c>
      <c r="I862" t="str">
        <f>VLOOKUP(order_details[[#This Row],[OrderID]], orders[[OrderID]:[ShipCountry]], 14, FALSE)</f>
        <v>Canada</v>
      </c>
      <c r="J862" s="1">
        <f>_xlfn.XLOOKUP(order_details[[#This Row],[OrderID]], orders[OrderID], orders[Month])</f>
        <v>7</v>
      </c>
    </row>
    <row r="863" spans="1:10" x14ac:dyDescent="0.35">
      <c r="A863">
        <v>10570</v>
      </c>
      <c r="B863">
        <v>56</v>
      </c>
      <c r="C863">
        <v>38</v>
      </c>
      <c r="D863">
        <v>60</v>
      </c>
      <c r="E863">
        <v>0.05</v>
      </c>
      <c r="F863">
        <v>2166</v>
      </c>
      <c r="G863" t="str">
        <f>VLOOKUP(VLOOKUP(order_details[[#This Row],[ProductID]], products[], 4, FALSE), categories[], 2, FALSE)</f>
        <v>Grains/Cereals</v>
      </c>
      <c r="H863">
        <f>VLOOKUP(order_details[[#This Row],[ProductID]], products[], 4, FALSE)</f>
        <v>5</v>
      </c>
      <c r="I863" t="str">
        <f>VLOOKUP(order_details[[#This Row],[OrderID]], orders[[OrderID]:[ShipCountry]], 14, FALSE)</f>
        <v>Canada</v>
      </c>
      <c r="J863" s="1">
        <f>_xlfn.XLOOKUP(order_details[[#This Row],[OrderID]], orders[OrderID], orders[Month])</f>
        <v>7</v>
      </c>
    </row>
    <row r="864" spans="1:10" x14ac:dyDescent="0.35">
      <c r="A864">
        <v>10571</v>
      </c>
      <c r="B864">
        <v>14</v>
      </c>
      <c r="C864">
        <v>23.25</v>
      </c>
      <c r="D864">
        <v>11</v>
      </c>
      <c r="E864">
        <v>0.15</v>
      </c>
      <c r="F864">
        <v>217.38749999999999</v>
      </c>
      <c r="G864" t="str">
        <f>VLOOKUP(VLOOKUP(order_details[[#This Row],[ProductID]], products[], 4, FALSE), categories[], 2, FALSE)</f>
        <v>Produce</v>
      </c>
      <c r="H864">
        <f>VLOOKUP(order_details[[#This Row],[ProductID]], products[], 4, FALSE)</f>
        <v>7</v>
      </c>
      <c r="I864" t="str">
        <f>VLOOKUP(order_details[[#This Row],[OrderID]], orders[[OrderID]:[ShipCountry]], 14, FALSE)</f>
        <v>Austria</v>
      </c>
      <c r="J864" s="1">
        <f>_xlfn.XLOOKUP(order_details[[#This Row],[OrderID]], orders[OrderID], orders[Month])</f>
        <v>7</v>
      </c>
    </row>
    <row r="865" spans="1:10" x14ac:dyDescent="0.35">
      <c r="A865">
        <v>10571</v>
      </c>
      <c r="B865">
        <v>42</v>
      </c>
      <c r="C865">
        <v>14</v>
      </c>
      <c r="D865">
        <v>28</v>
      </c>
      <c r="E865">
        <v>0.15</v>
      </c>
      <c r="F865">
        <v>333.2</v>
      </c>
      <c r="G865" t="str">
        <f>VLOOKUP(VLOOKUP(order_details[[#This Row],[ProductID]], products[], 4, FALSE), categories[], 2, FALSE)</f>
        <v>Grains/Cereals</v>
      </c>
      <c r="H865">
        <f>VLOOKUP(order_details[[#This Row],[ProductID]], products[], 4, FALSE)</f>
        <v>5</v>
      </c>
      <c r="I865" t="str">
        <f>VLOOKUP(order_details[[#This Row],[OrderID]], orders[[OrderID]:[ShipCountry]], 14, FALSE)</f>
        <v>Austria</v>
      </c>
      <c r="J865" s="1">
        <f>_xlfn.XLOOKUP(order_details[[#This Row],[OrderID]], orders[OrderID], orders[Month])</f>
        <v>7</v>
      </c>
    </row>
    <row r="866" spans="1:10" x14ac:dyDescent="0.35">
      <c r="A866">
        <v>10572</v>
      </c>
      <c r="B866">
        <v>16</v>
      </c>
      <c r="C866">
        <v>17.45</v>
      </c>
      <c r="D866">
        <v>12</v>
      </c>
      <c r="E866">
        <v>0.1</v>
      </c>
      <c r="F866">
        <v>188.45999999999998</v>
      </c>
      <c r="G866" t="str">
        <f>VLOOKUP(VLOOKUP(order_details[[#This Row],[ProductID]], products[], 4, FALSE), categories[], 2, FALSE)</f>
        <v>Confections</v>
      </c>
      <c r="H866">
        <f>VLOOKUP(order_details[[#This Row],[ProductID]], products[], 4, FALSE)</f>
        <v>3</v>
      </c>
      <c r="I866" t="str">
        <f>VLOOKUP(order_details[[#This Row],[OrderID]], orders[[OrderID]:[ShipCountry]], 14, FALSE)</f>
        <v>Sweden</v>
      </c>
      <c r="J866" s="1">
        <f>_xlfn.XLOOKUP(order_details[[#This Row],[OrderID]], orders[OrderID], orders[Month])</f>
        <v>7</v>
      </c>
    </row>
    <row r="867" spans="1:10" x14ac:dyDescent="0.35">
      <c r="A867">
        <v>10572</v>
      </c>
      <c r="B867">
        <v>32</v>
      </c>
      <c r="C867">
        <v>32</v>
      </c>
      <c r="D867">
        <v>10</v>
      </c>
      <c r="E867">
        <v>0.1</v>
      </c>
      <c r="F867">
        <v>288</v>
      </c>
      <c r="G867" t="str">
        <f>VLOOKUP(VLOOKUP(order_details[[#This Row],[ProductID]], products[], 4, FALSE), categories[], 2, FALSE)</f>
        <v>Dairy Products</v>
      </c>
      <c r="H867">
        <f>VLOOKUP(order_details[[#This Row],[ProductID]], products[], 4, FALSE)</f>
        <v>4</v>
      </c>
      <c r="I867" t="str">
        <f>VLOOKUP(order_details[[#This Row],[OrderID]], orders[[OrderID]:[ShipCountry]], 14, FALSE)</f>
        <v>Sweden</v>
      </c>
      <c r="J867" s="1">
        <f>_xlfn.XLOOKUP(order_details[[#This Row],[OrderID]], orders[OrderID], orders[Month])</f>
        <v>7</v>
      </c>
    </row>
    <row r="868" spans="1:10" x14ac:dyDescent="0.35">
      <c r="A868">
        <v>10572</v>
      </c>
      <c r="B868">
        <v>40</v>
      </c>
      <c r="C868">
        <v>18.399999999999999</v>
      </c>
      <c r="D868">
        <v>50</v>
      </c>
      <c r="E868">
        <v>0</v>
      </c>
      <c r="F868">
        <v>919.99999999999989</v>
      </c>
      <c r="G868" t="str">
        <f>VLOOKUP(VLOOKUP(order_details[[#This Row],[ProductID]], products[], 4, FALSE), categories[], 2, FALSE)</f>
        <v>Seafood</v>
      </c>
      <c r="H868">
        <f>VLOOKUP(order_details[[#This Row],[ProductID]], products[], 4, FALSE)</f>
        <v>8</v>
      </c>
      <c r="I868" t="str">
        <f>VLOOKUP(order_details[[#This Row],[OrderID]], orders[[OrderID]:[ShipCountry]], 14, FALSE)</f>
        <v>Sweden</v>
      </c>
      <c r="J868" s="1">
        <f>_xlfn.XLOOKUP(order_details[[#This Row],[OrderID]], orders[OrderID], orders[Month])</f>
        <v>7</v>
      </c>
    </row>
    <row r="869" spans="1:10" x14ac:dyDescent="0.35">
      <c r="A869">
        <v>10572</v>
      </c>
      <c r="B869">
        <v>75</v>
      </c>
      <c r="C869">
        <v>7.75</v>
      </c>
      <c r="D869">
        <v>15</v>
      </c>
      <c r="E869">
        <v>0.1</v>
      </c>
      <c r="F869">
        <v>104.625</v>
      </c>
      <c r="G869" t="str">
        <f>VLOOKUP(VLOOKUP(order_details[[#This Row],[ProductID]], products[], 4, FALSE), categories[], 2, FALSE)</f>
        <v>Beverages</v>
      </c>
      <c r="H869">
        <f>VLOOKUP(order_details[[#This Row],[ProductID]], products[], 4, FALSE)</f>
        <v>1</v>
      </c>
      <c r="I869" t="str">
        <f>VLOOKUP(order_details[[#This Row],[OrderID]], orders[[OrderID]:[ShipCountry]], 14, FALSE)</f>
        <v>Sweden</v>
      </c>
      <c r="J869" s="1">
        <f>_xlfn.XLOOKUP(order_details[[#This Row],[OrderID]], orders[OrderID], orders[Month])</f>
        <v>7</v>
      </c>
    </row>
    <row r="870" spans="1:10" x14ac:dyDescent="0.35">
      <c r="A870">
        <v>10573</v>
      </c>
      <c r="B870">
        <v>17</v>
      </c>
      <c r="C870">
        <v>39</v>
      </c>
      <c r="D870">
        <v>18</v>
      </c>
      <c r="E870">
        <v>0</v>
      </c>
      <c r="F870">
        <v>702</v>
      </c>
      <c r="G870" t="str">
        <f>VLOOKUP(VLOOKUP(order_details[[#This Row],[ProductID]], products[], 4, FALSE), categories[], 2, FALSE)</f>
        <v>Meat/Poultry</v>
      </c>
      <c r="H870">
        <f>VLOOKUP(order_details[[#This Row],[ProductID]], products[], 4, FALSE)</f>
        <v>6</v>
      </c>
      <c r="I870" t="str">
        <f>VLOOKUP(order_details[[#This Row],[OrderID]], orders[[OrderID]:[ShipCountry]], 14, FALSE)</f>
        <v>Mexico</v>
      </c>
      <c r="J870" s="1">
        <f>_xlfn.XLOOKUP(order_details[[#This Row],[OrderID]], orders[OrderID], orders[Month])</f>
        <v>7</v>
      </c>
    </row>
    <row r="871" spans="1:10" x14ac:dyDescent="0.35">
      <c r="A871">
        <v>10573</v>
      </c>
      <c r="B871">
        <v>34</v>
      </c>
      <c r="C871">
        <v>14</v>
      </c>
      <c r="D871">
        <v>40</v>
      </c>
      <c r="E871">
        <v>0</v>
      </c>
      <c r="F871">
        <v>560</v>
      </c>
      <c r="G871" t="str">
        <f>VLOOKUP(VLOOKUP(order_details[[#This Row],[ProductID]], products[], 4, FALSE), categories[], 2, FALSE)</f>
        <v>Beverages</v>
      </c>
      <c r="H871">
        <f>VLOOKUP(order_details[[#This Row],[ProductID]], products[], 4, FALSE)</f>
        <v>1</v>
      </c>
      <c r="I871" t="str">
        <f>VLOOKUP(order_details[[#This Row],[OrderID]], orders[[OrderID]:[ShipCountry]], 14, FALSE)</f>
        <v>Mexico</v>
      </c>
      <c r="J871" s="1">
        <f>_xlfn.XLOOKUP(order_details[[#This Row],[OrderID]], orders[OrderID], orders[Month])</f>
        <v>7</v>
      </c>
    </row>
    <row r="872" spans="1:10" x14ac:dyDescent="0.35">
      <c r="A872">
        <v>10573</v>
      </c>
      <c r="B872">
        <v>53</v>
      </c>
      <c r="C872">
        <v>32.799999999999997</v>
      </c>
      <c r="D872">
        <v>25</v>
      </c>
      <c r="E872">
        <v>0</v>
      </c>
      <c r="F872">
        <v>819.99999999999989</v>
      </c>
      <c r="G872" t="str">
        <f>VLOOKUP(VLOOKUP(order_details[[#This Row],[ProductID]], products[], 4, FALSE), categories[], 2, FALSE)</f>
        <v>Meat/Poultry</v>
      </c>
      <c r="H872">
        <f>VLOOKUP(order_details[[#This Row],[ProductID]], products[], 4, FALSE)</f>
        <v>6</v>
      </c>
      <c r="I872" t="str">
        <f>VLOOKUP(order_details[[#This Row],[OrderID]], orders[[OrderID]:[ShipCountry]], 14, FALSE)</f>
        <v>Mexico</v>
      </c>
      <c r="J872" s="1">
        <f>_xlfn.XLOOKUP(order_details[[#This Row],[OrderID]], orders[OrderID], orders[Month])</f>
        <v>7</v>
      </c>
    </row>
    <row r="873" spans="1:10" x14ac:dyDescent="0.35">
      <c r="A873">
        <v>10574</v>
      </c>
      <c r="B873">
        <v>33</v>
      </c>
      <c r="C873">
        <v>2.5</v>
      </c>
      <c r="D873">
        <v>14</v>
      </c>
      <c r="E873">
        <v>0</v>
      </c>
      <c r="F873">
        <v>35</v>
      </c>
      <c r="G873" t="str">
        <f>VLOOKUP(VLOOKUP(order_details[[#This Row],[ProductID]], products[], 4, FALSE), categories[], 2, FALSE)</f>
        <v>Dairy Products</v>
      </c>
      <c r="H873">
        <f>VLOOKUP(order_details[[#This Row],[ProductID]], products[], 4, FALSE)</f>
        <v>4</v>
      </c>
      <c r="I873" t="str">
        <f>VLOOKUP(order_details[[#This Row],[OrderID]], orders[[OrderID]:[ShipCountry]], 14, FALSE)</f>
        <v>USA</v>
      </c>
      <c r="J873" s="1">
        <f>_xlfn.XLOOKUP(order_details[[#This Row],[OrderID]], orders[OrderID], orders[Month])</f>
        <v>7</v>
      </c>
    </row>
    <row r="874" spans="1:10" x14ac:dyDescent="0.35">
      <c r="A874">
        <v>10574</v>
      </c>
      <c r="B874">
        <v>40</v>
      </c>
      <c r="C874">
        <v>18.399999999999999</v>
      </c>
      <c r="D874">
        <v>2</v>
      </c>
      <c r="E874">
        <v>0</v>
      </c>
      <c r="F874">
        <v>36.799999999999997</v>
      </c>
      <c r="G874" t="str">
        <f>VLOOKUP(VLOOKUP(order_details[[#This Row],[ProductID]], products[], 4, FALSE), categories[], 2, FALSE)</f>
        <v>Seafood</v>
      </c>
      <c r="H874">
        <f>VLOOKUP(order_details[[#This Row],[ProductID]], products[], 4, FALSE)</f>
        <v>8</v>
      </c>
      <c r="I874" t="str">
        <f>VLOOKUP(order_details[[#This Row],[OrderID]], orders[[OrderID]:[ShipCountry]], 14, FALSE)</f>
        <v>USA</v>
      </c>
      <c r="J874" s="1">
        <f>_xlfn.XLOOKUP(order_details[[#This Row],[OrderID]], orders[OrderID], orders[Month])</f>
        <v>7</v>
      </c>
    </row>
    <row r="875" spans="1:10" x14ac:dyDescent="0.35">
      <c r="A875">
        <v>10574</v>
      </c>
      <c r="B875">
        <v>62</v>
      </c>
      <c r="C875">
        <v>49.3</v>
      </c>
      <c r="D875">
        <v>10</v>
      </c>
      <c r="E875">
        <v>0</v>
      </c>
      <c r="F875">
        <v>493</v>
      </c>
      <c r="G875" t="str">
        <f>VLOOKUP(VLOOKUP(order_details[[#This Row],[ProductID]], products[], 4, FALSE), categories[], 2, FALSE)</f>
        <v>Confections</v>
      </c>
      <c r="H875">
        <f>VLOOKUP(order_details[[#This Row],[ProductID]], products[], 4, FALSE)</f>
        <v>3</v>
      </c>
      <c r="I875" t="str">
        <f>VLOOKUP(order_details[[#This Row],[OrderID]], orders[[OrderID]:[ShipCountry]], 14, FALSE)</f>
        <v>USA</v>
      </c>
      <c r="J875" s="1">
        <f>_xlfn.XLOOKUP(order_details[[#This Row],[OrderID]], orders[OrderID], orders[Month])</f>
        <v>7</v>
      </c>
    </row>
    <row r="876" spans="1:10" x14ac:dyDescent="0.35">
      <c r="A876">
        <v>10574</v>
      </c>
      <c r="B876">
        <v>64</v>
      </c>
      <c r="C876">
        <v>33.25</v>
      </c>
      <c r="D876">
        <v>6</v>
      </c>
      <c r="E876">
        <v>0</v>
      </c>
      <c r="F876">
        <v>199.5</v>
      </c>
      <c r="G876" t="str">
        <f>VLOOKUP(VLOOKUP(order_details[[#This Row],[ProductID]], products[], 4, FALSE), categories[], 2, FALSE)</f>
        <v>Grains/Cereals</v>
      </c>
      <c r="H876">
        <f>VLOOKUP(order_details[[#This Row],[ProductID]], products[], 4, FALSE)</f>
        <v>5</v>
      </c>
      <c r="I876" t="str">
        <f>VLOOKUP(order_details[[#This Row],[OrderID]], orders[[OrderID]:[ShipCountry]], 14, FALSE)</f>
        <v>USA</v>
      </c>
      <c r="J876" s="1">
        <f>_xlfn.XLOOKUP(order_details[[#This Row],[OrderID]], orders[OrderID], orders[Month])</f>
        <v>7</v>
      </c>
    </row>
    <row r="877" spans="1:10" x14ac:dyDescent="0.35">
      <c r="A877">
        <v>10575</v>
      </c>
      <c r="B877">
        <v>59</v>
      </c>
      <c r="C877">
        <v>55</v>
      </c>
      <c r="D877">
        <v>12</v>
      </c>
      <c r="E877">
        <v>0</v>
      </c>
      <c r="F877">
        <v>660</v>
      </c>
      <c r="G877" t="str">
        <f>VLOOKUP(VLOOKUP(order_details[[#This Row],[ProductID]], products[], 4, FALSE), categories[], 2, FALSE)</f>
        <v>Dairy Products</v>
      </c>
      <c r="H877">
        <f>VLOOKUP(order_details[[#This Row],[ProductID]], products[], 4, FALSE)</f>
        <v>4</v>
      </c>
      <c r="I877" t="str">
        <f>VLOOKUP(order_details[[#This Row],[OrderID]], orders[[OrderID]:[ShipCountry]], 14, FALSE)</f>
        <v>Germany</v>
      </c>
      <c r="J877" s="1">
        <f>_xlfn.XLOOKUP(order_details[[#This Row],[OrderID]], orders[OrderID], orders[Month])</f>
        <v>7</v>
      </c>
    </row>
    <row r="878" spans="1:10" x14ac:dyDescent="0.35">
      <c r="A878">
        <v>10575</v>
      </c>
      <c r="B878">
        <v>63</v>
      </c>
      <c r="C878">
        <v>43.9</v>
      </c>
      <c r="D878">
        <v>6</v>
      </c>
      <c r="E878">
        <v>0</v>
      </c>
      <c r="F878">
        <v>263.39999999999998</v>
      </c>
      <c r="G878" t="str">
        <f>VLOOKUP(VLOOKUP(order_details[[#This Row],[ProductID]], products[], 4, FALSE), categories[], 2, FALSE)</f>
        <v>Condiments</v>
      </c>
      <c r="H878">
        <f>VLOOKUP(order_details[[#This Row],[ProductID]], products[], 4, FALSE)</f>
        <v>2</v>
      </c>
      <c r="I878" t="str">
        <f>VLOOKUP(order_details[[#This Row],[OrderID]], orders[[OrderID]:[ShipCountry]], 14, FALSE)</f>
        <v>Germany</v>
      </c>
      <c r="J878" s="1">
        <f>_xlfn.XLOOKUP(order_details[[#This Row],[OrderID]], orders[OrderID], orders[Month])</f>
        <v>7</v>
      </c>
    </row>
    <row r="879" spans="1:10" x14ac:dyDescent="0.35">
      <c r="A879">
        <v>10575</v>
      </c>
      <c r="B879">
        <v>72</v>
      </c>
      <c r="C879">
        <v>34.799999999999997</v>
      </c>
      <c r="D879">
        <v>30</v>
      </c>
      <c r="E879">
        <v>0</v>
      </c>
      <c r="F879">
        <v>1044</v>
      </c>
      <c r="G879" t="str">
        <f>VLOOKUP(VLOOKUP(order_details[[#This Row],[ProductID]], products[], 4, FALSE), categories[], 2, FALSE)</f>
        <v>Dairy Products</v>
      </c>
      <c r="H879">
        <f>VLOOKUP(order_details[[#This Row],[ProductID]], products[], 4, FALSE)</f>
        <v>4</v>
      </c>
      <c r="I879" t="str">
        <f>VLOOKUP(order_details[[#This Row],[OrderID]], orders[[OrderID]:[ShipCountry]], 14, FALSE)</f>
        <v>Germany</v>
      </c>
      <c r="J879" s="1">
        <f>_xlfn.XLOOKUP(order_details[[#This Row],[OrderID]], orders[OrderID], orders[Month])</f>
        <v>7</v>
      </c>
    </row>
    <row r="880" spans="1:10" x14ac:dyDescent="0.35">
      <c r="A880">
        <v>10575</v>
      </c>
      <c r="B880">
        <v>76</v>
      </c>
      <c r="C880">
        <v>18</v>
      </c>
      <c r="D880">
        <v>10</v>
      </c>
      <c r="E880">
        <v>0</v>
      </c>
      <c r="F880">
        <v>180</v>
      </c>
      <c r="G880" t="str">
        <f>VLOOKUP(VLOOKUP(order_details[[#This Row],[ProductID]], products[], 4, FALSE), categories[], 2, FALSE)</f>
        <v>Beverages</v>
      </c>
      <c r="H880">
        <f>VLOOKUP(order_details[[#This Row],[ProductID]], products[], 4, FALSE)</f>
        <v>1</v>
      </c>
      <c r="I880" t="str">
        <f>VLOOKUP(order_details[[#This Row],[OrderID]], orders[[OrderID]:[ShipCountry]], 14, FALSE)</f>
        <v>Germany</v>
      </c>
      <c r="J880" s="1">
        <f>_xlfn.XLOOKUP(order_details[[#This Row],[OrderID]], orders[OrderID], orders[Month])</f>
        <v>7</v>
      </c>
    </row>
    <row r="881" spans="1:10" x14ac:dyDescent="0.35">
      <c r="A881">
        <v>10576</v>
      </c>
      <c r="B881">
        <v>1</v>
      </c>
      <c r="C881">
        <v>18</v>
      </c>
      <c r="D881">
        <v>10</v>
      </c>
      <c r="E881">
        <v>0</v>
      </c>
      <c r="F881">
        <v>180</v>
      </c>
      <c r="G881" t="str">
        <f>VLOOKUP(VLOOKUP(order_details[[#This Row],[ProductID]], products[], 4, FALSE), categories[], 2, FALSE)</f>
        <v>Beverages</v>
      </c>
      <c r="H881">
        <f>VLOOKUP(order_details[[#This Row],[ProductID]], products[], 4, FALSE)</f>
        <v>1</v>
      </c>
      <c r="I881" t="str">
        <f>VLOOKUP(order_details[[#This Row],[OrderID]], orders[[OrderID]:[ShipCountry]], 14, FALSE)</f>
        <v>Mexico</v>
      </c>
      <c r="J881" s="1">
        <f>_xlfn.XLOOKUP(order_details[[#This Row],[OrderID]], orders[OrderID], orders[Month])</f>
        <v>7</v>
      </c>
    </row>
    <row r="882" spans="1:10" x14ac:dyDescent="0.35">
      <c r="A882">
        <v>10576</v>
      </c>
      <c r="B882">
        <v>31</v>
      </c>
      <c r="C882">
        <v>12.5</v>
      </c>
      <c r="D882">
        <v>20</v>
      </c>
      <c r="E882">
        <v>0</v>
      </c>
      <c r="F882">
        <v>250</v>
      </c>
      <c r="G882" t="str">
        <f>VLOOKUP(VLOOKUP(order_details[[#This Row],[ProductID]], products[], 4, FALSE), categories[], 2, FALSE)</f>
        <v>Dairy Products</v>
      </c>
      <c r="H882">
        <f>VLOOKUP(order_details[[#This Row],[ProductID]], products[], 4, FALSE)</f>
        <v>4</v>
      </c>
      <c r="I882" t="str">
        <f>VLOOKUP(order_details[[#This Row],[OrderID]], orders[[OrderID]:[ShipCountry]], 14, FALSE)</f>
        <v>Mexico</v>
      </c>
      <c r="J882" s="1">
        <f>_xlfn.XLOOKUP(order_details[[#This Row],[OrderID]], orders[OrderID], orders[Month])</f>
        <v>7</v>
      </c>
    </row>
    <row r="883" spans="1:10" x14ac:dyDescent="0.35">
      <c r="A883">
        <v>10576</v>
      </c>
      <c r="B883">
        <v>44</v>
      </c>
      <c r="C883">
        <v>19.45</v>
      </c>
      <c r="D883">
        <v>21</v>
      </c>
      <c r="E883">
        <v>0</v>
      </c>
      <c r="F883">
        <v>408.45</v>
      </c>
      <c r="G883" t="str">
        <f>VLOOKUP(VLOOKUP(order_details[[#This Row],[ProductID]], products[], 4, FALSE), categories[], 2, FALSE)</f>
        <v>Condiments</v>
      </c>
      <c r="H883">
        <f>VLOOKUP(order_details[[#This Row],[ProductID]], products[], 4, FALSE)</f>
        <v>2</v>
      </c>
      <c r="I883" t="str">
        <f>VLOOKUP(order_details[[#This Row],[OrderID]], orders[[OrderID]:[ShipCountry]], 14, FALSE)</f>
        <v>Mexico</v>
      </c>
      <c r="J883" s="1">
        <f>_xlfn.XLOOKUP(order_details[[#This Row],[OrderID]], orders[OrderID], orders[Month])</f>
        <v>7</v>
      </c>
    </row>
    <row r="884" spans="1:10" x14ac:dyDescent="0.35">
      <c r="A884">
        <v>10577</v>
      </c>
      <c r="B884">
        <v>39</v>
      </c>
      <c r="C884">
        <v>18</v>
      </c>
      <c r="D884">
        <v>10</v>
      </c>
      <c r="E884">
        <v>0</v>
      </c>
      <c r="F884">
        <v>180</v>
      </c>
      <c r="G884" t="str">
        <f>VLOOKUP(VLOOKUP(order_details[[#This Row],[ProductID]], products[], 4, FALSE), categories[], 2, FALSE)</f>
        <v>Beverages</v>
      </c>
      <c r="H884">
        <f>VLOOKUP(order_details[[#This Row],[ProductID]], products[], 4, FALSE)</f>
        <v>1</v>
      </c>
      <c r="I884" t="str">
        <f>VLOOKUP(order_details[[#This Row],[OrderID]], orders[[OrderID]:[ShipCountry]], 14, FALSE)</f>
        <v>USA</v>
      </c>
      <c r="J884" s="1">
        <f>_xlfn.XLOOKUP(order_details[[#This Row],[OrderID]], orders[OrderID], orders[Month])</f>
        <v>7</v>
      </c>
    </row>
    <row r="885" spans="1:10" x14ac:dyDescent="0.35">
      <c r="A885">
        <v>10577</v>
      </c>
      <c r="B885">
        <v>75</v>
      </c>
      <c r="C885">
        <v>7.75</v>
      </c>
      <c r="D885">
        <v>20</v>
      </c>
      <c r="E885">
        <v>0</v>
      </c>
      <c r="F885">
        <v>155</v>
      </c>
      <c r="G885" t="str">
        <f>VLOOKUP(VLOOKUP(order_details[[#This Row],[ProductID]], products[], 4, FALSE), categories[], 2, FALSE)</f>
        <v>Beverages</v>
      </c>
      <c r="H885">
        <f>VLOOKUP(order_details[[#This Row],[ProductID]], products[], 4, FALSE)</f>
        <v>1</v>
      </c>
      <c r="I885" t="str">
        <f>VLOOKUP(order_details[[#This Row],[OrderID]], orders[[OrderID]:[ShipCountry]], 14, FALSE)</f>
        <v>USA</v>
      </c>
      <c r="J885" s="1">
        <f>_xlfn.XLOOKUP(order_details[[#This Row],[OrderID]], orders[OrderID], orders[Month])</f>
        <v>7</v>
      </c>
    </row>
    <row r="886" spans="1:10" x14ac:dyDescent="0.35">
      <c r="A886">
        <v>10577</v>
      </c>
      <c r="B886">
        <v>77</v>
      </c>
      <c r="C886">
        <v>13</v>
      </c>
      <c r="D886">
        <v>18</v>
      </c>
      <c r="E886">
        <v>0</v>
      </c>
      <c r="F886">
        <v>234</v>
      </c>
      <c r="G886" t="str">
        <f>VLOOKUP(VLOOKUP(order_details[[#This Row],[ProductID]], products[], 4, FALSE), categories[], 2, FALSE)</f>
        <v>Condiments</v>
      </c>
      <c r="H886">
        <f>VLOOKUP(order_details[[#This Row],[ProductID]], products[], 4, FALSE)</f>
        <v>2</v>
      </c>
      <c r="I886" t="str">
        <f>VLOOKUP(order_details[[#This Row],[OrderID]], orders[[OrderID]:[ShipCountry]], 14, FALSE)</f>
        <v>USA</v>
      </c>
      <c r="J886" s="1">
        <f>_xlfn.XLOOKUP(order_details[[#This Row],[OrderID]], orders[OrderID], orders[Month])</f>
        <v>7</v>
      </c>
    </row>
    <row r="887" spans="1:10" x14ac:dyDescent="0.35">
      <c r="A887">
        <v>10578</v>
      </c>
      <c r="B887">
        <v>35</v>
      </c>
      <c r="C887">
        <v>18</v>
      </c>
      <c r="D887">
        <v>20</v>
      </c>
      <c r="E887">
        <v>0</v>
      </c>
      <c r="F887">
        <v>360</v>
      </c>
      <c r="G887" t="str">
        <f>VLOOKUP(VLOOKUP(order_details[[#This Row],[ProductID]], products[], 4, FALSE), categories[], 2, FALSE)</f>
        <v>Beverages</v>
      </c>
      <c r="H887">
        <f>VLOOKUP(order_details[[#This Row],[ProductID]], products[], 4, FALSE)</f>
        <v>1</v>
      </c>
      <c r="I887" t="str">
        <f>VLOOKUP(order_details[[#This Row],[OrderID]], orders[[OrderID]:[ShipCountry]], 14, FALSE)</f>
        <v>UK</v>
      </c>
      <c r="J887" s="1">
        <f>_xlfn.XLOOKUP(order_details[[#This Row],[OrderID]], orders[OrderID], orders[Month])</f>
        <v>7</v>
      </c>
    </row>
    <row r="888" spans="1:10" x14ac:dyDescent="0.35">
      <c r="A888">
        <v>10578</v>
      </c>
      <c r="B888">
        <v>57</v>
      </c>
      <c r="C888">
        <v>19.5</v>
      </c>
      <c r="D888">
        <v>6</v>
      </c>
      <c r="E888">
        <v>0</v>
      </c>
      <c r="F888">
        <v>117</v>
      </c>
      <c r="G888" t="str">
        <f>VLOOKUP(VLOOKUP(order_details[[#This Row],[ProductID]], products[], 4, FALSE), categories[], 2, FALSE)</f>
        <v>Grains/Cereals</v>
      </c>
      <c r="H888">
        <f>VLOOKUP(order_details[[#This Row],[ProductID]], products[], 4, FALSE)</f>
        <v>5</v>
      </c>
      <c r="I888" t="str">
        <f>VLOOKUP(order_details[[#This Row],[OrderID]], orders[[OrderID]:[ShipCountry]], 14, FALSE)</f>
        <v>UK</v>
      </c>
      <c r="J888" s="1">
        <f>_xlfn.XLOOKUP(order_details[[#This Row],[OrderID]], orders[OrderID], orders[Month])</f>
        <v>7</v>
      </c>
    </row>
    <row r="889" spans="1:10" x14ac:dyDescent="0.35">
      <c r="A889">
        <v>10579</v>
      </c>
      <c r="B889">
        <v>15</v>
      </c>
      <c r="C889">
        <v>15.5</v>
      </c>
      <c r="D889">
        <v>10</v>
      </c>
      <c r="E889">
        <v>0</v>
      </c>
      <c r="F889">
        <v>155</v>
      </c>
      <c r="G889" t="str">
        <f>VLOOKUP(VLOOKUP(order_details[[#This Row],[ProductID]], products[], 4, FALSE), categories[], 2, FALSE)</f>
        <v>Condiments</v>
      </c>
      <c r="H889">
        <f>VLOOKUP(order_details[[#This Row],[ProductID]], products[], 4, FALSE)</f>
        <v>2</v>
      </c>
      <c r="I889" t="str">
        <f>VLOOKUP(order_details[[#This Row],[OrderID]], orders[[OrderID]:[ShipCountry]], 14, FALSE)</f>
        <v>USA</v>
      </c>
      <c r="J889" s="1">
        <f>_xlfn.XLOOKUP(order_details[[#This Row],[OrderID]], orders[OrderID], orders[Month])</f>
        <v>7</v>
      </c>
    </row>
    <row r="890" spans="1:10" x14ac:dyDescent="0.35">
      <c r="A890">
        <v>10579</v>
      </c>
      <c r="B890">
        <v>75</v>
      </c>
      <c r="C890">
        <v>7.75</v>
      </c>
      <c r="D890">
        <v>21</v>
      </c>
      <c r="E890">
        <v>0</v>
      </c>
      <c r="F890">
        <v>162.75</v>
      </c>
      <c r="G890" t="str">
        <f>VLOOKUP(VLOOKUP(order_details[[#This Row],[ProductID]], products[], 4, FALSE), categories[], 2, FALSE)</f>
        <v>Beverages</v>
      </c>
      <c r="H890">
        <f>VLOOKUP(order_details[[#This Row],[ProductID]], products[], 4, FALSE)</f>
        <v>1</v>
      </c>
      <c r="I890" t="str">
        <f>VLOOKUP(order_details[[#This Row],[OrderID]], orders[[OrderID]:[ShipCountry]], 14, FALSE)</f>
        <v>USA</v>
      </c>
      <c r="J890" s="1">
        <f>_xlfn.XLOOKUP(order_details[[#This Row],[OrderID]], orders[OrderID], orders[Month])</f>
        <v>7</v>
      </c>
    </row>
    <row r="891" spans="1:10" x14ac:dyDescent="0.35">
      <c r="A891">
        <v>10580</v>
      </c>
      <c r="B891">
        <v>14</v>
      </c>
      <c r="C891">
        <v>23.25</v>
      </c>
      <c r="D891">
        <v>15</v>
      </c>
      <c r="E891">
        <v>0.05</v>
      </c>
      <c r="F891">
        <v>331.3125</v>
      </c>
      <c r="G891" t="str">
        <f>VLOOKUP(VLOOKUP(order_details[[#This Row],[ProductID]], products[], 4, FALSE), categories[], 2, FALSE)</f>
        <v>Produce</v>
      </c>
      <c r="H891">
        <f>VLOOKUP(order_details[[#This Row],[ProductID]], products[], 4, FALSE)</f>
        <v>7</v>
      </c>
      <c r="I891" t="str">
        <f>VLOOKUP(order_details[[#This Row],[OrderID]], orders[[OrderID]:[ShipCountry]], 14, FALSE)</f>
        <v>Germany</v>
      </c>
      <c r="J891" s="1">
        <f>_xlfn.XLOOKUP(order_details[[#This Row],[OrderID]], orders[OrderID], orders[Month])</f>
        <v>7</v>
      </c>
    </row>
    <row r="892" spans="1:10" x14ac:dyDescent="0.35">
      <c r="A892">
        <v>10580</v>
      </c>
      <c r="B892">
        <v>41</v>
      </c>
      <c r="C892">
        <v>9.65</v>
      </c>
      <c r="D892">
        <v>9</v>
      </c>
      <c r="E892">
        <v>0.05</v>
      </c>
      <c r="F892">
        <v>82.507500000000007</v>
      </c>
      <c r="G892" t="str">
        <f>VLOOKUP(VLOOKUP(order_details[[#This Row],[ProductID]], products[], 4, FALSE), categories[], 2, FALSE)</f>
        <v>Seafood</v>
      </c>
      <c r="H892">
        <f>VLOOKUP(order_details[[#This Row],[ProductID]], products[], 4, FALSE)</f>
        <v>8</v>
      </c>
      <c r="I892" t="str">
        <f>VLOOKUP(order_details[[#This Row],[OrderID]], orders[[OrderID]:[ShipCountry]], 14, FALSE)</f>
        <v>Germany</v>
      </c>
      <c r="J892" s="1">
        <f>_xlfn.XLOOKUP(order_details[[#This Row],[OrderID]], orders[OrderID], orders[Month])</f>
        <v>7</v>
      </c>
    </row>
    <row r="893" spans="1:10" x14ac:dyDescent="0.35">
      <c r="A893">
        <v>10580</v>
      </c>
      <c r="B893">
        <v>65</v>
      </c>
      <c r="C893">
        <v>21.05</v>
      </c>
      <c r="D893">
        <v>30</v>
      </c>
      <c r="E893">
        <v>0.05</v>
      </c>
      <c r="F893">
        <v>599.92499999999995</v>
      </c>
      <c r="G893" t="str">
        <f>VLOOKUP(VLOOKUP(order_details[[#This Row],[ProductID]], products[], 4, FALSE), categories[], 2, FALSE)</f>
        <v>Condiments</v>
      </c>
      <c r="H893">
        <f>VLOOKUP(order_details[[#This Row],[ProductID]], products[], 4, FALSE)</f>
        <v>2</v>
      </c>
      <c r="I893" t="str">
        <f>VLOOKUP(order_details[[#This Row],[OrderID]], orders[[OrderID]:[ShipCountry]], 14, FALSE)</f>
        <v>Germany</v>
      </c>
      <c r="J893" s="1">
        <f>_xlfn.XLOOKUP(order_details[[#This Row],[OrderID]], orders[OrderID], orders[Month])</f>
        <v>7</v>
      </c>
    </row>
    <row r="894" spans="1:10" x14ac:dyDescent="0.35">
      <c r="A894">
        <v>10581</v>
      </c>
      <c r="B894">
        <v>75</v>
      </c>
      <c r="C894">
        <v>7.75</v>
      </c>
      <c r="D894">
        <v>50</v>
      </c>
      <c r="E894">
        <v>0.2</v>
      </c>
      <c r="F894">
        <v>310</v>
      </c>
      <c r="G894" t="str">
        <f>VLOOKUP(VLOOKUP(order_details[[#This Row],[ProductID]], products[], 4, FALSE), categories[], 2, FALSE)</f>
        <v>Beverages</v>
      </c>
      <c r="H894">
        <f>VLOOKUP(order_details[[#This Row],[ProductID]], products[], 4, FALSE)</f>
        <v>1</v>
      </c>
      <c r="I894" t="str">
        <f>VLOOKUP(order_details[[#This Row],[OrderID]], orders[[OrderID]:[ShipCountry]], 14, FALSE)</f>
        <v>Brazil</v>
      </c>
      <c r="J894" s="1">
        <f>_xlfn.XLOOKUP(order_details[[#This Row],[OrderID]], orders[OrderID], orders[Month])</f>
        <v>7</v>
      </c>
    </row>
    <row r="895" spans="1:10" x14ac:dyDescent="0.35">
      <c r="A895">
        <v>10582</v>
      </c>
      <c r="B895">
        <v>57</v>
      </c>
      <c r="C895">
        <v>19.5</v>
      </c>
      <c r="D895">
        <v>4</v>
      </c>
      <c r="E895">
        <v>0</v>
      </c>
      <c r="F895">
        <v>78</v>
      </c>
      <c r="G895" t="str">
        <f>VLOOKUP(VLOOKUP(order_details[[#This Row],[ProductID]], products[], 4, FALSE), categories[], 2, FALSE)</f>
        <v>Grains/Cereals</v>
      </c>
      <c r="H895">
        <f>VLOOKUP(order_details[[#This Row],[ProductID]], products[], 4, FALSE)</f>
        <v>5</v>
      </c>
      <c r="I895" t="str">
        <f>VLOOKUP(order_details[[#This Row],[OrderID]], orders[[OrderID]:[ShipCountry]], 14, FALSE)</f>
        <v>Germany</v>
      </c>
      <c r="J895" s="1">
        <f>_xlfn.XLOOKUP(order_details[[#This Row],[OrderID]], orders[OrderID], orders[Month])</f>
        <v>7</v>
      </c>
    </row>
    <row r="896" spans="1:10" x14ac:dyDescent="0.35">
      <c r="A896">
        <v>10582</v>
      </c>
      <c r="B896">
        <v>76</v>
      </c>
      <c r="C896">
        <v>18</v>
      </c>
      <c r="D896">
        <v>14</v>
      </c>
      <c r="E896">
        <v>0</v>
      </c>
      <c r="F896">
        <v>252</v>
      </c>
      <c r="G896" t="str">
        <f>VLOOKUP(VLOOKUP(order_details[[#This Row],[ProductID]], products[], 4, FALSE), categories[], 2, FALSE)</f>
        <v>Beverages</v>
      </c>
      <c r="H896">
        <f>VLOOKUP(order_details[[#This Row],[ProductID]], products[], 4, FALSE)</f>
        <v>1</v>
      </c>
      <c r="I896" t="str">
        <f>VLOOKUP(order_details[[#This Row],[OrderID]], orders[[OrderID]:[ShipCountry]], 14, FALSE)</f>
        <v>Germany</v>
      </c>
      <c r="J896" s="1">
        <f>_xlfn.XLOOKUP(order_details[[#This Row],[OrderID]], orders[OrderID], orders[Month])</f>
        <v>7</v>
      </c>
    </row>
    <row r="897" spans="1:10" x14ac:dyDescent="0.35">
      <c r="A897">
        <v>10583</v>
      </c>
      <c r="B897">
        <v>29</v>
      </c>
      <c r="C897">
        <v>123.79</v>
      </c>
      <c r="D897">
        <v>10</v>
      </c>
      <c r="E897">
        <v>0</v>
      </c>
      <c r="F897">
        <v>1237.9000000000001</v>
      </c>
      <c r="G897" t="str">
        <f>VLOOKUP(VLOOKUP(order_details[[#This Row],[ProductID]], products[], 4, FALSE), categories[], 2, FALSE)</f>
        <v>Meat/Poultry</v>
      </c>
      <c r="H897">
        <f>VLOOKUP(order_details[[#This Row],[ProductID]], products[], 4, FALSE)</f>
        <v>6</v>
      </c>
      <c r="I897" t="str">
        <f>VLOOKUP(order_details[[#This Row],[OrderID]], orders[[OrderID]:[ShipCountry]], 14, FALSE)</f>
        <v>Finland</v>
      </c>
      <c r="J897" s="1">
        <f>_xlfn.XLOOKUP(order_details[[#This Row],[OrderID]], orders[OrderID], orders[Month])</f>
        <v>7</v>
      </c>
    </row>
    <row r="898" spans="1:10" x14ac:dyDescent="0.35">
      <c r="A898">
        <v>10583</v>
      </c>
      <c r="B898">
        <v>60</v>
      </c>
      <c r="C898">
        <v>34</v>
      </c>
      <c r="D898">
        <v>24</v>
      </c>
      <c r="E898">
        <v>0.15</v>
      </c>
      <c r="F898">
        <v>693.6</v>
      </c>
      <c r="G898" t="str">
        <f>VLOOKUP(VLOOKUP(order_details[[#This Row],[ProductID]], products[], 4, FALSE), categories[], 2, FALSE)</f>
        <v>Dairy Products</v>
      </c>
      <c r="H898">
        <f>VLOOKUP(order_details[[#This Row],[ProductID]], products[], 4, FALSE)</f>
        <v>4</v>
      </c>
      <c r="I898" t="str">
        <f>VLOOKUP(order_details[[#This Row],[OrderID]], orders[[OrderID]:[ShipCountry]], 14, FALSE)</f>
        <v>Finland</v>
      </c>
      <c r="J898" s="1">
        <f>_xlfn.XLOOKUP(order_details[[#This Row],[OrderID]], orders[OrderID], orders[Month])</f>
        <v>7</v>
      </c>
    </row>
    <row r="899" spans="1:10" x14ac:dyDescent="0.35">
      <c r="A899">
        <v>10583</v>
      </c>
      <c r="B899">
        <v>69</v>
      </c>
      <c r="C899">
        <v>36</v>
      </c>
      <c r="D899">
        <v>10</v>
      </c>
      <c r="E899">
        <v>0.15</v>
      </c>
      <c r="F899">
        <v>306</v>
      </c>
      <c r="G899" t="str">
        <f>VLOOKUP(VLOOKUP(order_details[[#This Row],[ProductID]], products[], 4, FALSE), categories[], 2, FALSE)</f>
        <v>Dairy Products</v>
      </c>
      <c r="H899">
        <f>VLOOKUP(order_details[[#This Row],[ProductID]], products[], 4, FALSE)</f>
        <v>4</v>
      </c>
      <c r="I899" t="str">
        <f>VLOOKUP(order_details[[#This Row],[OrderID]], orders[[OrderID]:[ShipCountry]], 14, FALSE)</f>
        <v>Finland</v>
      </c>
      <c r="J899" s="1">
        <f>_xlfn.XLOOKUP(order_details[[#This Row],[OrderID]], orders[OrderID], orders[Month])</f>
        <v>7</v>
      </c>
    </row>
    <row r="900" spans="1:10" x14ac:dyDescent="0.35">
      <c r="A900">
        <v>10584</v>
      </c>
      <c r="B900">
        <v>31</v>
      </c>
      <c r="C900">
        <v>12.5</v>
      </c>
      <c r="D900">
        <v>50</v>
      </c>
      <c r="E900">
        <v>0.05</v>
      </c>
      <c r="F900">
        <v>593.75</v>
      </c>
      <c r="G900" t="str">
        <f>VLOOKUP(VLOOKUP(order_details[[#This Row],[ProductID]], products[], 4, FALSE), categories[], 2, FALSE)</f>
        <v>Dairy Products</v>
      </c>
      <c r="H900">
        <f>VLOOKUP(order_details[[#This Row],[ProductID]], products[], 4, FALSE)</f>
        <v>4</v>
      </c>
      <c r="I900" t="str">
        <f>VLOOKUP(order_details[[#This Row],[OrderID]], orders[[OrderID]:[ShipCountry]], 14, FALSE)</f>
        <v>France</v>
      </c>
      <c r="J900" s="1">
        <f>_xlfn.XLOOKUP(order_details[[#This Row],[OrderID]], orders[OrderID], orders[Month])</f>
        <v>7</v>
      </c>
    </row>
    <row r="901" spans="1:10" x14ac:dyDescent="0.35">
      <c r="A901">
        <v>10585</v>
      </c>
      <c r="B901">
        <v>47</v>
      </c>
      <c r="C901">
        <v>9.5</v>
      </c>
      <c r="D901">
        <v>15</v>
      </c>
      <c r="E901">
        <v>0</v>
      </c>
      <c r="F901">
        <v>142.5</v>
      </c>
      <c r="G901" t="str">
        <f>VLOOKUP(VLOOKUP(order_details[[#This Row],[ProductID]], products[], 4, FALSE), categories[], 2, FALSE)</f>
        <v>Confections</v>
      </c>
      <c r="H901">
        <f>VLOOKUP(order_details[[#This Row],[ProductID]], products[], 4, FALSE)</f>
        <v>3</v>
      </c>
      <c r="I901" t="str">
        <f>VLOOKUP(order_details[[#This Row],[OrderID]], orders[[OrderID]:[ShipCountry]], 14, FALSE)</f>
        <v>Brazil</v>
      </c>
      <c r="J901" s="1">
        <f>_xlfn.XLOOKUP(order_details[[#This Row],[OrderID]], orders[OrderID], orders[Month])</f>
        <v>8</v>
      </c>
    </row>
    <row r="902" spans="1:10" x14ac:dyDescent="0.35">
      <c r="A902">
        <v>10586</v>
      </c>
      <c r="B902">
        <v>52</v>
      </c>
      <c r="C902">
        <v>7</v>
      </c>
      <c r="D902">
        <v>4</v>
      </c>
      <c r="E902">
        <v>0.15</v>
      </c>
      <c r="F902">
        <v>23.8</v>
      </c>
      <c r="G902" t="str">
        <f>VLOOKUP(VLOOKUP(order_details[[#This Row],[ProductID]], products[], 4, FALSE), categories[], 2, FALSE)</f>
        <v>Grains/Cereals</v>
      </c>
      <c r="H902">
        <f>VLOOKUP(order_details[[#This Row],[ProductID]], products[], 4, FALSE)</f>
        <v>5</v>
      </c>
      <c r="I902" t="str">
        <f>VLOOKUP(order_details[[#This Row],[OrderID]], orders[[OrderID]:[ShipCountry]], 14, FALSE)</f>
        <v>Italy</v>
      </c>
      <c r="J902" s="1">
        <f>_xlfn.XLOOKUP(order_details[[#This Row],[OrderID]], orders[OrderID], orders[Month])</f>
        <v>8</v>
      </c>
    </row>
    <row r="903" spans="1:10" x14ac:dyDescent="0.35">
      <c r="A903">
        <v>10587</v>
      </c>
      <c r="B903">
        <v>26</v>
      </c>
      <c r="C903">
        <v>31.23</v>
      </c>
      <c r="D903">
        <v>6</v>
      </c>
      <c r="E903">
        <v>0</v>
      </c>
      <c r="F903">
        <v>187.38</v>
      </c>
      <c r="G903" t="str">
        <f>VLOOKUP(VLOOKUP(order_details[[#This Row],[ProductID]], products[], 4, FALSE), categories[], 2, FALSE)</f>
        <v>Confections</v>
      </c>
      <c r="H903">
        <f>VLOOKUP(order_details[[#This Row],[ProductID]], products[], 4, FALSE)</f>
        <v>3</v>
      </c>
      <c r="I903" t="str">
        <f>VLOOKUP(order_details[[#This Row],[OrderID]], orders[[OrderID]:[ShipCountry]], 14, FALSE)</f>
        <v>Brazil</v>
      </c>
      <c r="J903" s="1">
        <f>_xlfn.XLOOKUP(order_details[[#This Row],[OrderID]], orders[OrderID], orders[Month])</f>
        <v>8</v>
      </c>
    </row>
    <row r="904" spans="1:10" x14ac:dyDescent="0.35">
      <c r="A904">
        <v>10587</v>
      </c>
      <c r="B904">
        <v>35</v>
      </c>
      <c r="C904">
        <v>18</v>
      </c>
      <c r="D904">
        <v>20</v>
      </c>
      <c r="E904">
        <v>0</v>
      </c>
      <c r="F904">
        <v>360</v>
      </c>
      <c r="G904" t="str">
        <f>VLOOKUP(VLOOKUP(order_details[[#This Row],[ProductID]], products[], 4, FALSE), categories[], 2, FALSE)</f>
        <v>Beverages</v>
      </c>
      <c r="H904">
        <f>VLOOKUP(order_details[[#This Row],[ProductID]], products[], 4, FALSE)</f>
        <v>1</v>
      </c>
      <c r="I904" t="str">
        <f>VLOOKUP(order_details[[#This Row],[OrderID]], orders[[OrderID]:[ShipCountry]], 14, FALSE)</f>
        <v>Brazil</v>
      </c>
      <c r="J904" s="1">
        <f>_xlfn.XLOOKUP(order_details[[#This Row],[OrderID]], orders[OrderID], orders[Month])</f>
        <v>8</v>
      </c>
    </row>
    <row r="905" spans="1:10" x14ac:dyDescent="0.35">
      <c r="A905">
        <v>10587</v>
      </c>
      <c r="B905">
        <v>77</v>
      </c>
      <c r="C905">
        <v>13</v>
      </c>
      <c r="D905">
        <v>20</v>
      </c>
      <c r="E905">
        <v>0</v>
      </c>
      <c r="F905">
        <v>260</v>
      </c>
      <c r="G905" t="str">
        <f>VLOOKUP(VLOOKUP(order_details[[#This Row],[ProductID]], products[], 4, FALSE), categories[], 2, FALSE)</f>
        <v>Condiments</v>
      </c>
      <c r="H905">
        <f>VLOOKUP(order_details[[#This Row],[ProductID]], products[], 4, FALSE)</f>
        <v>2</v>
      </c>
      <c r="I905" t="str">
        <f>VLOOKUP(order_details[[#This Row],[OrderID]], orders[[OrderID]:[ShipCountry]], 14, FALSE)</f>
        <v>Brazil</v>
      </c>
      <c r="J905" s="1">
        <f>_xlfn.XLOOKUP(order_details[[#This Row],[OrderID]], orders[OrderID], orders[Month])</f>
        <v>8</v>
      </c>
    </row>
    <row r="906" spans="1:10" x14ac:dyDescent="0.35">
      <c r="A906">
        <v>10588</v>
      </c>
      <c r="B906">
        <v>18</v>
      </c>
      <c r="C906">
        <v>62.5</v>
      </c>
      <c r="D906">
        <v>40</v>
      </c>
      <c r="E906">
        <v>0.2</v>
      </c>
      <c r="F906">
        <v>2000</v>
      </c>
      <c r="G906" t="str">
        <f>VLOOKUP(VLOOKUP(order_details[[#This Row],[ProductID]], products[], 4, FALSE), categories[], 2, FALSE)</f>
        <v>Seafood</v>
      </c>
      <c r="H906">
        <f>VLOOKUP(order_details[[#This Row],[ProductID]], products[], 4, FALSE)</f>
        <v>8</v>
      </c>
      <c r="I906" t="str">
        <f>VLOOKUP(order_details[[#This Row],[OrderID]], orders[[OrderID]:[ShipCountry]], 14, FALSE)</f>
        <v>Germany</v>
      </c>
      <c r="J906" s="1">
        <f>_xlfn.XLOOKUP(order_details[[#This Row],[OrderID]], orders[OrderID], orders[Month])</f>
        <v>8</v>
      </c>
    </row>
    <row r="907" spans="1:10" x14ac:dyDescent="0.35">
      <c r="A907">
        <v>10588</v>
      </c>
      <c r="B907">
        <v>42</v>
      </c>
      <c r="C907">
        <v>14</v>
      </c>
      <c r="D907">
        <v>100</v>
      </c>
      <c r="E907">
        <v>0.2</v>
      </c>
      <c r="F907">
        <v>1120</v>
      </c>
      <c r="G907" t="str">
        <f>VLOOKUP(VLOOKUP(order_details[[#This Row],[ProductID]], products[], 4, FALSE), categories[], 2, FALSE)</f>
        <v>Grains/Cereals</v>
      </c>
      <c r="H907">
        <f>VLOOKUP(order_details[[#This Row],[ProductID]], products[], 4, FALSE)</f>
        <v>5</v>
      </c>
      <c r="I907" t="str">
        <f>VLOOKUP(order_details[[#This Row],[OrderID]], orders[[OrderID]:[ShipCountry]], 14, FALSE)</f>
        <v>Germany</v>
      </c>
      <c r="J907" s="1">
        <f>_xlfn.XLOOKUP(order_details[[#This Row],[OrderID]], orders[OrderID], orders[Month])</f>
        <v>8</v>
      </c>
    </row>
    <row r="908" spans="1:10" x14ac:dyDescent="0.35">
      <c r="A908">
        <v>10589</v>
      </c>
      <c r="B908">
        <v>35</v>
      </c>
      <c r="C908">
        <v>18</v>
      </c>
      <c r="D908">
        <v>4</v>
      </c>
      <c r="E908">
        <v>0</v>
      </c>
      <c r="F908">
        <v>72</v>
      </c>
      <c r="G908" t="str">
        <f>VLOOKUP(VLOOKUP(order_details[[#This Row],[ProductID]], products[], 4, FALSE), categories[], 2, FALSE)</f>
        <v>Beverages</v>
      </c>
      <c r="H908">
        <f>VLOOKUP(order_details[[#This Row],[ProductID]], products[], 4, FALSE)</f>
        <v>1</v>
      </c>
      <c r="I908" t="str">
        <f>VLOOKUP(order_details[[#This Row],[OrderID]], orders[[OrderID]:[ShipCountry]], 14, FALSE)</f>
        <v>USA</v>
      </c>
      <c r="J908" s="1">
        <f>_xlfn.XLOOKUP(order_details[[#This Row],[OrderID]], orders[OrderID], orders[Month])</f>
        <v>8</v>
      </c>
    </row>
    <row r="909" spans="1:10" x14ac:dyDescent="0.35">
      <c r="A909">
        <v>10590</v>
      </c>
      <c r="B909">
        <v>1</v>
      </c>
      <c r="C909">
        <v>18</v>
      </c>
      <c r="D909">
        <v>20</v>
      </c>
      <c r="E909">
        <v>0</v>
      </c>
      <c r="F909">
        <v>360</v>
      </c>
      <c r="G909" t="str">
        <f>VLOOKUP(VLOOKUP(order_details[[#This Row],[ProductID]], products[], 4, FALSE), categories[], 2, FALSE)</f>
        <v>Beverages</v>
      </c>
      <c r="H909">
        <f>VLOOKUP(order_details[[#This Row],[ProductID]], products[], 4, FALSE)</f>
        <v>1</v>
      </c>
      <c r="I909" t="str">
        <f>VLOOKUP(order_details[[#This Row],[OrderID]], orders[[OrderID]:[ShipCountry]], 14, FALSE)</f>
        <v>Canada</v>
      </c>
      <c r="J909" s="1">
        <f>_xlfn.XLOOKUP(order_details[[#This Row],[OrderID]], orders[OrderID], orders[Month])</f>
        <v>8</v>
      </c>
    </row>
    <row r="910" spans="1:10" x14ac:dyDescent="0.35">
      <c r="A910">
        <v>10590</v>
      </c>
      <c r="B910">
        <v>77</v>
      </c>
      <c r="C910">
        <v>13</v>
      </c>
      <c r="D910">
        <v>60</v>
      </c>
      <c r="E910">
        <v>0.05</v>
      </c>
      <c r="F910">
        <v>741</v>
      </c>
      <c r="G910" t="str">
        <f>VLOOKUP(VLOOKUP(order_details[[#This Row],[ProductID]], products[], 4, FALSE), categories[], 2, FALSE)</f>
        <v>Condiments</v>
      </c>
      <c r="H910">
        <f>VLOOKUP(order_details[[#This Row],[ProductID]], products[], 4, FALSE)</f>
        <v>2</v>
      </c>
      <c r="I910" t="str">
        <f>VLOOKUP(order_details[[#This Row],[OrderID]], orders[[OrderID]:[ShipCountry]], 14, FALSE)</f>
        <v>Canada</v>
      </c>
      <c r="J910" s="1">
        <f>_xlfn.XLOOKUP(order_details[[#This Row],[OrderID]], orders[OrderID], orders[Month])</f>
        <v>8</v>
      </c>
    </row>
    <row r="911" spans="1:10" x14ac:dyDescent="0.35">
      <c r="A911">
        <v>10591</v>
      </c>
      <c r="B911">
        <v>3</v>
      </c>
      <c r="C911">
        <v>10</v>
      </c>
      <c r="D911">
        <v>14</v>
      </c>
      <c r="E911">
        <v>0</v>
      </c>
      <c r="F911">
        <v>140</v>
      </c>
      <c r="G911" t="str">
        <f>VLOOKUP(VLOOKUP(order_details[[#This Row],[ProductID]], products[], 4, FALSE), categories[], 2, FALSE)</f>
        <v>Condiments</v>
      </c>
      <c r="H911">
        <f>VLOOKUP(order_details[[#This Row],[ProductID]], products[], 4, FALSE)</f>
        <v>2</v>
      </c>
      <c r="I911" t="str">
        <f>VLOOKUP(order_details[[#This Row],[OrderID]], orders[[OrderID]:[ShipCountry]], 14, FALSE)</f>
        <v>Denmark</v>
      </c>
      <c r="J911" s="1">
        <f>_xlfn.XLOOKUP(order_details[[#This Row],[OrderID]], orders[OrderID], orders[Month])</f>
        <v>8</v>
      </c>
    </row>
    <row r="912" spans="1:10" x14ac:dyDescent="0.35">
      <c r="A912">
        <v>10591</v>
      </c>
      <c r="B912">
        <v>7</v>
      </c>
      <c r="C912">
        <v>30</v>
      </c>
      <c r="D912">
        <v>10</v>
      </c>
      <c r="E912">
        <v>0</v>
      </c>
      <c r="F912">
        <v>300</v>
      </c>
      <c r="G912" t="str">
        <f>VLOOKUP(VLOOKUP(order_details[[#This Row],[ProductID]], products[], 4, FALSE), categories[], 2, FALSE)</f>
        <v>Produce</v>
      </c>
      <c r="H912">
        <f>VLOOKUP(order_details[[#This Row],[ProductID]], products[], 4, FALSE)</f>
        <v>7</v>
      </c>
      <c r="I912" t="str">
        <f>VLOOKUP(order_details[[#This Row],[OrderID]], orders[[OrderID]:[ShipCountry]], 14, FALSE)</f>
        <v>Denmark</v>
      </c>
      <c r="J912" s="1">
        <f>_xlfn.XLOOKUP(order_details[[#This Row],[OrderID]], orders[OrderID], orders[Month])</f>
        <v>8</v>
      </c>
    </row>
    <row r="913" spans="1:10" x14ac:dyDescent="0.35">
      <c r="A913">
        <v>10591</v>
      </c>
      <c r="B913">
        <v>54</v>
      </c>
      <c r="C913">
        <v>7.45</v>
      </c>
      <c r="D913">
        <v>50</v>
      </c>
      <c r="E913">
        <v>0</v>
      </c>
      <c r="F913">
        <v>372.5</v>
      </c>
      <c r="G913" t="str">
        <f>VLOOKUP(VLOOKUP(order_details[[#This Row],[ProductID]], products[], 4, FALSE), categories[], 2, FALSE)</f>
        <v>Meat/Poultry</v>
      </c>
      <c r="H913">
        <f>VLOOKUP(order_details[[#This Row],[ProductID]], products[], 4, FALSE)</f>
        <v>6</v>
      </c>
      <c r="I913" t="str">
        <f>VLOOKUP(order_details[[#This Row],[OrderID]], orders[[OrderID]:[ShipCountry]], 14, FALSE)</f>
        <v>Denmark</v>
      </c>
      <c r="J913" s="1">
        <f>_xlfn.XLOOKUP(order_details[[#This Row],[OrderID]], orders[OrderID], orders[Month])</f>
        <v>8</v>
      </c>
    </row>
    <row r="914" spans="1:10" x14ac:dyDescent="0.35">
      <c r="A914">
        <v>10592</v>
      </c>
      <c r="B914">
        <v>15</v>
      </c>
      <c r="C914">
        <v>15.5</v>
      </c>
      <c r="D914">
        <v>25</v>
      </c>
      <c r="E914">
        <v>0.05</v>
      </c>
      <c r="F914">
        <v>368.125</v>
      </c>
      <c r="G914" t="str">
        <f>VLOOKUP(VLOOKUP(order_details[[#This Row],[ProductID]], products[], 4, FALSE), categories[], 2, FALSE)</f>
        <v>Condiments</v>
      </c>
      <c r="H914">
        <f>VLOOKUP(order_details[[#This Row],[ProductID]], products[], 4, FALSE)</f>
        <v>2</v>
      </c>
      <c r="I914" t="str">
        <f>VLOOKUP(order_details[[#This Row],[OrderID]], orders[[OrderID]:[ShipCountry]], 14, FALSE)</f>
        <v>Germany</v>
      </c>
      <c r="J914" s="1">
        <f>_xlfn.XLOOKUP(order_details[[#This Row],[OrderID]], orders[OrderID], orders[Month])</f>
        <v>8</v>
      </c>
    </row>
    <row r="915" spans="1:10" x14ac:dyDescent="0.35">
      <c r="A915">
        <v>10592</v>
      </c>
      <c r="B915">
        <v>26</v>
      </c>
      <c r="C915">
        <v>31.23</v>
      </c>
      <c r="D915">
        <v>5</v>
      </c>
      <c r="E915">
        <v>0.05</v>
      </c>
      <c r="F915">
        <v>148.3425</v>
      </c>
      <c r="G915" t="str">
        <f>VLOOKUP(VLOOKUP(order_details[[#This Row],[ProductID]], products[], 4, FALSE), categories[], 2, FALSE)</f>
        <v>Confections</v>
      </c>
      <c r="H915">
        <f>VLOOKUP(order_details[[#This Row],[ProductID]], products[], 4, FALSE)</f>
        <v>3</v>
      </c>
      <c r="I915" t="str">
        <f>VLOOKUP(order_details[[#This Row],[OrderID]], orders[[OrderID]:[ShipCountry]], 14, FALSE)</f>
        <v>Germany</v>
      </c>
      <c r="J915" s="1">
        <f>_xlfn.XLOOKUP(order_details[[#This Row],[OrderID]], orders[OrderID], orders[Month])</f>
        <v>8</v>
      </c>
    </row>
    <row r="916" spans="1:10" x14ac:dyDescent="0.35">
      <c r="A916">
        <v>10593</v>
      </c>
      <c r="B916">
        <v>20</v>
      </c>
      <c r="C916">
        <v>81</v>
      </c>
      <c r="D916">
        <v>21</v>
      </c>
      <c r="E916">
        <v>0.2</v>
      </c>
      <c r="F916">
        <v>1360.8000000000002</v>
      </c>
      <c r="G916" t="str">
        <f>VLOOKUP(VLOOKUP(order_details[[#This Row],[ProductID]], products[], 4, FALSE), categories[], 2, FALSE)</f>
        <v>Confections</v>
      </c>
      <c r="H916">
        <f>VLOOKUP(order_details[[#This Row],[ProductID]], products[], 4, FALSE)</f>
        <v>3</v>
      </c>
      <c r="I916" t="str">
        <f>VLOOKUP(order_details[[#This Row],[OrderID]], orders[[OrderID]:[ShipCountry]], 14, FALSE)</f>
        <v>Germany</v>
      </c>
      <c r="J916" s="1">
        <f>_xlfn.XLOOKUP(order_details[[#This Row],[OrderID]], orders[OrderID], orders[Month])</f>
        <v>8</v>
      </c>
    </row>
    <row r="917" spans="1:10" x14ac:dyDescent="0.35">
      <c r="A917">
        <v>10593</v>
      </c>
      <c r="B917">
        <v>69</v>
      </c>
      <c r="C917">
        <v>36</v>
      </c>
      <c r="D917">
        <v>20</v>
      </c>
      <c r="E917">
        <v>0.2</v>
      </c>
      <c r="F917">
        <v>576</v>
      </c>
      <c r="G917" t="str">
        <f>VLOOKUP(VLOOKUP(order_details[[#This Row],[ProductID]], products[], 4, FALSE), categories[], 2, FALSE)</f>
        <v>Dairy Products</v>
      </c>
      <c r="H917">
        <f>VLOOKUP(order_details[[#This Row],[ProductID]], products[], 4, FALSE)</f>
        <v>4</v>
      </c>
      <c r="I917" t="str">
        <f>VLOOKUP(order_details[[#This Row],[OrderID]], orders[[OrderID]:[ShipCountry]], 14, FALSE)</f>
        <v>Germany</v>
      </c>
      <c r="J917" s="1">
        <f>_xlfn.XLOOKUP(order_details[[#This Row],[OrderID]], orders[OrderID], orders[Month])</f>
        <v>8</v>
      </c>
    </row>
    <row r="918" spans="1:10" x14ac:dyDescent="0.35">
      <c r="A918">
        <v>10593</v>
      </c>
      <c r="B918">
        <v>76</v>
      </c>
      <c r="C918">
        <v>18</v>
      </c>
      <c r="D918">
        <v>4</v>
      </c>
      <c r="E918">
        <v>0.2</v>
      </c>
      <c r="F918">
        <v>57.6</v>
      </c>
      <c r="G918" t="str">
        <f>VLOOKUP(VLOOKUP(order_details[[#This Row],[ProductID]], products[], 4, FALSE), categories[], 2, FALSE)</f>
        <v>Beverages</v>
      </c>
      <c r="H918">
        <f>VLOOKUP(order_details[[#This Row],[ProductID]], products[], 4, FALSE)</f>
        <v>1</v>
      </c>
      <c r="I918" t="str">
        <f>VLOOKUP(order_details[[#This Row],[OrderID]], orders[[OrderID]:[ShipCountry]], 14, FALSE)</f>
        <v>Germany</v>
      </c>
      <c r="J918" s="1">
        <f>_xlfn.XLOOKUP(order_details[[#This Row],[OrderID]], orders[OrderID], orders[Month])</f>
        <v>8</v>
      </c>
    </row>
    <row r="919" spans="1:10" x14ac:dyDescent="0.35">
      <c r="A919">
        <v>10594</v>
      </c>
      <c r="B919">
        <v>52</v>
      </c>
      <c r="C919">
        <v>7</v>
      </c>
      <c r="D919">
        <v>24</v>
      </c>
      <c r="E919">
        <v>0</v>
      </c>
      <c r="F919">
        <v>168</v>
      </c>
      <c r="G919" t="str">
        <f>VLOOKUP(VLOOKUP(order_details[[#This Row],[ProductID]], products[], 4, FALSE), categories[], 2, FALSE)</f>
        <v>Grains/Cereals</v>
      </c>
      <c r="H919">
        <f>VLOOKUP(order_details[[#This Row],[ProductID]], products[], 4, FALSE)</f>
        <v>5</v>
      </c>
      <c r="I919" t="str">
        <f>VLOOKUP(order_details[[#This Row],[OrderID]], orders[[OrderID]:[ShipCountry]], 14, FALSE)</f>
        <v>USA</v>
      </c>
      <c r="J919" s="1">
        <f>_xlfn.XLOOKUP(order_details[[#This Row],[OrderID]], orders[OrderID], orders[Month])</f>
        <v>8</v>
      </c>
    </row>
    <row r="920" spans="1:10" x14ac:dyDescent="0.35">
      <c r="A920">
        <v>10594</v>
      </c>
      <c r="B920">
        <v>58</v>
      </c>
      <c r="C920">
        <v>13.25</v>
      </c>
      <c r="D920">
        <v>30</v>
      </c>
      <c r="E920">
        <v>0</v>
      </c>
      <c r="F920">
        <v>397.5</v>
      </c>
      <c r="G920" t="str">
        <f>VLOOKUP(VLOOKUP(order_details[[#This Row],[ProductID]], products[], 4, FALSE), categories[], 2, FALSE)</f>
        <v>Seafood</v>
      </c>
      <c r="H920">
        <f>VLOOKUP(order_details[[#This Row],[ProductID]], products[], 4, FALSE)</f>
        <v>8</v>
      </c>
      <c r="I920" t="str">
        <f>VLOOKUP(order_details[[#This Row],[OrderID]], orders[[OrderID]:[ShipCountry]], 14, FALSE)</f>
        <v>USA</v>
      </c>
      <c r="J920" s="1">
        <f>_xlfn.XLOOKUP(order_details[[#This Row],[OrderID]], orders[OrderID], orders[Month])</f>
        <v>8</v>
      </c>
    </row>
    <row r="921" spans="1:10" x14ac:dyDescent="0.35">
      <c r="A921">
        <v>10595</v>
      </c>
      <c r="B921">
        <v>35</v>
      </c>
      <c r="C921">
        <v>18</v>
      </c>
      <c r="D921">
        <v>30</v>
      </c>
      <c r="E921">
        <v>0.25</v>
      </c>
      <c r="F921">
        <v>405</v>
      </c>
      <c r="G921" t="str">
        <f>VLOOKUP(VLOOKUP(order_details[[#This Row],[ProductID]], products[], 4, FALSE), categories[], 2, FALSE)</f>
        <v>Beverages</v>
      </c>
      <c r="H921">
        <f>VLOOKUP(order_details[[#This Row],[ProductID]], products[], 4, FALSE)</f>
        <v>1</v>
      </c>
      <c r="I921" t="str">
        <f>VLOOKUP(order_details[[#This Row],[OrderID]], orders[[OrderID]:[ShipCountry]], 14, FALSE)</f>
        <v>Austria</v>
      </c>
      <c r="J921" s="1">
        <f>_xlfn.XLOOKUP(order_details[[#This Row],[OrderID]], orders[OrderID], orders[Month])</f>
        <v>8</v>
      </c>
    </row>
    <row r="922" spans="1:10" x14ac:dyDescent="0.35">
      <c r="A922">
        <v>10595</v>
      </c>
      <c r="B922">
        <v>61</v>
      </c>
      <c r="C922">
        <v>28.5</v>
      </c>
      <c r="D922">
        <v>120</v>
      </c>
      <c r="E922">
        <v>0.25</v>
      </c>
      <c r="F922">
        <v>2565</v>
      </c>
      <c r="G922" t="str">
        <f>VLOOKUP(VLOOKUP(order_details[[#This Row],[ProductID]], products[], 4, FALSE), categories[], 2, FALSE)</f>
        <v>Condiments</v>
      </c>
      <c r="H922">
        <f>VLOOKUP(order_details[[#This Row],[ProductID]], products[], 4, FALSE)</f>
        <v>2</v>
      </c>
      <c r="I922" t="str">
        <f>VLOOKUP(order_details[[#This Row],[OrderID]], orders[[OrderID]:[ShipCountry]], 14, FALSE)</f>
        <v>Austria</v>
      </c>
      <c r="J922" s="1">
        <f>_xlfn.XLOOKUP(order_details[[#This Row],[OrderID]], orders[OrderID], orders[Month])</f>
        <v>8</v>
      </c>
    </row>
    <row r="923" spans="1:10" x14ac:dyDescent="0.35">
      <c r="A923">
        <v>10595</v>
      </c>
      <c r="B923">
        <v>69</v>
      </c>
      <c r="C923">
        <v>36</v>
      </c>
      <c r="D923">
        <v>65</v>
      </c>
      <c r="E923">
        <v>0.25</v>
      </c>
      <c r="F923">
        <v>1755</v>
      </c>
      <c r="G923" t="str">
        <f>VLOOKUP(VLOOKUP(order_details[[#This Row],[ProductID]], products[], 4, FALSE), categories[], 2, FALSE)</f>
        <v>Dairy Products</v>
      </c>
      <c r="H923">
        <f>VLOOKUP(order_details[[#This Row],[ProductID]], products[], 4, FALSE)</f>
        <v>4</v>
      </c>
      <c r="I923" t="str">
        <f>VLOOKUP(order_details[[#This Row],[OrderID]], orders[[OrderID]:[ShipCountry]], 14, FALSE)</f>
        <v>Austria</v>
      </c>
      <c r="J923" s="1">
        <f>_xlfn.XLOOKUP(order_details[[#This Row],[OrderID]], orders[OrderID], orders[Month])</f>
        <v>8</v>
      </c>
    </row>
    <row r="924" spans="1:10" x14ac:dyDescent="0.35">
      <c r="A924">
        <v>10596</v>
      </c>
      <c r="B924">
        <v>56</v>
      </c>
      <c r="C924">
        <v>38</v>
      </c>
      <c r="D924">
        <v>5</v>
      </c>
      <c r="E924">
        <v>0.2</v>
      </c>
      <c r="F924">
        <v>152</v>
      </c>
      <c r="G924" t="str">
        <f>VLOOKUP(VLOOKUP(order_details[[#This Row],[ProductID]], products[], 4, FALSE), categories[], 2, FALSE)</f>
        <v>Grains/Cereals</v>
      </c>
      <c r="H924">
        <f>VLOOKUP(order_details[[#This Row],[ProductID]], products[], 4, FALSE)</f>
        <v>5</v>
      </c>
      <c r="I924" t="str">
        <f>VLOOKUP(order_details[[#This Row],[OrderID]], orders[[OrderID]:[ShipCountry]], 14, FALSE)</f>
        <v>USA</v>
      </c>
      <c r="J924" s="1">
        <f>_xlfn.XLOOKUP(order_details[[#This Row],[OrderID]], orders[OrderID], orders[Month])</f>
        <v>8</v>
      </c>
    </row>
    <row r="925" spans="1:10" x14ac:dyDescent="0.35">
      <c r="A925">
        <v>10596</v>
      </c>
      <c r="B925">
        <v>63</v>
      </c>
      <c r="C925">
        <v>43.9</v>
      </c>
      <c r="D925">
        <v>24</v>
      </c>
      <c r="E925">
        <v>0.2</v>
      </c>
      <c r="F925">
        <v>842.88</v>
      </c>
      <c r="G925" t="str">
        <f>VLOOKUP(VLOOKUP(order_details[[#This Row],[ProductID]], products[], 4, FALSE), categories[], 2, FALSE)</f>
        <v>Condiments</v>
      </c>
      <c r="H925">
        <f>VLOOKUP(order_details[[#This Row],[ProductID]], products[], 4, FALSE)</f>
        <v>2</v>
      </c>
      <c r="I925" t="str">
        <f>VLOOKUP(order_details[[#This Row],[OrderID]], orders[[OrderID]:[ShipCountry]], 14, FALSE)</f>
        <v>USA</v>
      </c>
      <c r="J925" s="1">
        <f>_xlfn.XLOOKUP(order_details[[#This Row],[OrderID]], orders[OrderID], orders[Month])</f>
        <v>8</v>
      </c>
    </row>
    <row r="926" spans="1:10" x14ac:dyDescent="0.35">
      <c r="A926">
        <v>10596</v>
      </c>
      <c r="B926">
        <v>75</v>
      </c>
      <c r="C926">
        <v>7.75</v>
      </c>
      <c r="D926">
        <v>30</v>
      </c>
      <c r="E926">
        <v>0.2</v>
      </c>
      <c r="F926">
        <v>186</v>
      </c>
      <c r="G926" t="str">
        <f>VLOOKUP(VLOOKUP(order_details[[#This Row],[ProductID]], products[], 4, FALSE), categories[], 2, FALSE)</f>
        <v>Beverages</v>
      </c>
      <c r="H926">
        <f>VLOOKUP(order_details[[#This Row],[ProductID]], products[], 4, FALSE)</f>
        <v>1</v>
      </c>
      <c r="I926" t="str">
        <f>VLOOKUP(order_details[[#This Row],[OrderID]], orders[[OrderID]:[ShipCountry]], 14, FALSE)</f>
        <v>USA</v>
      </c>
      <c r="J926" s="1">
        <f>_xlfn.XLOOKUP(order_details[[#This Row],[OrderID]], orders[OrderID], orders[Month])</f>
        <v>8</v>
      </c>
    </row>
    <row r="927" spans="1:10" x14ac:dyDescent="0.35">
      <c r="A927">
        <v>10597</v>
      </c>
      <c r="B927">
        <v>24</v>
      </c>
      <c r="C927">
        <v>4.5</v>
      </c>
      <c r="D927">
        <v>35</v>
      </c>
      <c r="E927">
        <v>0.2</v>
      </c>
      <c r="F927">
        <v>126</v>
      </c>
      <c r="G927" t="str">
        <f>VLOOKUP(VLOOKUP(order_details[[#This Row],[ProductID]], products[], 4, FALSE), categories[], 2, FALSE)</f>
        <v>Beverages</v>
      </c>
      <c r="H927">
        <f>VLOOKUP(order_details[[#This Row],[ProductID]], products[], 4, FALSE)</f>
        <v>1</v>
      </c>
      <c r="I927" t="str">
        <f>VLOOKUP(order_details[[#This Row],[OrderID]], orders[[OrderID]:[ShipCountry]], 14, FALSE)</f>
        <v>Austria</v>
      </c>
      <c r="J927" s="1">
        <f>_xlfn.XLOOKUP(order_details[[#This Row],[OrderID]], orders[OrderID], orders[Month])</f>
        <v>8</v>
      </c>
    </row>
    <row r="928" spans="1:10" x14ac:dyDescent="0.35">
      <c r="A928">
        <v>10597</v>
      </c>
      <c r="B928">
        <v>57</v>
      </c>
      <c r="C928">
        <v>19.5</v>
      </c>
      <c r="D928">
        <v>20</v>
      </c>
      <c r="E928">
        <v>0</v>
      </c>
      <c r="F928">
        <v>390</v>
      </c>
      <c r="G928" t="str">
        <f>VLOOKUP(VLOOKUP(order_details[[#This Row],[ProductID]], products[], 4, FALSE), categories[], 2, FALSE)</f>
        <v>Grains/Cereals</v>
      </c>
      <c r="H928">
        <f>VLOOKUP(order_details[[#This Row],[ProductID]], products[], 4, FALSE)</f>
        <v>5</v>
      </c>
      <c r="I928" t="str">
        <f>VLOOKUP(order_details[[#This Row],[OrderID]], orders[[OrderID]:[ShipCountry]], 14, FALSE)</f>
        <v>Austria</v>
      </c>
      <c r="J928" s="1">
        <f>_xlfn.XLOOKUP(order_details[[#This Row],[OrderID]], orders[OrderID], orders[Month])</f>
        <v>8</v>
      </c>
    </row>
    <row r="929" spans="1:10" x14ac:dyDescent="0.35">
      <c r="A929">
        <v>10597</v>
      </c>
      <c r="B929">
        <v>65</v>
      </c>
      <c r="C929">
        <v>21.05</v>
      </c>
      <c r="D929">
        <v>12</v>
      </c>
      <c r="E929">
        <v>0.2</v>
      </c>
      <c r="F929">
        <v>202.08000000000004</v>
      </c>
      <c r="G929" t="str">
        <f>VLOOKUP(VLOOKUP(order_details[[#This Row],[ProductID]], products[], 4, FALSE), categories[], 2, FALSE)</f>
        <v>Condiments</v>
      </c>
      <c r="H929">
        <f>VLOOKUP(order_details[[#This Row],[ProductID]], products[], 4, FALSE)</f>
        <v>2</v>
      </c>
      <c r="I929" t="str">
        <f>VLOOKUP(order_details[[#This Row],[OrderID]], orders[[OrderID]:[ShipCountry]], 14, FALSE)</f>
        <v>Austria</v>
      </c>
      <c r="J929" s="1">
        <f>_xlfn.XLOOKUP(order_details[[#This Row],[OrderID]], orders[OrderID], orders[Month])</f>
        <v>8</v>
      </c>
    </row>
    <row r="930" spans="1:10" x14ac:dyDescent="0.35">
      <c r="A930">
        <v>10598</v>
      </c>
      <c r="B930">
        <v>27</v>
      </c>
      <c r="C930">
        <v>43.9</v>
      </c>
      <c r="D930">
        <v>50</v>
      </c>
      <c r="E930">
        <v>0</v>
      </c>
      <c r="F930">
        <v>2195</v>
      </c>
      <c r="G930" t="str">
        <f>VLOOKUP(VLOOKUP(order_details[[#This Row],[ProductID]], products[], 4, FALSE), categories[], 2, FALSE)</f>
        <v>Confections</v>
      </c>
      <c r="H930">
        <f>VLOOKUP(order_details[[#This Row],[ProductID]], products[], 4, FALSE)</f>
        <v>3</v>
      </c>
      <c r="I930" t="str">
        <f>VLOOKUP(order_details[[#This Row],[OrderID]], orders[[OrderID]:[ShipCountry]], 14, FALSE)</f>
        <v>USA</v>
      </c>
      <c r="J930" s="1">
        <f>_xlfn.XLOOKUP(order_details[[#This Row],[OrderID]], orders[OrderID], orders[Month])</f>
        <v>8</v>
      </c>
    </row>
    <row r="931" spans="1:10" x14ac:dyDescent="0.35">
      <c r="A931">
        <v>10598</v>
      </c>
      <c r="B931">
        <v>71</v>
      </c>
      <c r="C931">
        <v>21.5</v>
      </c>
      <c r="D931">
        <v>9</v>
      </c>
      <c r="E931">
        <v>0</v>
      </c>
      <c r="F931">
        <v>193.5</v>
      </c>
      <c r="G931" t="str">
        <f>VLOOKUP(VLOOKUP(order_details[[#This Row],[ProductID]], products[], 4, FALSE), categories[], 2, FALSE)</f>
        <v>Dairy Products</v>
      </c>
      <c r="H931">
        <f>VLOOKUP(order_details[[#This Row],[ProductID]], products[], 4, FALSE)</f>
        <v>4</v>
      </c>
      <c r="I931" t="str">
        <f>VLOOKUP(order_details[[#This Row],[OrderID]], orders[[OrderID]:[ShipCountry]], 14, FALSE)</f>
        <v>USA</v>
      </c>
      <c r="J931" s="1">
        <f>_xlfn.XLOOKUP(order_details[[#This Row],[OrderID]], orders[OrderID], orders[Month])</f>
        <v>8</v>
      </c>
    </row>
    <row r="932" spans="1:10" x14ac:dyDescent="0.35">
      <c r="A932">
        <v>10599</v>
      </c>
      <c r="B932">
        <v>62</v>
      </c>
      <c r="C932">
        <v>49.3</v>
      </c>
      <c r="D932">
        <v>10</v>
      </c>
      <c r="E932">
        <v>0</v>
      </c>
      <c r="F932">
        <v>493</v>
      </c>
      <c r="G932" t="str">
        <f>VLOOKUP(VLOOKUP(order_details[[#This Row],[ProductID]], products[], 4, FALSE), categories[], 2, FALSE)</f>
        <v>Confections</v>
      </c>
      <c r="H932">
        <f>VLOOKUP(order_details[[#This Row],[ProductID]], products[], 4, FALSE)</f>
        <v>3</v>
      </c>
      <c r="I932" t="str">
        <f>VLOOKUP(order_details[[#This Row],[OrderID]], orders[[OrderID]:[ShipCountry]], 14, FALSE)</f>
        <v>UK</v>
      </c>
      <c r="J932" s="1">
        <f>_xlfn.XLOOKUP(order_details[[#This Row],[OrderID]], orders[OrderID], orders[Month])</f>
        <v>8</v>
      </c>
    </row>
    <row r="933" spans="1:10" x14ac:dyDescent="0.35">
      <c r="A933">
        <v>10600</v>
      </c>
      <c r="B933">
        <v>54</v>
      </c>
      <c r="C933">
        <v>7.45</v>
      </c>
      <c r="D933">
        <v>4</v>
      </c>
      <c r="E933">
        <v>0</v>
      </c>
      <c r="F933">
        <v>29.8</v>
      </c>
      <c r="G933" t="str">
        <f>VLOOKUP(VLOOKUP(order_details[[#This Row],[ProductID]], products[], 4, FALSE), categories[], 2, FALSE)</f>
        <v>Meat/Poultry</v>
      </c>
      <c r="H933">
        <f>VLOOKUP(order_details[[#This Row],[ProductID]], products[], 4, FALSE)</f>
        <v>6</v>
      </c>
      <c r="I933" t="str">
        <f>VLOOKUP(order_details[[#This Row],[OrderID]], orders[[OrderID]:[ShipCountry]], 14, FALSE)</f>
        <v>USA</v>
      </c>
      <c r="J933" s="1">
        <f>_xlfn.XLOOKUP(order_details[[#This Row],[OrderID]], orders[OrderID], orders[Month])</f>
        <v>8</v>
      </c>
    </row>
    <row r="934" spans="1:10" x14ac:dyDescent="0.35">
      <c r="A934">
        <v>10600</v>
      </c>
      <c r="B934">
        <v>73</v>
      </c>
      <c r="C934">
        <v>15</v>
      </c>
      <c r="D934">
        <v>30</v>
      </c>
      <c r="E934">
        <v>0</v>
      </c>
      <c r="F934">
        <v>450</v>
      </c>
      <c r="G934" t="str">
        <f>VLOOKUP(VLOOKUP(order_details[[#This Row],[ProductID]], products[], 4, FALSE), categories[], 2, FALSE)</f>
        <v>Seafood</v>
      </c>
      <c r="H934">
        <f>VLOOKUP(order_details[[#This Row],[ProductID]], products[], 4, FALSE)</f>
        <v>8</v>
      </c>
      <c r="I934" t="str">
        <f>VLOOKUP(order_details[[#This Row],[OrderID]], orders[[OrderID]:[ShipCountry]], 14, FALSE)</f>
        <v>USA</v>
      </c>
      <c r="J934" s="1">
        <f>_xlfn.XLOOKUP(order_details[[#This Row],[OrderID]], orders[OrderID], orders[Month])</f>
        <v>8</v>
      </c>
    </row>
    <row r="935" spans="1:10" x14ac:dyDescent="0.35">
      <c r="A935">
        <v>10601</v>
      </c>
      <c r="B935">
        <v>13</v>
      </c>
      <c r="C935">
        <v>6</v>
      </c>
      <c r="D935">
        <v>60</v>
      </c>
      <c r="E935">
        <v>0</v>
      </c>
      <c r="F935">
        <v>360</v>
      </c>
      <c r="G935" t="str">
        <f>VLOOKUP(VLOOKUP(order_details[[#This Row],[ProductID]], products[], 4, FALSE), categories[], 2, FALSE)</f>
        <v>Seafood</v>
      </c>
      <c r="H935">
        <f>VLOOKUP(order_details[[#This Row],[ProductID]], products[], 4, FALSE)</f>
        <v>8</v>
      </c>
      <c r="I935" t="str">
        <f>VLOOKUP(order_details[[#This Row],[OrderID]], orders[[OrderID]:[ShipCountry]], 14, FALSE)</f>
        <v>Venezuela</v>
      </c>
      <c r="J935" s="1">
        <f>_xlfn.XLOOKUP(order_details[[#This Row],[OrderID]], orders[OrderID], orders[Month])</f>
        <v>8</v>
      </c>
    </row>
    <row r="936" spans="1:10" x14ac:dyDescent="0.35">
      <c r="A936">
        <v>10601</v>
      </c>
      <c r="B936">
        <v>59</v>
      </c>
      <c r="C936">
        <v>55</v>
      </c>
      <c r="D936">
        <v>35</v>
      </c>
      <c r="E936">
        <v>0</v>
      </c>
      <c r="F936">
        <v>1925</v>
      </c>
      <c r="G936" t="str">
        <f>VLOOKUP(VLOOKUP(order_details[[#This Row],[ProductID]], products[], 4, FALSE), categories[], 2, FALSE)</f>
        <v>Dairy Products</v>
      </c>
      <c r="H936">
        <f>VLOOKUP(order_details[[#This Row],[ProductID]], products[], 4, FALSE)</f>
        <v>4</v>
      </c>
      <c r="I936" t="str">
        <f>VLOOKUP(order_details[[#This Row],[OrderID]], orders[[OrderID]:[ShipCountry]], 14, FALSE)</f>
        <v>Venezuela</v>
      </c>
      <c r="J936" s="1">
        <f>_xlfn.XLOOKUP(order_details[[#This Row],[OrderID]], orders[OrderID], orders[Month])</f>
        <v>8</v>
      </c>
    </row>
    <row r="937" spans="1:10" x14ac:dyDescent="0.35">
      <c r="A937">
        <v>10602</v>
      </c>
      <c r="B937">
        <v>77</v>
      </c>
      <c r="C937">
        <v>13</v>
      </c>
      <c r="D937">
        <v>5</v>
      </c>
      <c r="E937">
        <v>0.25</v>
      </c>
      <c r="F937">
        <v>48.75</v>
      </c>
      <c r="G937" t="str">
        <f>VLOOKUP(VLOOKUP(order_details[[#This Row],[ProductID]], products[], 4, FALSE), categories[], 2, FALSE)</f>
        <v>Condiments</v>
      </c>
      <c r="H937">
        <f>VLOOKUP(order_details[[#This Row],[ProductID]], products[], 4, FALSE)</f>
        <v>2</v>
      </c>
      <c r="I937" t="str">
        <f>VLOOKUP(order_details[[#This Row],[OrderID]], orders[[OrderID]:[ShipCountry]], 14, FALSE)</f>
        <v>Denmark</v>
      </c>
      <c r="J937" s="1">
        <f>_xlfn.XLOOKUP(order_details[[#This Row],[OrderID]], orders[OrderID], orders[Month])</f>
        <v>8</v>
      </c>
    </row>
    <row r="938" spans="1:10" x14ac:dyDescent="0.35">
      <c r="A938">
        <v>10603</v>
      </c>
      <c r="B938">
        <v>22</v>
      </c>
      <c r="C938">
        <v>21</v>
      </c>
      <c r="D938">
        <v>48</v>
      </c>
      <c r="E938">
        <v>0</v>
      </c>
      <c r="F938">
        <v>1008</v>
      </c>
      <c r="G938" t="str">
        <f>VLOOKUP(VLOOKUP(order_details[[#This Row],[ProductID]], products[], 4, FALSE), categories[], 2, FALSE)</f>
        <v>Grains/Cereals</v>
      </c>
      <c r="H938">
        <f>VLOOKUP(order_details[[#This Row],[ProductID]], products[], 4, FALSE)</f>
        <v>5</v>
      </c>
      <c r="I938" t="str">
        <f>VLOOKUP(order_details[[#This Row],[OrderID]], orders[[OrderID]:[ShipCountry]], 14, FALSE)</f>
        <v>USA</v>
      </c>
      <c r="J938" s="1">
        <f>_xlfn.XLOOKUP(order_details[[#This Row],[OrderID]], orders[OrderID], orders[Month])</f>
        <v>8</v>
      </c>
    </row>
    <row r="939" spans="1:10" x14ac:dyDescent="0.35">
      <c r="A939">
        <v>10603</v>
      </c>
      <c r="B939">
        <v>49</v>
      </c>
      <c r="C939">
        <v>20</v>
      </c>
      <c r="D939">
        <v>25</v>
      </c>
      <c r="E939">
        <v>0.05</v>
      </c>
      <c r="F939">
        <v>475</v>
      </c>
      <c r="G939" t="str">
        <f>VLOOKUP(VLOOKUP(order_details[[#This Row],[ProductID]], products[], 4, FALSE), categories[], 2, FALSE)</f>
        <v>Confections</v>
      </c>
      <c r="H939">
        <f>VLOOKUP(order_details[[#This Row],[ProductID]], products[], 4, FALSE)</f>
        <v>3</v>
      </c>
      <c r="I939" t="str">
        <f>VLOOKUP(order_details[[#This Row],[OrderID]], orders[[OrderID]:[ShipCountry]], 14, FALSE)</f>
        <v>USA</v>
      </c>
      <c r="J939" s="1">
        <f>_xlfn.XLOOKUP(order_details[[#This Row],[OrderID]], orders[OrderID], orders[Month])</f>
        <v>8</v>
      </c>
    </row>
    <row r="940" spans="1:10" x14ac:dyDescent="0.35">
      <c r="A940">
        <v>10604</v>
      </c>
      <c r="B940">
        <v>48</v>
      </c>
      <c r="C940">
        <v>12.75</v>
      </c>
      <c r="D940">
        <v>6</v>
      </c>
      <c r="E940">
        <v>0.1</v>
      </c>
      <c r="F940">
        <v>68.850000000000009</v>
      </c>
      <c r="G940" t="str">
        <f>VLOOKUP(VLOOKUP(order_details[[#This Row],[ProductID]], products[], 4, FALSE), categories[], 2, FALSE)</f>
        <v>Confections</v>
      </c>
      <c r="H940">
        <f>VLOOKUP(order_details[[#This Row],[ProductID]], products[], 4, FALSE)</f>
        <v>3</v>
      </c>
      <c r="I940" t="str">
        <f>VLOOKUP(order_details[[#This Row],[OrderID]], orders[[OrderID]:[ShipCountry]], 14, FALSE)</f>
        <v>Portugal</v>
      </c>
      <c r="J940" s="1">
        <f>_xlfn.XLOOKUP(order_details[[#This Row],[OrderID]], orders[OrderID], orders[Month])</f>
        <v>8</v>
      </c>
    </row>
    <row r="941" spans="1:10" x14ac:dyDescent="0.35">
      <c r="A941">
        <v>10604</v>
      </c>
      <c r="B941">
        <v>76</v>
      </c>
      <c r="C941">
        <v>18</v>
      </c>
      <c r="D941">
        <v>10</v>
      </c>
      <c r="E941">
        <v>0.1</v>
      </c>
      <c r="F941">
        <v>162</v>
      </c>
      <c r="G941" t="str">
        <f>VLOOKUP(VLOOKUP(order_details[[#This Row],[ProductID]], products[], 4, FALSE), categories[], 2, FALSE)</f>
        <v>Beverages</v>
      </c>
      <c r="H941">
        <f>VLOOKUP(order_details[[#This Row],[ProductID]], products[], 4, FALSE)</f>
        <v>1</v>
      </c>
      <c r="I941" t="str">
        <f>VLOOKUP(order_details[[#This Row],[OrderID]], orders[[OrderID]:[ShipCountry]], 14, FALSE)</f>
        <v>Portugal</v>
      </c>
      <c r="J941" s="1">
        <f>_xlfn.XLOOKUP(order_details[[#This Row],[OrderID]], orders[OrderID], orders[Month])</f>
        <v>8</v>
      </c>
    </row>
    <row r="942" spans="1:10" x14ac:dyDescent="0.35">
      <c r="A942">
        <v>10605</v>
      </c>
      <c r="B942">
        <v>16</v>
      </c>
      <c r="C942">
        <v>17.45</v>
      </c>
      <c r="D942">
        <v>30</v>
      </c>
      <c r="E942">
        <v>0.05</v>
      </c>
      <c r="F942">
        <v>497.32499999999999</v>
      </c>
      <c r="G942" t="str">
        <f>VLOOKUP(VLOOKUP(order_details[[#This Row],[ProductID]], products[], 4, FALSE), categories[], 2, FALSE)</f>
        <v>Confections</v>
      </c>
      <c r="H942">
        <f>VLOOKUP(order_details[[#This Row],[ProductID]], products[], 4, FALSE)</f>
        <v>3</v>
      </c>
      <c r="I942" t="str">
        <f>VLOOKUP(order_details[[#This Row],[OrderID]], orders[[OrderID]:[ShipCountry]], 14, FALSE)</f>
        <v>Canada</v>
      </c>
      <c r="J942" s="1">
        <f>_xlfn.XLOOKUP(order_details[[#This Row],[OrderID]], orders[OrderID], orders[Month])</f>
        <v>8</v>
      </c>
    </row>
    <row r="943" spans="1:10" x14ac:dyDescent="0.35">
      <c r="A943">
        <v>10605</v>
      </c>
      <c r="B943">
        <v>59</v>
      </c>
      <c r="C943">
        <v>55</v>
      </c>
      <c r="D943">
        <v>20</v>
      </c>
      <c r="E943">
        <v>0.05</v>
      </c>
      <c r="F943">
        <v>1045</v>
      </c>
      <c r="G943" t="str">
        <f>VLOOKUP(VLOOKUP(order_details[[#This Row],[ProductID]], products[], 4, FALSE), categories[], 2, FALSE)</f>
        <v>Dairy Products</v>
      </c>
      <c r="H943">
        <f>VLOOKUP(order_details[[#This Row],[ProductID]], products[], 4, FALSE)</f>
        <v>4</v>
      </c>
      <c r="I943" t="str">
        <f>VLOOKUP(order_details[[#This Row],[OrderID]], orders[[OrderID]:[ShipCountry]], 14, FALSE)</f>
        <v>Canada</v>
      </c>
      <c r="J943" s="1">
        <f>_xlfn.XLOOKUP(order_details[[#This Row],[OrderID]], orders[OrderID], orders[Month])</f>
        <v>8</v>
      </c>
    </row>
    <row r="944" spans="1:10" x14ac:dyDescent="0.35">
      <c r="A944">
        <v>10605</v>
      </c>
      <c r="B944">
        <v>60</v>
      </c>
      <c r="C944">
        <v>34</v>
      </c>
      <c r="D944">
        <v>70</v>
      </c>
      <c r="E944">
        <v>0.05</v>
      </c>
      <c r="F944">
        <v>2261</v>
      </c>
      <c r="G944" t="str">
        <f>VLOOKUP(VLOOKUP(order_details[[#This Row],[ProductID]], products[], 4, FALSE), categories[], 2, FALSE)</f>
        <v>Dairy Products</v>
      </c>
      <c r="H944">
        <f>VLOOKUP(order_details[[#This Row],[ProductID]], products[], 4, FALSE)</f>
        <v>4</v>
      </c>
      <c r="I944" t="str">
        <f>VLOOKUP(order_details[[#This Row],[OrderID]], orders[[OrderID]:[ShipCountry]], 14, FALSE)</f>
        <v>Canada</v>
      </c>
      <c r="J944" s="1">
        <f>_xlfn.XLOOKUP(order_details[[#This Row],[OrderID]], orders[OrderID], orders[Month])</f>
        <v>8</v>
      </c>
    </row>
    <row r="945" spans="1:10" x14ac:dyDescent="0.35">
      <c r="A945">
        <v>10605</v>
      </c>
      <c r="B945">
        <v>71</v>
      </c>
      <c r="C945">
        <v>21.5</v>
      </c>
      <c r="D945">
        <v>15</v>
      </c>
      <c r="E945">
        <v>0.05</v>
      </c>
      <c r="F945">
        <v>306.375</v>
      </c>
      <c r="G945" t="str">
        <f>VLOOKUP(VLOOKUP(order_details[[#This Row],[ProductID]], products[], 4, FALSE), categories[], 2, FALSE)</f>
        <v>Dairy Products</v>
      </c>
      <c r="H945">
        <f>VLOOKUP(order_details[[#This Row],[ProductID]], products[], 4, FALSE)</f>
        <v>4</v>
      </c>
      <c r="I945" t="str">
        <f>VLOOKUP(order_details[[#This Row],[OrderID]], orders[[OrderID]:[ShipCountry]], 14, FALSE)</f>
        <v>Canada</v>
      </c>
      <c r="J945" s="1">
        <f>_xlfn.XLOOKUP(order_details[[#This Row],[OrderID]], orders[OrderID], orders[Month])</f>
        <v>8</v>
      </c>
    </row>
    <row r="946" spans="1:10" x14ac:dyDescent="0.35">
      <c r="A946">
        <v>10606</v>
      </c>
      <c r="B946">
        <v>4</v>
      </c>
      <c r="C946">
        <v>22</v>
      </c>
      <c r="D946">
        <v>20</v>
      </c>
      <c r="E946">
        <v>0.2</v>
      </c>
      <c r="F946">
        <v>352</v>
      </c>
      <c r="G946" t="str">
        <f>VLOOKUP(VLOOKUP(order_details[[#This Row],[ProductID]], products[], 4, FALSE), categories[], 2, FALSE)</f>
        <v>Condiments</v>
      </c>
      <c r="H946">
        <f>VLOOKUP(order_details[[#This Row],[ProductID]], products[], 4, FALSE)</f>
        <v>2</v>
      </c>
      <c r="I946" t="str">
        <f>VLOOKUP(order_details[[#This Row],[OrderID]], orders[[OrderID]:[ShipCountry]], 14, FALSE)</f>
        <v>Brazil</v>
      </c>
      <c r="J946" s="1">
        <f>_xlfn.XLOOKUP(order_details[[#This Row],[OrderID]], orders[OrderID], orders[Month])</f>
        <v>8</v>
      </c>
    </row>
    <row r="947" spans="1:10" x14ac:dyDescent="0.35">
      <c r="A947">
        <v>10606</v>
      </c>
      <c r="B947">
        <v>55</v>
      </c>
      <c r="C947">
        <v>24</v>
      </c>
      <c r="D947">
        <v>20</v>
      </c>
      <c r="E947">
        <v>0.2</v>
      </c>
      <c r="F947">
        <v>384</v>
      </c>
      <c r="G947" t="str">
        <f>VLOOKUP(VLOOKUP(order_details[[#This Row],[ProductID]], products[], 4, FALSE), categories[], 2, FALSE)</f>
        <v>Meat/Poultry</v>
      </c>
      <c r="H947">
        <f>VLOOKUP(order_details[[#This Row],[ProductID]], products[], 4, FALSE)</f>
        <v>6</v>
      </c>
      <c r="I947" t="str">
        <f>VLOOKUP(order_details[[#This Row],[OrderID]], orders[[OrderID]:[ShipCountry]], 14, FALSE)</f>
        <v>Brazil</v>
      </c>
      <c r="J947" s="1">
        <f>_xlfn.XLOOKUP(order_details[[#This Row],[OrderID]], orders[OrderID], orders[Month])</f>
        <v>8</v>
      </c>
    </row>
    <row r="948" spans="1:10" x14ac:dyDescent="0.35">
      <c r="A948">
        <v>10606</v>
      </c>
      <c r="B948">
        <v>62</v>
      </c>
      <c r="C948">
        <v>49.3</v>
      </c>
      <c r="D948">
        <v>10</v>
      </c>
      <c r="E948">
        <v>0.2</v>
      </c>
      <c r="F948">
        <v>394.40000000000003</v>
      </c>
      <c r="G948" t="str">
        <f>VLOOKUP(VLOOKUP(order_details[[#This Row],[ProductID]], products[], 4, FALSE), categories[], 2, FALSE)</f>
        <v>Confections</v>
      </c>
      <c r="H948">
        <f>VLOOKUP(order_details[[#This Row],[ProductID]], products[], 4, FALSE)</f>
        <v>3</v>
      </c>
      <c r="I948" t="str">
        <f>VLOOKUP(order_details[[#This Row],[OrderID]], orders[[OrderID]:[ShipCountry]], 14, FALSE)</f>
        <v>Brazil</v>
      </c>
      <c r="J948" s="1">
        <f>_xlfn.XLOOKUP(order_details[[#This Row],[OrderID]], orders[OrderID], orders[Month])</f>
        <v>8</v>
      </c>
    </row>
    <row r="949" spans="1:10" x14ac:dyDescent="0.35">
      <c r="A949">
        <v>10607</v>
      </c>
      <c r="B949">
        <v>7</v>
      </c>
      <c r="C949">
        <v>30</v>
      </c>
      <c r="D949">
        <v>45</v>
      </c>
      <c r="E949">
        <v>0</v>
      </c>
      <c r="F949">
        <v>1350</v>
      </c>
      <c r="G949" t="str">
        <f>VLOOKUP(VLOOKUP(order_details[[#This Row],[ProductID]], products[], 4, FALSE), categories[], 2, FALSE)</f>
        <v>Produce</v>
      </c>
      <c r="H949">
        <f>VLOOKUP(order_details[[#This Row],[ProductID]], products[], 4, FALSE)</f>
        <v>7</v>
      </c>
      <c r="I949" t="str">
        <f>VLOOKUP(order_details[[#This Row],[OrderID]], orders[[OrderID]:[ShipCountry]], 14, FALSE)</f>
        <v>USA</v>
      </c>
      <c r="J949" s="1">
        <f>_xlfn.XLOOKUP(order_details[[#This Row],[OrderID]], orders[OrderID], orders[Month])</f>
        <v>8</v>
      </c>
    </row>
    <row r="950" spans="1:10" x14ac:dyDescent="0.35">
      <c r="A950">
        <v>10607</v>
      </c>
      <c r="B950">
        <v>17</v>
      </c>
      <c r="C950">
        <v>39</v>
      </c>
      <c r="D950">
        <v>100</v>
      </c>
      <c r="E950">
        <v>0</v>
      </c>
      <c r="F950">
        <v>3900</v>
      </c>
      <c r="G950" t="str">
        <f>VLOOKUP(VLOOKUP(order_details[[#This Row],[ProductID]], products[], 4, FALSE), categories[], 2, FALSE)</f>
        <v>Meat/Poultry</v>
      </c>
      <c r="H950">
        <f>VLOOKUP(order_details[[#This Row],[ProductID]], products[], 4, FALSE)</f>
        <v>6</v>
      </c>
      <c r="I950" t="str">
        <f>VLOOKUP(order_details[[#This Row],[OrderID]], orders[[OrderID]:[ShipCountry]], 14, FALSE)</f>
        <v>USA</v>
      </c>
      <c r="J950" s="1">
        <f>_xlfn.XLOOKUP(order_details[[#This Row],[OrderID]], orders[OrderID], orders[Month])</f>
        <v>8</v>
      </c>
    </row>
    <row r="951" spans="1:10" x14ac:dyDescent="0.35">
      <c r="A951">
        <v>10607</v>
      </c>
      <c r="B951">
        <v>33</v>
      </c>
      <c r="C951">
        <v>2.5</v>
      </c>
      <c r="D951">
        <v>14</v>
      </c>
      <c r="E951">
        <v>0</v>
      </c>
      <c r="F951">
        <v>35</v>
      </c>
      <c r="G951" t="str">
        <f>VLOOKUP(VLOOKUP(order_details[[#This Row],[ProductID]], products[], 4, FALSE), categories[], 2, FALSE)</f>
        <v>Dairy Products</v>
      </c>
      <c r="H951">
        <f>VLOOKUP(order_details[[#This Row],[ProductID]], products[], 4, FALSE)</f>
        <v>4</v>
      </c>
      <c r="I951" t="str">
        <f>VLOOKUP(order_details[[#This Row],[OrderID]], orders[[OrderID]:[ShipCountry]], 14, FALSE)</f>
        <v>USA</v>
      </c>
      <c r="J951" s="1">
        <f>_xlfn.XLOOKUP(order_details[[#This Row],[OrderID]], orders[OrderID], orders[Month])</f>
        <v>8</v>
      </c>
    </row>
    <row r="952" spans="1:10" x14ac:dyDescent="0.35">
      <c r="A952">
        <v>10607</v>
      </c>
      <c r="B952">
        <v>40</v>
      </c>
      <c r="C952">
        <v>18.399999999999999</v>
      </c>
      <c r="D952">
        <v>42</v>
      </c>
      <c r="E952">
        <v>0</v>
      </c>
      <c r="F952">
        <v>772.8</v>
      </c>
      <c r="G952" t="str">
        <f>VLOOKUP(VLOOKUP(order_details[[#This Row],[ProductID]], products[], 4, FALSE), categories[], 2, FALSE)</f>
        <v>Seafood</v>
      </c>
      <c r="H952">
        <f>VLOOKUP(order_details[[#This Row],[ProductID]], products[], 4, FALSE)</f>
        <v>8</v>
      </c>
      <c r="I952" t="str">
        <f>VLOOKUP(order_details[[#This Row],[OrderID]], orders[[OrderID]:[ShipCountry]], 14, FALSE)</f>
        <v>USA</v>
      </c>
      <c r="J952" s="1">
        <f>_xlfn.XLOOKUP(order_details[[#This Row],[OrderID]], orders[OrderID], orders[Month])</f>
        <v>8</v>
      </c>
    </row>
    <row r="953" spans="1:10" x14ac:dyDescent="0.35">
      <c r="A953">
        <v>10607</v>
      </c>
      <c r="B953">
        <v>72</v>
      </c>
      <c r="C953">
        <v>34.799999999999997</v>
      </c>
      <c r="D953">
        <v>12</v>
      </c>
      <c r="E953">
        <v>0</v>
      </c>
      <c r="F953">
        <v>417.59999999999997</v>
      </c>
      <c r="G953" t="str">
        <f>VLOOKUP(VLOOKUP(order_details[[#This Row],[ProductID]], products[], 4, FALSE), categories[], 2, FALSE)</f>
        <v>Dairy Products</v>
      </c>
      <c r="H953">
        <f>VLOOKUP(order_details[[#This Row],[ProductID]], products[], 4, FALSE)</f>
        <v>4</v>
      </c>
      <c r="I953" t="str">
        <f>VLOOKUP(order_details[[#This Row],[OrderID]], orders[[OrderID]:[ShipCountry]], 14, FALSE)</f>
        <v>USA</v>
      </c>
      <c r="J953" s="1">
        <f>_xlfn.XLOOKUP(order_details[[#This Row],[OrderID]], orders[OrderID], orders[Month])</f>
        <v>8</v>
      </c>
    </row>
    <row r="954" spans="1:10" x14ac:dyDescent="0.35">
      <c r="A954">
        <v>10608</v>
      </c>
      <c r="B954">
        <v>56</v>
      </c>
      <c r="C954">
        <v>38</v>
      </c>
      <c r="D954">
        <v>28</v>
      </c>
      <c r="E954">
        <v>0</v>
      </c>
      <c r="F954">
        <v>1064</v>
      </c>
      <c r="G954" t="str">
        <f>VLOOKUP(VLOOKUP(order_details[[#This Row],[ProductID]], products[], 4, FALSE), categories[], 2, FALSE)</f>
        <v>Grains/Cereals</v>
      </c>
      <c r="H954">
        <f>VLOOKUP(order_details[[#This Row],[ProductID]], products[], 4, FALSE)</f>
        <v>5</v>
      </c>
      <c r="I954" t="str">
        <f>VLOOKUP(order_details[[#This Row],[OrderID]], orders[[OrderID]:[ShipCountry]], 14, FALSE)</f>
        <v>Germany</v>
      </c>
      <c r="J954" s="1">
        <f>_xlfn.XLOOKUP(order_details[[#This Row],[OrderID]], orders[OrderID], orders[Month])</f>
        <v>8</v>
      </c>
    </row>
    <row r="955" spans="1:10" x14ac:dyDescent="0.35">
      <c r="A955">
        <v>10609</v>
      </c>
      <c r="B955">
        <v>1</v>
      </c>
      <c r="C955">
        <v>18</v>
      </c>
      <c r="D955">
        <v>3</v>
      </c>
      <c r="E955">
        <v>0</v>
      </c>
      <c r="F955">
        <v>54</v>
      </c>
      <c r="G955" t="str">
        <f>VLOOKUP(VLOOKUP(order_details[[#This Row],[ProductID]], products[], 4, FALSE), categories[], 2, FALSE)</f>
        <v>Beverages</v>
      </c>
      <c r="H955">
        <f>VLOOKUP(order_details[[#This Row],[ProductID]], products[], 4, FALSE)</f>
        <v>1</v>
      </c>
      <c r="I955" t="str">
        <f>VLOOKUP(order_details[[#This Row],[OrderID]], orders[[OrderID]:[ShipCountry]], 14, FALSE)</f>
        <v>France</v>
      </c>
      <c r="J955" s="1">
        <f>_xlfn.XLOOKUP(order_details[[#This Row],[OrderID]], orders[OrderID], orders[Month])</f>
        <v>8</v>
      </c>
    </row>
    <row r="956" spans="1:10" x14ac:dyDescent="0.35">
      <c r="A956">
        <v>10609</v>
      </c>
      <c r="B956">
        <v>10</v>
      </c>
      <c r="C956">
        <v>31</v>
      </c>
      <c r="D956">
        <v>10</v>
      </c>
      <c r="E956">
        <v>0</v>
      </c>
      <c r="F956">
        <v>310</v>
      </c>
      <c r="G956" t="str">
        <f>VLOOKUP(VLOOKUP(order_details[[#This Row],[ProductID]], products[], 4, FALSE), categories[], 2, FALSE)</f>
        <v>Seafood</v>
      </c>
      <c r="H956">
        <f>VLOOKUP(order_details[[#This Row],[ProductID]], products[], 4, FALSE)</f>
        <v>8</v>
      </c>
      <c r="I956" t="str">
        <f>VLOOKUP(order_details[[#This Row],[OrderID]], orders[[OrderID]:[ShipCountry]], 14, FALSE)</f>
        <v>France</v>
      </c>
      <c r="J956" s="1">
        <f>_xlfn.XLOOKUP(order_details[[#This Row],[OrderID]], orders[OrderID], orders[Month])</f>
        <v>8</v>
      </c>
    </row>
    <row r="957" spans="1:10" x14ac:dyDescent="0.35">
      <c r="A957">
        <v>10609</v>
      </c>
      <c r="B957">
        <v>21</v>
      </c>
      <c r="C957">
        <v>10</v>
      </c>
      <c r="D957">
        <v>6</v>
      </c>
      <c r="E957">
        <v>0</v>
      </c>
      <c r="F957">
        <v>60</v>
      </c>
      <c r="G957" t="str">
        <f>VLOOKUP(VLOOKUP(order_details[[#This Row],[ProductID]], products[], 4, FALSE), categories[], 2, FALSE)</f>
        <v>Confections</v>
      </c>
      <c r="H957">
        <f>VLOOKUP(order_details[[#This Row],[ProductID]], products[], 4, FALSE)</f>
        <v>3</v>
      </c>
      <c r="I957" t="str">
        <f>VLOOKUP(order_details[[#This Row],[OrderID]], orders[[OrderID]:[ShipCountry]], 14, FALSE)</f>
        <v>France</v>
      </c>
      <c r="J957" s="1">
        <f>_xlfn.XLOOKUP(order_details[[#This Row],[OrderID]], orders[OrderID], orders[Month])</f>
        <v>8</v>
      </c>
    </row>
    <row r="958" spans="1:10" x14ac:dyDescent="0.35">
      <c r="A958">
        <v>10610</v>
      </c>
      <c r="B958">
        <v>36</v>
      </c>
      <c r="C958">
        <v>19</v>
      </c>
      <c r="D958">
        <v>21</v>
      </c>
      <c r="E958">
        <v>0.25</v>
      </c>
      <c r="F958">
        <v>299.25</v>
      </c>
      <c r="G958" t="str">
        <f>VLOOKUP(VLOOKUP(order_details[[#This Row],[ProductID]], products[], 4, FALSE), categories[], 2, FALSE)</f>
        <v>Seafood</v>
      </c>
      <c r="H958">
        <f>VLOOKUP(order_details[[#This Row],[ProductID]], products[], 4, FALSE)</f>
        <v>8</v>
      </c>
      <c r="I958" t="str">
        <f>VLOOKUP(order_details[[#This Row],[OrderID]], orders[[OrderID]:[ShipCountry]], 14, FALSE)</f>
        <v>France</v>
      </c>
      <c r="J958" s="1">
        <f>_xlfn.XLOOKUP(order_details[[#This Row],[OrderID]], orders[OrderID], orders[Month])</f>
        <v>8</v>
      </c>
    </row>
    <row r="959" spans="1:10" x14ac:dyDescent="0.35">
      <c r="A959">
        <v>10611</v>
      </c>
      <c r="B959">
        <v>1</v>
      </c>
      <c r="C959">
        <v>18</v>
      </c>
      <c r="D959">
        <v>6</v>
      </c>
      <c r="E959">
        <v>0</v>
      </c>
      <c r="F959">
        <v>108</v>
      </c>
      <c r="G959" t="str">
        <f>VLOOKUP(VLOOKUP(order_details[[#This Row],[ProductID]], products[], 4, FALSE), categories[], 2, FALSE)</f>
        <v>Beverages</v>
      </c>
      <c r="H959">
        <f>VLOOKUP(order_details[[#This Row],[ProductID]], products[], 4, FALSE)</f>
        <v>1</v>
      </c>
      <c r="I959" t="str">
        <f>VLOOKUP(order_details[[#This Row],[OrderID]], orders[[OrderID]:[ShipCountry]], 14, FALSE)</f>
        <v>Poland</v>
      </c>
      <c r="J959" s="1">
        <f>_xlfn.XLOOKUP(order_details[[#This Row],[OrderID]], orders[OrderID], orders[Month])</f>
        <v>8</v>
      </c>
    </row>
    <row r="960" spans="1:10" x14ac:dyDescent="0.35">
      <c r="A960">
        <v>10611</v>
      </c>
      <c r="B960">
        <v>2</v>
      </c>
      <c r="C960">
        <v>19</v>
      </c>
      <c r="D960">
        <v>10</v>
      </c>
      <c r="E960">
        <v>0</v>
      </c>
      <c r="F960">
        <v>190</v>
      </c>
      <c r="G960" t="str">
        <f>VLOOKUP(VLOOKUP(order_details[[#This Row],[ProductID]], products[], 4, FALSE), categories[], 2, FALSE)</f>
        <v>Beverages</v>
      </c>
      <c r="H960">
        <f>VLOOKUP(order_details[[#This Row],[ProductID]], products[], 4, FALSE)</f>
        <v>1</v>
      </c>
      <c r="I960" t="str">
        <f>VLOOKUP(order_details[[#This Row],[OrderID]], orders[[OrderID]:[ShipCountry]], 14, FALSE)</f>
        <v>Poland</v>
      </c>
      <c r="J960" s="1">
        <f>_xlfn.XLOOKUP(order_details[[#This Row],[OrderID]], orders[OrderID], orders[Month])</f>
        <v>8</v>
      </c>
    </row>
    <row r="961" spans="1:10" x14ac:dyDescent="0.35">
      <c r="A961">
        <v>10611</v>
      </c>
      <c r="B961">
        <v>60</v>
      </c>
      <c r="C961">
        <v>34</v>
      </c>
      <c r="D961">
        <v>15</v>
      </c>
      <c r="E961">
        <v>0</v>
      </c>
      <c r="F961">
        <v>510</v>
      </c>
      <c r="G961" t="str">
        <f>VLOOKUP(VLOOKUP(order_details[[#This Row],[ProductID]], products[], 4, FALSE), categories[], 2, FALSE)</f>
        <v>Dairy Products</v>
      </c>
      <c r="H961">
        <f>VLOOKUP(order_details[[#This Row],[ProductID]], products[], 4, FALSE)</f>
        <v>4</v>
      </c>
      <c r="I961" t="str">
        <f>VLOOKUP(order_details[[#This Row],[OrderID]], orders[[OrderID]:[ShipCountry]], 14, FALSE)</f>
        <v>Poland</v>
      </c>
      <c r="J961" s="1">
        <f>_xlfn.XLOOKUP(order_details[[#This Row],[OrderID]], orders[OrderID], orders[Month])</f>
        <v>8</v>
      </c>
    </row>
    <row r="962" spans="1:10" x14ac:dyDescent="0.35">
      <c r="A962">
        <v>10612</v>
      </c>
      <c r="B962">
        <v>10</v>
      </c>
      <c r="C962">
        <v>31</v>
      </c>
      <c r="D962">
        <v>70</v>
      </c>
      <c r="E962">
        <v>0</v>
      </c>
      <c r="F962">
        <v>2170</v>
      </c>
      <c r="G962" t="str">
        <f>VLOOKUP(VLOOKUP(order_details[[#This Row],[ProductID]], products[], 4, FALSE), categories[], 2, FALSE)</f>
        <v>Seafood</v>
      </c>
      <c r="H962">
        <f>VLOOKUP(order_details[[#This Row],[ProductID]], products[], 4, FALSE)</f>
        <v>8</v>
      </c>
      <c r="I962" t="str">
        <f>VLOOKUP(order_details[[#This Row],[OrderID]], orders[[OrderID]:[ShipCountry]], 14, FALSE)</f>
        <v>USA</v>
      </c>
      <c r="J962" s="1">
        <f>_xlfn.XLOOKUP(order_details[[#This Row],[OrderID]], orders[OrderID], orders[Month])</f>
        <v>8</v>
      </c>
    </row>
    <row r="963" spans="1:10" x14ac:dyDescent="0.35">
      <c r="A963">
        <v>10612</v>
      </c>
      <c r="B963">
        <v>36</v>
      </c>
      <c r="C963">
        <v>19</v>
      </c>
      <c r="D963">
        <v>55</v>
      </c>
      <c r="E963">
        <v>0</v>
      </c>
      <c r="F963">
        <v>1045</v>
      </c>
      <c r="G963" t="str">
        <f>VLOOKUP(VLOOKUP(order_details[[#This Row],[ProductID]], products[], 4, FALSE), categories[], 2, FALSE)</f>
        <v>Seafood</v>
      </c>
      <c r="H963">
        <f>VLOOKUP(order_details[[#This Row],[ProductID]], products[], 4, FALSE)</f>
        <v>8</v>
      </c>
      <c r="I963" t="str">
        <f>VLOOKUP(order_details[[#This Row],[OrderID]], orders[[OrderID]:[ShipCountry]], 14, FALSE)</f>
        <v>USA</v>
      </c>
      <c r="J963" s="1">
        <f>_xlfn.XLOOKUP(order_details[[#This Row],[OrderID]], orders[OrderID], orders[Month])</f>
        <v>8</v>
      </c>
    </row>
    <row r="964" spans="1:10" x14ac:dyDescent="0.35">
      <c r="A964">
        <v>10612</v>
      </c>
      <c r="B964">
        <v>49</v>
      </c>
      <c r="C964">
        <v>20</v>
      </c>
      <c r="D964">
        <v>18</v>
      </c>
      <c r="E964">
        <v>0</v>
      </c>
      <c r="F964">
        <v>360</v>
      </c>
      <c r="G964" t="str">
        <f>VLOOKUP(VLOOKUP(order_details[[#This Row],[ProductID]], products[], 4, FALSE), categories[], 2, FALSE)</f>
        <v>Confections</v>
      </c>
      <c r="H964">
        <f>VLOOKUP(order_details[[#This Row],[ProductID]], products[], 4, FALSE)</f>
        <v>3</v>
      </c>
      <c r="I964" t="str">
        <f>VLOOKUP(order_details[[#This Row],[OrderID]], orders[[OrderID]:[ShipCountry]], 14, FALSE)</f>
        <v>USA</v>
      </c>
      <c r="J964" s="1">
        <f>_xlfn.XLOOKUP(order_details[[#This Row],[OrderID]], orders[OrderID], orders[Month])</f>
        <v>8</v>
      </c>
    </row>
    <row r="965" spans="1:10" x14ac:dyDescent="0.35">
      <c r="A965">
        <v>10612</v>
      </c>
      <c r="B965">
        <v>60</v>
      </c>
      <c r="C965">
        <v>34</v>
      </c>
      <c r="D965">
        <v>40</v>
      </c>
      <c r="E965">
        <v>0</v>
      </c>
      <c r="F965">
        <v>1360</v>
      </c>
      <c r="G965" t="str">
        <f>VLOOKUP(VLOOKUP(order_details[[#This Row],[ProductID]], products[], 4, FALSE), categories[], 2, FALSE)</f>
        <v>Dairy Products</v>
      </c>
      <c r="H965">
        <f>VLOOKUP(order_details[[#This Row],[ProductID]], products[], 4, FALSE)</f>
        <v>4</v>
      </c>
      <c r="I965" t="str">
        <f>VLOOKUP(order_details[[#This Row],[OrderID]], orders[[OrderID]:[ShipCountry]], 14, FALSE)</f>
        <v>USA</v>
      </c>
      <c r="J965" s="1">
        <f>_xlfn.XLOOKUP(order_details[[#This Row],[OrderID]], orders[OrderID], orders[Month])</f>
        <v>8</v>
      </c>
    </row>
    <row r="966" spans="1:10" x14ac:dyDescent="0.35">
      <c r="A966">
        <v>10612</v>
      </c>
      <c r="B966">
        <v>76</v>
      </c>
      <c r="C966">
        <v>18</v>
      </c>
      <c r="D966">
        <v>80</v>
      </c>
      <c r="E966">
        <v>0</v>
      </c>
      <c r="F966">
        <v>1440</v>
      </c>
      <c r="G966" t="str">
        <f>VLOOKUP(VLOOKUP(order_details[[#This Row],[ProductID]], products[], 4, FALSE), categories[], 2, FALSE)</f>
        <v>Beverages</v>
      </c>
      <c r="H966">
        <f>VLOOKUP(order_details[[#This Row],[ProductID]], products[], 4, FALSE)</f>
        <v>1</v>
      </c>
      <c r="I966" t="str">
        <f>VLOOKUP(order_details[[#This Row],[OrderID]], orders[[OrderID]:[ShipCountry]], 14, FALSE)</f>
        <v>USA</v>
      </c>
      <c r="J966" s="1">
        <f>_xlfn.XLOOKUP(order_details[[#This Row],[OrderID]], orders[OrderID], orders[Month])</f>
        <v>8</v>
      </c>
    </row>
    <row r="967" spans="1:10" x14ac:dyDescent="0.35">
      <c r="A967">
        <v>10613</v>
      </c>
      <c r="B967">
        <v>13</v>
      </c>
      <c r="C967">
        <v>6</v>
      </c>
      <c r="D967">
        <v>8</v>
      </c>
      <c r="E967">
        <v>0.1</v>
      </c>
      <c r="F967">
        <v>43.2</v>
      </c>
      <c r="G967" t="str">
        <f>VLOOKUP(VLOOKUP(order_details[[#This Row],[ProductID]], products[], 4, FALSE), categories[], 2, FALSE)</f>
        <v>Seafood</v>
      </c>
      <c r="H967">
        <f>VLOOKUP(order_details[[#This Row],[ProductID]], products[], 4, FALSE)</f>
        <v>8</v>
      </c>
      <c r="I967" t="str">
        <f>VLOOKUP(order_details[[#This Row],[OrderID]], orders[[OrderID]:[ShipCountry]], 14, FALSE)</f>
        <v>Venezuela</v>
      </c>
      <c r="J967" s="1">
        <f>_xlfn.XLOOKUP(order_details[[#This Row],[OrderID]], orders[OrderID], orders[Month])</f>
        <v>8</v>
      </c>
    </row>
    <row r="968" spans="1:10" x14ac:dyDescent="0.35">
      <c r="A968">
        <v>10613</v>
      </c>
      <c r="B968">
        <v>75</v>
      </c>
      <c r="C968">
        <v>7.75</v>
      </c>
      <c r="D968">
        <v>40</v>
      </c>
      <c r="E968">
        <v>0</v>
      </c>
      <c r="F968">
        <v>310</v>
      </c>
      <c r="G968" t="str">
        <f>VLOOKUP(VLOOKUP(order_details[[#This Row],[ProductID]], products[], 4, FALSE), categories[], 2, FALSE)</f>
        <v>Beverages</v>
      </c>
      <c r="H968">
        <f>VLOOKUP(order_details[[#This Row],[ProductID]], products[], 4, FALSE)</f>
        <v>1</v>
      </c>
      <c r="I968" t="str">
        <f>VLOOKUP(order_details[[#This Row],[OrderID]], orders[[OrderID]:[ShipCountry]], 14, FALSE)</f>
        <v>Venezuela</v>
      </c>
      <c r="J968" s="1">
        <f>_xlfn.XLOOKUP(order_details[[#This Row],[OrderID]], orders[OrderID], orders[Month])</f>
        <v>8</v>
      </c>
    </row>
    <row r="969" spans="1:10" x14ac:dyDescent="0.35">
      <c r="A969">
        <v>10614</v>
      </c>
      <c r="B969">
        <v>11</v>
      </c>
      <c r="C969">
        <v>21</v>
      </c>
      <c r="D969">
        <v>14</v>
      </c>
      <c r="E969">
        <v>0</v>
      </c>
      <c r="F969">
        <v>294</v>
      </c>
      <c r="G969" t="str">
        <f>VLOOKUP(VLOOKUP(order_details[[#This Row],[ProductID]], products[], 4, FALSE), categories[], 2, FALSE)</f>
        <v>Dairy Products</v>
      </c>
      <c r="H969">
        <f>VLOOKUP(order_details[[#This Row],[ProductID]], products[], 4, FALSE)</f>
        <v>4</v>
      </c>
      <c r="I969" t="str">
        <f>VLOOKUP(order_details[[#This Row],[OrderID]], orders[[OrderID]:[ShipCountry]], 14, FALSE)</f>
        <v>Germany</v>
      </c>
      <c r="J969" s="1">
        <f>_xlfn.XLOOKUP(order_details[[#This Row],[OrderID]], orders[OrderID], orders[Month])</f>
        <v>8</v>
      </c>
    </row>
    <row r="970" spans="1:10" x14ac:dyDescent="0.35">
      <c r="A970">
        <v>10614</v>
      </c>
      <c r="B970">
        <v>21</v>
      </c>
      <c r="C970">
        <v>10</v>
      </c>
      <c r="D970">
        <v>8</v>
      </c>
      <c r="E970">
        <v>0</v>
      </c>
      <c r="F970">
        <v>80</v>
      </c>
      <c r="G970" t="str">
        <f>VLOOKUP(VLOOKUP(order_details[[#This Row],[ProductID]], products[], 4, FALSE), categories[], 2, FALSE)</f>
        <v>Confections</v>
      </c>
      <c r="H970">
        <f>VLOOKUP(order_details[[#This Row],[ProductID]], products[], 4, FALSE)</f>
        <v>3</v>
      </c>
      <c r="I970" t="str">
        <f>VLOOKUP(order_details[[#This Row],[OrderID]], orders[[OrderID]:[ShipCountry]], 14, FALSE)</f>
        <v>Germany</v>
      </c>
      <c r="J970" s="1">
        <f>_xlfn.XLOOKUP(order_details[[#This Row],[OrderID]], orders[OrderID], orders[Month])</f>
        <v>8</v>
      </c>
    </row>
    <row r="971" spans="1:10" x14ac:dyDescent="0.35">
      <c r="A971">
        <v>10614</v>
      </c>
      <c r="B971">
        <v>39</v>
      </c>
      <c r="C971">
        <v>18</v>
      </c>
      <c r="D971">
        <v>5</v>
      </c>
      <c r="E971">
        <v>0</v>
      </c>
      <c r="F971">
        <v>90</v>
      </c>
      <c r="G971" t="str">
        <f>VLOOKUP(VLOOKUP(order_details[[#This Row],[ProductID]], products[], 4, FALSE), categories[], 2, FALSE)</f>
        <v>Beverages</v>
      </c>
      <c r="H971">
        <f>VLOOKUP(order_details[[#This Row],[ProductID]], products[], 4, FALSE)</f>
        <v>1</v>
      </c>
      <c r="I971" t="str">
        <f>VLOOKUP(order_details[[#This Row],[OrderID]], orders[[OrderID]:[ShipCountry]], 14, FALSE)</f>
        <v>Germany</v>
      </c>
      <c r="J971" s="1">
        <f>_xlfn.XLOOKUP(order_details[[#This Row],[OrderID]], orders[OrderID], orders[Month])</f>
        <v>8</v>
      </c>
    </row>
    <row r="972" spans="1:10" x14ac:dyDescent="0.35">
      <c r="A972">
        <v>10615</v>
      </c>
      <c r="B972">
        <v>55</v>
      </c>
      <c r="C972">
        <v>24</v>
      </c>
      <c r="D972">
        <v>5</v>
      </c>
      <c r="E972">
        <v>0</v>
      </c>
      <c r="F972">
        <v>120</v>
      </c>
      <c r="G972" t="str">
        <f>VLOOKUP(VLOOKUP(order_details[[#This Row],[ProductID]], products[], 4, FALSE), categories[], 2, FALSE)</f>
        <v>Meat/Poultry</v>
      </c>
      <c r="H972">
        <f>VLOOKUP(order_details[[#This Row],[ProductID]], products[], 4, FALSE)</f>
        <v>6</v>
      </c>
      <c r="I972" t="str">
        <f>VLOOKUP(order_details[[#This Row],[OrderID]], orders[[OrderID]:[ShipCountry]], 14, FALSE)</f>
        <v>Finland</v>
      </c>
      <c r="J972" s="1">
        <f>_xlfn.XLOOKUP(order_details[[#This Row],[OrderID]], orders[OrderID], orders[Month])</f>
        <v>8</v>
      </c>
    </row>
    <row r="973" spans="1:10" x14ac:dyDescent="0.35">
      <c r="A973">
        <v>10616</v>
      </c>
      <c r="B973">
        <v>38</v>
      </c>
      <c r="C973">
        <v>263.5</v>
      </c>
      <c r="D973">
        <v>15</v>
      </c>
      <c r="E973">
        <v>0.05</v>
      </c>
      <c r="F973">
        <v>3754.875</v>
      </c>
      <c r="G973" t="str">
        <f>VLOOKUP(VLOOKUP(order_details[[#This Row],[ProductID]], products[], 4, FALSE), categories[], 2, FALSE)</f>
        <v>Beverages</v>
      </c>
      <c r="H973">
        <f>VLOOKUP(order_details[[#This Row],[ProductID]], products[], 4, FALSE)</f>
        <v>1</v>
      </c>
      <c r="I973" t="str">
        <f>VLOOKUP(order_details[[#This Row],[OrderID]], orders[[OrderID]:[ShipCountry]], 14, FALSE)</f>
        <v>USA</v>
      </c>
      <c r="J973" s="1">
        <f>_xlfn.XLOOKUP(order_details[[#This Row],[OrderID]], orders[OrderID], orders[Month])</f>
        <v>8</v>
      </c>
    </row>
    <row r="974" spans="1:10" x14ac:dyDescent="0.35">
      <c r="A974">
        <v>10616</v>
      </c>
      <c r="B974">
        <v>56</v>
      </c>
      <c r="C974">
        <v>38</v>
      </c>
      <c r="D974">
        <v>14</v>
      </c>
      <c r="E974">
        <v>0</v>
      </c>
      <c r="F974">
        <v>532</v>
      </c>
      <c r="G974" t="str">
        <f>VLOOKUP(VLOOKUP(order_details[[#This Row],[ProductID]], products[], 4, FALSE), categories[], 2, FALSE)</f>
        <v>Grains/Cereals</v>
      </c>
      <c r="H974">
        <f>VLOOKUP(order_details[[#This Row],[ProductID]], products[], 4, FALSE)</f>
        <v>5</v>
      </c>
      <c r="I974" t="str">
        <f>VLOOKUP(order_details[[#This Row],[OrderID]], orders[[OrderID]:[ShipCountry]], 14, FALSE)</f>
        <v>USA</v>
      </c>
      <c r="J974" s="1">
        <f>_xlfn.XLOOKUP(order_details[[#This Row],[OrderID]], orders[OrderID], orders[Month])</f>
        <v>8</v>
      </c>
    </row>
    <row r="975" spans="1:10" x14ac:dyDescent="0.35">
      <c r="A975">
        <v>10616</v>
      </c>
      <c r="B975">
        <v>70</v>
      </c>
      <c r="C975">
        <v>15</v>
      </c>
      <c r="D975">
        <v>15</v>
      </c>
      <c r="E975">
        <v>0.05</v>
      </c>
      <c r="F975">
        <v>213.75</v>
      </c>
      <c r="G975" t="str">
        <f>VLOOKUP(VLOOKUP(order_details[[#This Row],[ProductID]], products[], 4, FALSE), categories[], 2, FALSE)</f>
        <v>Beverages</v>
      </c>
      <c r="H975">
        <f>VLOOKUP(order_details[[#This Row],[ProductID]], products[], 4, FALSE)</f>
        <v>1</v>
      </c>
      <c r="I975" t="str">
        <f>VLOOKUP(order_details[[#This Row],[OrderID]], orders[[OrderID]:[ShipCountry]], 14, FALSE)</f>
        <v>USA</v>
      </c>
      <c r="J975" s="1">
        <f>_xlfn.XLOOKUP(order_details[[#This Row],[OrderID]], orders[OrderID], orders[Month])</f>
        <v>8</v>
      </c>
    </row>
    <row r="976" spans="1:10" x14ac:dyDescent="0.35">
      <c r="A976">
        <v>10616</v>
      </c>
      <c r="B976">
        <v>71</v>
      </c>
      <c r="C976">
        <v>21.5</v>
      </c>
      <c r="D976">
        <v>15</v>
      </c>
      <c r="E976">
        <v>0.05</v>
      </c>
      <c r="F976">
        <v>306.375</v>
      </c>
      <c r="G976" t="str">
        <f>VLOOKUP(VLOOKUP(order_details[[#This Row],[ProductID]], products[], 4, FALSE), categories[], 2, FALSE)</f>
        <v>Dairy Products</v>
      </c>
      <c r="H976">
        <f>VLOOKUP(order_details[[#This Row],[ProductID]], products[], 4, FALSE)</f>
        <v>4</v>
      </c>
      <c r="I976" t="str">
        <f>VLOOKUP(order_details[[#This Row],[OrderID]], orders[[OrderID]:[ShipCountry]], 14, FALSE)</f>
        <v>USA</v>
      </c>
      <c r="J976" s="1">
        <f>_xlfn.XLOOKUP(order_details[[#This Row],[OrderID]], orders[OrderID], orders[Month])</f>
        <v>8</v>
      </c>
    </row>
    <row r="977" spans="1:10" x14ac:dyDescent="0.35">
      <c r="A977">
        <v>10617</v>
      </c>
      <c r="B977">
        <v>59</v>
      </c>
      <c r="C977">
        <v>55</v>
      </c>
      <c r="D977">
        <v>30</v>
      </c>
      <c r="E977">
        <v>0.15</v>
      </c>
      <c r="F977">
        <v>1402.5</v>
      </c>
      <c r="G977" t="str">
        <f>VLOOKUP(VLOOKUP(order_details[[#This Row],[ProductID]], products[], 4, FALSE), categories[], 2, FALSE)</f>
        <v>Dairy Products</v>
      </c>
      <c r="H977">
        <f>VLOOKUP(order_details[[#This Row],[ProductID]], products[], 4, FALSE)</f>
        <v>4</v>
      </c>
      <c r="I977" t="str">
        <f>VLOOKUP(order_details[[#This Row],[OrderID]], orders[[OrderID]:[ShipCountry]], 14, FALSE)</f>
        <v>USA</v>
      </c>
      <c r="J977" s="1">
        <f>_xlfn.XLOOKUP(order_details[[#This Row],[OrderID]], orders[OrderID], orders[Month])</f>
        <v>8</v>
      </c>
    </row>
    <row r="978" spans="1:10" x14ac:dyDescent="0.35">
      <c r="A978">
        <v>10618</v>
      </c>
      <c r="B978">
        <v>6</v>
      </c>
      <c r="C978">
        <v>25</v>
      </c>
      <c r="D978">
        <v>70</v>
      </c>
      <c r="E978">
        <v>0</v>
      </c>
      <c r="F978">
        <v>1750</v>
      </c>
      <c r="G978" t="str">
        <f>VLOOKUP(VLOOKUP(order_details[[#This Row],[ProductID]], products[], 4, FALSE), categories[], 2, FALSE)</f>
        <v>Condiments</v>
      </c>
      <c r="H978">
        <f>VLOOKUP(order_details[[#This Row],[ProductID]], products[], 4, FALSE)</f>
        <v>2</v>
      </c>
      <c r="I978" t="str">
        <f>VLOOKUP(order_details[[#This Row],[OrderID]], orders[[OrderID]:[ShipCountry]], 14, FALSE)</f>
        <v>Canada</v>
      </c>
      <c r="J978" s="1">
        <f>_xlfn.XLOOKUP(order_details[[#This Row],[OrderID]], orders[OrderID], orders[Month])</f>
        <v>9</v>
      </c>
    </row>
    <row r="979" spans="1:10" x14ac:dyDescent="0.35">
      <c r="A979">
        <v>10618</v>
      </c>
      <c r="B979">
        <v>56</v>
      </c>
      <c r="C979">
        <v>38</v>
      </c>
      <c r="D979">
        <v>20</v>
      </c>
      <c r="E979">
        <v>0</v>
      </c>
      <c r="F979">
        <v>760</v>
      </c>
      <c r="G979" t="str">
        <f>VLOOKUP(VLOOKUP(order_details[[#This Row],[ProductID]], products[], 4, FALSE), categories[], 2, FALSE)</f>
        <v>Grains/Cereals</v>
      </c>
      <c r="H979">
        <f>VLOOKUP(order_details[[#This Row],[ProductID]], products[], 4, FALSE)</f>
        <v>5</v>
      </c>
      <c r="I979" t="str">
        <f>VLOOKUP(order_details[[#This Row],[OrderID]], orders[[OrderID]:[ShipCountry]], 14, FALSE)</f>
        <v>Canada</v>
      </c>
      <c r="J979" s="1">
        <f>_xlfn.XLOOKUP(order_details[[#This Row],[OrderID]], orders[OrderID], orders[Month])</f>
        <v>9</v>
      </c>
    </row>
    <row r="980" spans="1:10" x14ac:dyDescent="0.35">
      <c r="A980">
        <v>10618</v>
      </c>
      <c r="B980">
        <v>68</v>
      </c>
      <c r="C980">
        <v>12.5</v>
      </c>
      <c r="D980">
        <v>15</v>
      </c>
      <c r="E980">
        <v>0</v>
      </c>
      <c r="F980">
        <v>187.5</v>
      </c>
      <c r="G980" t="str">
        <f>VLOOKUP(VLOOKUP(order_details[[#This Row],[ProductID]], products[], 4, FALSE), categories[], 2, FALSE)</f>
        <v>Confections</v>
      </c>
      <c r="H980">
        <f>VLOOKUP(order_details[[#This Row],[ProductID]], products[], 4, FALSE)</f>
        <v>3</v>
      </c>
      <c r="I980" t="str">
        <f>VLOOKUP(order_details[[#This Row],[OrderID]], orders[[OrderID]:[ShipCountry]], 14, FALSE)</f>
        <v>Canada</v>
      </c>
      <c r="J980" s="1">
        <f>_xlfn.XLOOKUP(order_details[[#This Row],[OrderID]], orders[OrderID], orders[Month])</f>
        <v>9</v>
      </c>
    </row>
    <row r="981" spans="1:10" x14ac:dyDescent="0.35">
      <c r="A981">
        <v>10619</v>
      </c>
      <c r="B981">
        <v>21</v>
      </c>
      <c r="C981">
        <v>10</v>
      </c>
      <c r="D981">
        <v>42</v>
      </c>
      <c r="E981">
        <v>0</v>
      </c>
      <c r="F981">
        <v>420</v>
      </c>
      <c r="G981" t="str">
        <f>VLOOKUP(VLOOKUP(order_details[[#This Row],[ProductID]], products[], 4, FALSE), categories[], 2, FALSE)</f>
        <v>Confections</v>
      </c>
      <c r="H981">
        <f>VLOOKUP(order_details[[#This Row],[ProductID]], products[], 4, FALSE)</f>
        <v>3</v>
      </c>
      <c r="I981" t="str">
        <f>VLOOKUP(order_details[[#This Row],[OrderID]], orders[[OrderID]:[ShipCountry]], 14, FALSE)</f>
        <v>Canada</v>
      </c>
      <c r="J981" s="1">
        <f>_xlfn.XLOOKUP(order_details[[#This Row],[OrderID]], orders[OrderID], orders[Month])</f>
        <v>9</v>
      </c>
    </row>
    <row r="982" spans="1:10" x14ac:dyDescent="0.35">
      <c r="A982">
        <v>10619</v>
      </c>
      <c r="B982">
        <v>22</v>
      </c>
      <c r="C982">
        <v>21</v>
      </c>
      <c r="D982">
        <v>40</v>
      </c>
      <c r="E982">
        <v>0</v>
      </c>
      <c r="F982">
        <v>840</v>
      </c>
      <c r="G982" t="str">
        <f>VLOOKUP(VLOOKUP(order_details[[#This Row],[ProductID]], products[], 4, FALSE), categories[], 2, FALSE)</f>
        <v>Grains/Cereals</v>
      </c>
      <c r="H982">
        <f>VLOOKUP(order_details[[#This Row],[ProductID]], products[], 4, FALSE)</f>
        <v>5</v>
      </c>
      <c r="I982" t="str">
        <f>VLOOKUP(order_details[[#This Row],[OrderID]], orders[[OrderID]:[ShipCountry]], 14, FALSE)</f>
        <v>Canada</v>
      </c>
      <c r="J982" s="1">
        <f>_xlfn.XLOOKUP(order_details[[#This Row],[OrderID]], orders[OrderID], orders[Month])</f>
        <v>9</v>
      </c>
    </row>
    <row r="983" spans="1:10" x14ac:dyDescent="0.35">
      <c r="A983">
        <v>10620</v>
      </c>
      <c r="B983">
        <v>24</v>
      </c>
      <c r="C983">
        <v>4.5</v>
      </c>
      <c r="D983">
        <v>5</v>
      </c>
      <c r="E983">
        <v>0</v>
      </c>
      <c r="F983">
        <v>22.5</v>
      </c>
      <c r="G983" t="str">
        <f>VLOOKUP(VLOOKUP(order_details[[#This Row],[ProductID]], products[], 4, FALSE), categories[], 2, FALSE)</f>
        <v>Beverages</v>
      </c>
      <c r="H983">
        <f>VLOOKUP(order_details[[#This Row],[ProductID]], products[], 4, FALSE)</f>
        <v>1</v>
      </c>
      <c r="I983" t="str">
        <f>VLOOKUP(order_details[[#This Row],[OrderID]], orders[[OrderID]:[ShipCountry]], 14, FALSE)</f>
        <v>Canada</v>
      </c>
      <c r="J983" s="1">
        <f>_xlfn.XLOOKUP(order_details[[#This Row],[OrderID]], orders[OrderID], orders[Month])</f>
        <v>9</v>
      </c>
    </row>
    <row r="984" spans="1:10" x14ac:dyDescent="0.35">
      <c r="A984">
        <v>10620</v>
      </c>
      <c r="B984">
        <v>52</v>
      </c>
      <c r="C984">
        <v>7</v>
      </c>
      <c r="D984">
        <v>5</v>
      </c>
      <c r="E984">
        <v>0</v>
      </c>
      <c r="F984">
        <v>35</v>
      </c>
      <c r="G984" t="str">
        <f>VLOOKUP(VLOOKUP(order_details[[#This Row],[ProductID]], products[], 4, FALSE), categories[], 2, FALSE)</f>
        <v>Grains/Cereals</v>
      </c>
      <c r="H984">
        <f>VLOOKUP(order_details[[#This Row],[ProductID]], products[], 4, FALSE)</f>
        <v>5</v>
      </c>
      <c r="I984" t="str">
        <f>VLOOKUP(order_details[[#This Row],[OrderID]], orders[[OrderID]:[ShipCountry]], 14, FALSE)</f>
        <v>Canada</v>
      </c>
      <c r="J984" s="1">
        <f>_xlfn.XLOOKUP(order_details[[#This Row],[OrderID]], orders[OrderID], orders[Month])</f>
        <v>9</v>
      </c>
    </row>
    <row r="985" spans="1:10" x14ac:dyDescent="0.35">
      <c r="A985">
        <v>10621</v>
      </c>
      <c r="B985">
        <v>19</v>
      </c>
      <c r="C985">
        <v>9.1999999999999993</v>
      </c>
      <c r="D985">
        <v>5</v>
      </c>
      <c r="E985">
        <v>0</v>
      </c>
      <c r="F985">
        <v>46</v>
      </c>
      <c r="G985" t="str">
        <f>VLOOKUP(VLOOKUP(order_details[[#This Row],[ProductID]], products[], 4, FALSE), categories[], 2, FALSE)</f>
        <v>Confections</v>
      </c>
      <c r="H985">
        <f>VLOOKUP(order_details[[#This Row],[ProductID]], products[], 4, FALSE)</f>
        <v>3</v>
      </c>
      <c r="I985" t="str">
        <f>VLOOKUP(order_details[[#This Row],[OrderID]], orders[[OrderID]:[ShipCountry]], 14, FALSE)</f>
        <v>UK</v>
      </c>
      <c r="J985" s="1">
        <f>_xlfn.XLOOKUP(order_details[[#This Row],[OrderID]], orders[OrderID], orders[Month])</f>
        <v>9</v>
      </c>
    </row>
    <row r="986" spans="1:10" x14ac:dyDescent="0.35">
      <c r="A986">
        <v>10621</v>
      </c>
      <c r="B986">
        <v>23</v>
      </c>
      <c r="C986">
        <v>9</v>
      </c>
      <c r="D986">
        <v>10</v>
      </c>
      <c r="E986">
        <v>0</v>
      </c>
      <c r="F986">
        <v>90</v>
      </c>
      <c r="G986" t="str">
        <f>VLOOKUP(VLOOKUP(order_details[[#This Row],[ProductID]], products[], 4, FALSE), categories[], 2, FALSE)</f>
        <v>Grains/Cereals</v>
      </c>
      <c r="H986">
        <f>VLOOKUP(order_details[[#This Row],[ProductID]], products[], 4, FALSE)</f>
        <v>5</v>
      </c>
      <c r="I986" t="str">
        <f>VLOOKUP(order_details[[#This Row],[OrderID]], orders[[OrderID]:[ShipCountry]], 14, FALSE)</f>
        <v>UK</v>
      </c>
      <c r="J986" s="1">
        <f>_xlfn.XLOOKUP(order_details[[#This Row],[OrderID]], orders[OrderID], orders[Month])</f>
        <v>9</v>
      </c>
    </row>
    <row r="987" spans="1:10" x14ac:dyDescent="0.35">
      <c r="A987">
        <v>10621</v>
      </c>
      <c r="B987">
        <v>70</v>
      </c>
      <c r="C987">
        <v>15</v>
      </c>
      <c r="D987">
        <v>20</v>
      </c>
      <c r="E987">
        <v>0</v>
      </c>
      <c r="F987">
        <v>300</v>
      </c>
      <c r="G987" t="str">
        <f>VLOOKUP(VLOOKUP(order_details[[#This Row],[ProductID]], products[], 4, FALSE), categories[], 2, FALSE)</f>
        <v>Beverages</v>
      </c>
      <c r="H987">
        <f>VLOOKUP(order_details[[#This Row],[ProductID]], products[], 4, FALSE)</f>
        <v>1</v>
      </c>
      <c r="I987" t="str">
        <f>VLOOKUP(order_details[[#This Row],[OrderID]], orders[[OrderID]:[ShipCountry]], 14, FALSE)</f>
        <v>UK</v>
      </c>
      <c r="J987" s="1">
        <f>_xlfn.XLOOKUP(order_details[[#This Row],[OrderID]], orders[OrderID], orders[Month])</f>
        <v>9</v>
      </c>
    </row>
    <row r="988" spans="1:10" x14ac:dyDescent="0.35">
      <c r="A988">
        <v>10621</v>
      </c>
      <c r="B988">
        <v>71</v>
      </c>
      <c r="C988">
        <v>21.5</v>
      </c>
      <c r="D988">
        <v>15</v>
      </c>
      <c r="E988">
        <v>0</v>
      </c>
      <c r="F988">
        <v>322.5</v>
      </c>
      <c r="G988" t="str">
        <f>VLOOKUP(VLOOKUP(order_details[[#This Row],[ProductID]], products[], 4, FALSE), categories[], 2, FALSE)</f>
        <v>Dairy Products</v>
      </c>
      <c r="H988">
        <f>VLOOKUP(order_details[[#This Row],[ProductID]], products[], 4, FALSE)</f>
        <v>4</v>
      </c>
      <c r="I988" t="str">
        <f>VLOOKUP(order_details[[#This Row],[OrderID]], orders[[OrderID]:[ShipCountry]], 14, FALSE)</f>
        <v>UK</v>
      </c>
      <c r="J988" s="1">
        <f>_xlfn.XLOOKUP(order_details[[#This Row],[OrderID]], orders[OrderID], orders[Month])</f>
        <v>9</v>
      </c>
    </row>
    <row r="989" spans="1:10" x14ac:dyDescent="0.35">
      <c r="A989">
        <v>10622</v>
      </c>
      <c r="B989">
        <v>2</v>
      </c>
      <c r="C989">
        <v>19</v>
      </c>
      <c r="D989">
        <v>20</v>
      </c>
      <c r="E989">
        <v>0</v>
      </c>
      <c r="F989">
        <v>380</v>
      </c>
      <c r="G989" t="str">
        <f>VLOOKUP(VLOOKUP(order_details[[#This Row],[ProductID]], products[], 4, FALSE), categories[], 2, FALSE)</f>
        <v>Beverages</v>
      </c>
      <c r="H989">
        <f>VLOOKUP(order_details[[#This Row],[ProductID]], products[], 4, FALSE)</f>
        <v>1</v>
      </c>
      <c r="I989" t="str">
        <f>VLOOKUP(order_details[[#This Row],[OrderID]], orders[[OrderID]:[ShipCountry]], 14, FALSE)</f>
        <v>Brazil</v>
      </c>
      <c r="J989" s="1">
        <f>_xlfn.XLOOKUP(order_details[[#This Row],[OrderID]], orders[OrderID], orders[Month])</f>
        <v>9</v>
      </c>
    </row>
    <row r="990" spans="1:10" x14ac:dyDescent="0.35">
      <c r="A990">
        <v>10622</v>
      </c>
      <c r="B990">
        <v>68</v>
      </c>
      <c r="C990">
        <v>12.5</v>
      </c>
      <c r="D990">
        <v>18</v>
      </c>
      <c r="E990">
        <v>0.2</v>
      </c>
      <c r="F990">
        <v>180</v>
      </c>
      <c r="G990" t="str">
        <f>VLOOKUP(VLOOKUP(order_details[[#This Row],[ProductID]], products[], 4, FALSE), categories[], 2, FALSE)</f>
        <v>Confections</v>
      </c>
      <c r="H990">
        <f>VLOOKUP(order_details[[#This Row],[ProductID]], products[], 4, FALSE)</f>
        <v>3</v>
      </c>
      <c r="I990" t="str">
        <f>VLOOKUP(order_details[[#This Row],[OrderID]], orders[[OrderID]:[ShipCountry]], 14, FALSE)</f>
        <v>Brazil</v>
      </c>
      <c r="J990" s="1">
        <f>_xlfn.XLOOKUP(order_details[[#This Row],[OrderID]], orders[OrderID], orders[Month])</f>
        <v>9</v>
      </c>
    </row>
    <row r="991" spans="1:10" x14ac:dyDescent="0.35">
      <c r="A991">
        <v>10623</v>
      </c>
      <c r="B991">
        <v>14</v>
      </c>
      <c r="C991">
        <v>23.25</v>
      </c>
      <c r="D991">
        <v>21</v>
      </c>
      <c r="E991">
        <v>0</v>
      </c>
      <c r="F991">
        <v>488.25</v>
      </c>
      <c r="G991" t="str">
        <f>VLOOKUP(VLOOKUP(order_details[[#This Row],[ProductID]], products[], 4, FALSE), categories[], 2, FALSE)</f>
        <v>Produce</v>
      </c>
      <c r="H991">
        <f>VLOOKUP(order_details[[#This Row],[ProductID]], products[], 4, FALSE)</f>
        <v>7</v>
      </c>
      <c r="I991" t="str">
        <f>VLOOKUP(order_details[[#This Row],[OrderID]], orders[[OrderID]:[ShipCountry]], 14, FALSE)</f>
        <v>Germany</v>
      </c>
      <c r="J991" s="1">
        <f>_xlfn.XLOOKUP(order_details[[#This Row],[OrderID]], orders[OrderID], orders[Month])</f>
        <v>9</v>
      </c>
    </row>
    <row r="992" spans="1:10" x14ac:dyDescent="0.35">
      <c r="A992">
        <v>10623</v>
      </c>
      <c r="B992">
        <v>19</v>
      </c>
      <c r="C992">
        <v>9.1999999999999993</v>
      </c>
      <c r="D992">
        <v>15</v>
      </c>
      <c r="E992">
        <v>0.1</v>
      </c>
      <c r="F992">
        <v>124.2</v>
      </c>
      <c r="G992" t="str">
        <f>VLOOKUP(VLOOKUP(order_details[[#This Row],[ProductID]], products[], 4, FALSE), categories[], 2, FALSE)</f>
        <v>Confections</v>
      </c>
      <c r="H992">
        <f>VLOOKUP(order_details[[#This Row],[ProductID]], products[], 4, FALSE)</f>
        <v>3</v>
      </c>
      <c r="I992" t="str">
        <f>VLOOKUP(order_details[[#This Row],[OrderID]], orders[[OrderID]:[ShipCountry]], 14, FALSE)</f>
        <v>Germany</v>
      </c>
      <c r="J992" s="1">
        <f>_xlfn.XLOOKUP(order_details[[#This Row],[OrderID]], orders[OrderID], orders[Month])</f>
        <v>9</v>
      </c>
    </row>
    <row r="993" spans="1:10" x14ac:dyDescent="0.35">
      <c r="A993">
        <v>10623</v>
      </c>
      <c r="B993">
        <v>21</v>
      </c>
      <c r="C993">
        <v>10</v>
      </c>
      <c r="D993">
        <v>25</v>
      </c>
      <c r="E993">
        <v>0.1</v>
      </c>
      <c r="F993">
        <v>225</v>
      </c>
      <c r="G993" t="str">
        <f>VLOOKUP(VLOOKUP(order_details[[#This Row],[ProductID]], products[], 4, FALSE), categories[], 2, FALSE)</f>
        <v>Confections</v>
      </c>
      <c r="H993">
        <f>VLOOKUP(order_details[[#This Row],[ProductID]], products[], 4, FALSE)</f>
        <v>3</v>
      </c>
      <c r="I993" t="str">
        <f>VLOOKUP(order_details[[#This Row],[OrderID]], orders[[OrderID]:[ShipCountry]], 14, FALSE)</f>
        <v>Germany</v>
      </c>
      <c r="J993" s="1">
        <f>_xlfn.XLOOKUP(order_details[[#This Row],[OrderID]], orders[OrderID], orders[Month])</f>
        <v>9</v>
      </c>
    </row>
    <row r="994" spans="1:10" x14ac:dyDescent="0.35">
      <c r="A994">
        <v>10623</v>
      </c>
      <c r="B994">
        <v>24</v>
      </c>
      <c r="C994">
        <v>4.5</v>
      </c>
      <c r="D994">
        <v>3</v>
      </c>
      <c r="E994">
        <v>0</v>
      </c>
      <c r="F994">
        <v>13.5</v>
      </c>
      <c r="G994" t="str">
        <f>VLOOKUP(VLOOKUP(order_details[[#This Row],[ProductID]], products[], 4, FALSE), categories[], 2, FALSE)</f>
        <v>Beverages</v>
      </c>
      <c r="H994">
        <f>VLOOKUP(order_details[[#This Row],[ProductID]], products[], 4, FALSE)</f>
        <v>1</v>
      </c>
      <c r="I994" t="str">
        <f>VLOOKUP(order_details[[#This Row],[OrderID]], orders[[OrderID]:[ShipCountry]], 14, FALSE)</f>
        <v>Germany</v>
      </c>
      <c r="J994" s="1">
        <f>_xlfn.XLOOKUP(order_details[[#This Row],[OrderID]], orders[OrderID], orders[Month])</f>
        <v>9</v>
      </c>
    </row>
    <row r="995" spans="1:10" x14ac:dyDescent="0.35">
      <c r="A995">
        <v>10623</v>
      </c>
      <c r="B995">
        <v>35</v>
      </c>
      <c r="C995">
        <v>18</v>
      </c>
      <c r="D995">
        <v>30</v>
      </c>
      <c r="E995">
        <v>0.1</v>
      </c>
      <c r="F995">
        <v>486</v>
      </c>
      <c r="G995" t="str">
        <f>VLOOKUP(VLOOKUP(order_details[[#This Row],[ProductID]], products[], 4, FALSE), categories[], 2, FALSE)</f>
        <v>Beverages</v>
      </c>
      <c r="H995">
        <f>VLOOKUP(order_details[[#This Row],[ProductID]], products[], 4, FALSE)</f>
        <v>1</v>
      </c>
      <c r="I995" t="str">
        <f>VLOOKUP(order_details[[#This Row],[OrderID]], orders[[OrderID]:[ShipCountry]], 14, FALSE)</f>
        <v>Germany</v>
      </c>
      <c r="J995" s="1">
        <f>_xlfn.XLOOKUP(order_details[[#This Row],[OrderID]], orders[OrderID], orders[Month])</f>
        <v>9</v>
      </c>
    </row>
    <row r="996" spans="1:10" x14ac:dyDescent="0.35">
      <c r="A996">
        <v>10624</v>
      </c>
      <c r="B996">
        <v>28</v>
      </c>
      <c r="C996">
        <v>45.6</v>
      </c>
      <c r="D996">
        <v>10</v>
      </c>
      <c r="E996">
        <v>0</v>
      </c>
      <c r="F996">
        <v>456</v>
      </c>
      <c r="G996" t="str">
        <f>VLOOKUP(VLOOKUP(order_details[[#This Row],[ProductID]], products[], 4, FALSE), categories[], 2, FALSE)</f>
        <v>Produce</v>
      </c>
      <c r="H996">
        <f>VLOOKUP(order_details[[#This Row],[ProductID]], products[], 4, FALSE)</f>
        <v>7</v>
      </c>
      <c r="I996" t="str">
        <f>VLOOKUP(order_details[[#This Row],[OrderID]], orders[[OrderID]:[ShipCountry]], 14, FALSE)</f>
        <v>USA</v>
      </c>
      <c r="J996" s="1">
        <f>_xlfn.XLOOKUP(order_details[[#This Row],[OrderID]], orders[OrderID], orders[Month])</f>
        <v>9</v>
      </c>
    </row>
    <row r="997" spans="1:10" x14ac:dyDescent="0.35">
      <c r="A997">
        <v>10624</v>
      </c>
      <c r="B997">
        <v>29</v>
      </c>
      <c r="C997">
        <v>123.79</v>
      </c>
      <c r="D997">
        <v>6</v>
      </c>
      <c r="E997">
        <v>0</v>
      </c>
      <c r="F997">
        <v>742.74</v>
      </c>
      <c r="G997" t="str">
        <f>VLOOKUP(VLOOKUP(order_details[[#This Row],[ProductID]], products[], 4, FALSE), categories[], 2, FALSE)</f>
        <v>Meat/Poultry</v>
      </c>
      <c r="H997">
        <f>VLOOKUP(order_details[[#This Row],[ProductID]], products[], 4, FALSE)</f>
        <v>6</v>
      </c>
      <c r="I997" t="str">
        <f>VLOOKUP(order_details[[#This Row],[OrderID]], orders[[OrderID]:[ShipCountry]], 14, FALSE)</f>
        <v>USA</v>
      </c>
      <c r="J997" s="1">
        <f>_xlfn.XLOOKUP(order_details[[#This Row],[OrderID]], orders[OrderID], orders[Month])</f>
        <v>9</v>
      </c>
    </row>
    <row r="998" spans="1:10" x14ac:dyDescent="0.35">
      <c r="A998">
        <v>10624</v>
      </c>
      <c r="B998">
        <v>44</v>
      </c>
      <c r="C998">
        <v>19.45</v>
      </c>
      <c r="D998">
        <v>10</v>
      </c>
      <c r="E998">
        <v>0</v>
      </c>
      <c r="F998">
        <v>194.5</v>
      </c>
      <c r="G998" t="str">
        <f>VLOOKUP(VLOOKUP(order_details[[#This Row],[ProductID]], products[], 4, FALSE), categories[], 2, FALSE)</f>
        <v>Condiments</v>
      </c>
      <c r="H998">
        <f>VLOOKUP(order_details[[#This Row],[ProductID]], products[], 4, FALSE)</f>
        <v>2</v>
      </c>
      <c r="I998" t="str">
        <f>VLOOKUP(order_details[[#This Row],[OrderID]], orders[[OrderID]:[ShipCountry]], 14, FALSE)</f>
        <v>USA</v>
      </c>
      <c r="J998" s="1">
        <f>_xlfn.XLOOKUP(order_details[[#This Row],[OrderID]], orders[OrderID], orders[Month])</f>
        <v>9</v>
      </c>
    </row>
    <row r="999" spans="1:10" x14ac:dyDescent="0.35">
      <c r="A999">
        <v>10625</v>
      </c>
      <c r="B999">
        <v>14</v>
      </c>
      <c r="C999">
        <v>23.25</v>
      </c>
      <c r="D999">
        <v>3</v>
      </c>
      <c r="E999">
        <v>0</v>
      </c>
      <c r="F999">
        <v>69.75</v>
      </c>
      <c r="G999" t="str">
        <f>VLOOKUP(VLOOKUP(order_details[[#This Row],[ProductID]], products[], 4, FALSE), categories[], 2, FALSE)</f>
        <v>Produce</v>
      </c>
      <c r="H999">
        <f>VLOOKUP(order_details[[#This Row],[ProductID]], products[], 4, FALSE)</f>
        <v>7</v>
      </c>
      <c r="I999" t="str">
        <f>VLOOKUP(order_details[[#This Row],[OrderID]], orders[[OrderID]:[ShipCountry]], 14, FALSE)</f>
        <v>Mexico</v>
      </c>
      <c r="J999" s="1">
        <f>_xlfn.XLOOKUP(order_details[[#This Row],[OrderID]], orders[OrderID], orders[Month])</f>
        <v>9</v>
      </c>
    </row>
    <row r="1000" spans="1:10" x14ac:dyDescent="0.35">
      <c r="A1000">
        <v>10625</v>
      </c>
      <c r="B1000">
        <v>42</v>
      </c>
      <c r="C1000">
        <v>14</v>
      </c>
      <c r="D1000">
        <v>5</v>
      </c>
      <c r="E1000">
        <v>0</v>
      </c>
      <c r="F1000">
        <v>70</v>
      </c>
      <c r="G1000" t="str">
        <f>VLOOKUP(VLOOKUP(order_details[[#This Row],[ProductID]], products[], 4, FALSE), categories[], 2, FALSE)</f>
        <v>Grains/Cereals</v>
      </c>
      <c r="H1000">
        <f>VLOOKUP(order_details[[#This Row],[ProductID]], products[], 4, FALSE)</f>
        <v>5</v>
      </c>
      <c r="I1000" t="str">
        <f>VLOOKUP(order_details[[#This Row],[OrderID]], orders[[OrderID]:[ShipCountry]], 14, FALSE)</f>
        <v>Mexico</v>
      </c>
      <c r="J1000" s="1">
        <f>_xlfn.XLOOKUP(order_details[[#This Row],[OrderID]], orders[OrderID], orders[Month])</f>
        <v>9</v>
      </c>
    </row>
    <row r="1001" spans="1:10" x14ac:dyDescent="0.35">
      <c r="A1001">
        <v>10625</v>
      </c>
      <c r="B1001">
        <v>60</v>
      </c>
      <c r="C1001">
        <v>34</v>
      </c>
      <c r="D1001">
        <v>10</v>
      </c>
      <c r="E1001">
        <v>0</v>
      </c>
      <c r="F1001">
        <v>340</v>
      </c>
      <c r="G1001" t="str">
        <f>VLOOKUP(VLOOKUP(order_details[[#This Row],[ProductID]], products[], 4, FALSE), categories[], 2, FALSE)</f>
        <v>Dairy Products</v>
      </c>
      <c r="H1001">
        <f>VLOOKUP(order_details[[#This Row],[ProductID]], products[], 4, FALSE)</f>
        <v>4</v>
      </c>
      <c r="I1001" t="str">
        <f>VLOOKUP(order_details[[#This Row],[OrderID]], orders[[OrderID]:[ShipCountry]], 14, FALSE)</f>
        <v>Mexico</v>
      </c>
      <c r="J1001" s="1">
        <f>_xlfn.XLOOKUP(order_details[[#This Row],[OrderID]], orders[OrderID], orders[Month])</f>
        <v>9</v>
      </c>
    </row>
    <row r="1002" spans="1:10" x14ac:dyDescent="0.35">
      <c r="A1002">
        <v>10626</v>
      </c>
      <c r="B1002">
        <v>53</v>
      </c>
      <c r="C1002">
        <v>32.799999999999997</v>
      </c>
      <c r="D1002">
        <v>12</v>
      </c>
      <c r="E1002">
        <v>0</v>
      </c>
      <c r="F1002">
        <v>393.59999999999997</v>
      </c>
      <c r="G1002" t="str">
        <f>VLOOKUP(VLOOKUP(order_details[[#This Row],[ProductID]], products[], 4, FALSE), categories[], 2, FALSE)</f>
        <v>Meat/Poultry</v>
      </c>
      <c r="H1002">
        <f>VLOOKUP(order_details[[#This Row],[ProductID]], products[], 4, FALSE)</f>
        <v>6</v>
      </c>
      <c r="I1002" t="str">
        <f>VLOOKUP(order_details[[#This Row],[OrderID]], orders[[OrderID]:[ShipCountry]], 14, FALSE)</f>
        <v>Sweden</v>
      </c>
      <c r="J1002" s="1">
        <f>_xlfn.XLOOKUP(order_details[[#This Row],[OrderID]], orders[OrderID], orders[Month])</f>
        <v>9</v>
      </c>
    </row>
    <row r="1003" spans="1:10" x14ac:dyDescent="0.35">
      <c r="A1003">
        <v>10626</v>
      </c>
      <c r="B1003">
        <v>60</v>
      </c>
      <c r="C1003">
        <v>34</v>
      </c>
      <c r="D1003">
        <v>20</v>
      </c>
      <c r="E1003">
        <v>0</v>
      </c>
      <c r="F1003">
        <v>680</v>
      </c>
      <c r="G1003" t="str">
        <f>VLOOKUP(VLOOKUP(order_details[[#This Row],[ProductID]], products[], 4, FALSE), categories[], 2, FALSE)</f>
        <v>Dairy Products</v>
      </c>
      <c r="H1003">
        <f>VLOOKUP(order_details[[#This Row],[ProductID]], products[], 4, FALSE)</f>
        <v>4</v>
      </c>
      <c r="I1003" t="str">
        <f>VLOOKUP(order_details[[#This Row],[OrderID]], orders[[OrderID]:[ShipCountry]], 14, FALSE)</f>
        <v>Sweden</v>
      </c>
      <c r="J1003" s="1">
        <f>_xlfn.XLOOKUP(order_details[[#This Row],[OrderID]], orders[OrderID], orders[Month])</f>
        <v>9</v>
      </c>
    </row>
    <row r="1004" spans="1:10" x14ac:dyDescent="0.35">
      <c r="A1004">
        <v>10626</v>
      </c>
      <c r="B1004">
        <v>71</v>
      </c>
      <c r="C1004">
        <v>21.5</v>
      </c>
      <c r="D1004">
        <v>20</v>
      </c>
      <c r="E1004">
        <v>0</v>
      </c>
      <c r="F1004">
        <v>430</v>
      </c>
      <c r="G1004" t="str">
        <f>VLOOKUP(VLOOKUP(order_details[[#This Row],[ProductID]], products[], 4, FALSE), categories[], 2, FALSE)</f>
        <v>Dairy Products</v>
      </c>
      <c r="H1004">
        <f>VLOOKUP(order_details[[#This Row],[ProductID]], products[], 4, FALSE)</f>
        <v>4</v>
      </c>
      <c r="I1004" t="str">
        <f>VLOOKUP(order_details[[#This Row],[OrderID]], orders[[OrderID]:[ShipCountry]], 14, FALSE)</f>
        <v>Sweden</v>
      </c>
      <c r="J1004" s="1">
        <f>_xlfn.XLOOKUP(order_details[[#This Row],[OrderID]], orders[OrderID], orders[Month])</f>
        <v>9</v>
      </c>
    </row>
    <row r="1005" spans="1:10" x14ac:dyDescent="0.35">
      <c r="A1005">
        <v>10627</v>
      </c>
      <c r="B1005">
        <v>62</v>
      </c>
      <c r="C1005">
        <v>49.3</v>
      </c>
      <c r="D1005">
        <v>15</v>
      </c>
      <c r="E1005">
        <v>0</v>
      </c>
      <c r="F1005">
        <v>739.5</v>
      </c>
      <c r="G1005" t="str">
        <f>VLOOKUP(VLOOKUP(order_details[[#This Row],[ProductID]], products[], 4, FALSE), categories[], 2, FALSE)</f>
        <v>Confections</v>
      </c>
      <c r="H1005">
        <f>VLOOKUP(order_details[[#This Row],[ProductID]], products[], 4, FALSE)</f>
        <v>3</v>
      </c>
      <c r="I1005" t="str">
        <f>VLOOKUP(order_details[[#This Row],[OrderID]], orders[[OrderID]:[ShipCountry]], 14, FALSE)</f>
        <v>USA</v>
      </c>
      <c r="J1005" s="1">
        <f>_xlfn.XLOOKUP(order_details[[#This Row],[OrderID]], orders[OrderID], orders[Month])</f>
        <v>9</v>
      </c>
    </row>
    <row r="1006" spans="1:10" x14ac:dyDescent="0.35">
      <c r="A1006">
        <v>10627</v>
      </c>
      <c r="B1006">
        <v>73</v>
      </c>
      <c r="C1006">
        <v>15</v>
      </c>
      <c r="D1006">
        <v>35</v>
      </c>
      <c r="E1006">
        <v>0.15</v>
      </c>
      <c r="F1006">
        <v>446.25</v>
      </c>
      <c r="G1006" t="str">
        <f>VLOOKUP(VLOOKUP(order_details[[#This Row],[ProductID]], products[], 4, FALSE), categories[], 2, FALSE)</f>
        <v>Seafood</v>
      </c>
      <c r="H1006">
        <f>VLOOKUP(order_details[[#This Row],[ProductID]], products[], 4, FALSE)</f>
        <v>8</v>
      </c>
      <c r="I1006" t="str">
        <f>VLOOKUP(order_details[[#This Row],[OrderID]], orders[[OrderID]:[ShipCountry]], 14, FALSE)</f>
        <v>USA</v>
      </c>
      <c r="J1006" s="1">
        <f>_xlfn.XLOOKUP(order_details[[#This Row],[OrderID]], orders[OrderID], orders[Month])</f>
        <v>9</v>
      </c>
    </row>
    <row r="1007" spans="1:10" x14ac:dyDescent="0.35">
      <c r="A1007">
        <v>10628</v>
      </c>
      <c r="B1007">
        <v>1</v>
      </c>
      <c r="C1007">
        <v>18</v>
      </c>
      <c r="D1007">
        <v>25</v>
      </c>
      <c r="E1007">
        <v>0</v>
      </c>
      <c r="F1007">
        <v>450</v>
      </c>
      <c r="G1007" t="str">
        <f>VLOOKUP(VLOOKUP(order_details[[#This Row],[ProductID]], products[], 4, FALSE), categories[], 2, FALSE)</f>
        <v>Beverages</v>
      </c>
      <c r="H1007">
        <f>VLOOKUP(order_details[[#This Row],[ProductID]], products[], 4, FALSE)</f>
        <v>1</v>
      </c>
      <c r="I1007" t="str">
        <f>VLOOKUP(order_details[[#This Row],[OrderID]], orders[[OrderID]:[ShipCountry]], 14, FALSE)</f>
        <v>France</v>
      </c>
      <c r="J1007" s="1">
        <f>_xlfn.XLOOKUP(order_details[[#This Row],[OrderID]], orders[OrderID], orders[Month])</f>
        <v>9</v>
      </c>
    </row>
    <row r="1008" spans="1:10" x14ac:dyDescent="0.35">
      <c r="A1008">
        <v>10629</v>
      </c>
      <c r="B1008">
        <v>29</v>
      </c>
      <c r="C1008">
        <v>123.79</v>
      </c>
      <c r="D1008">
        <v>20</v>
      </c>
      <c r="E1008">
        <v>0</v>
      </c>
      <c r="F1008">
        <v>2475.8000000000002</v>
      </c>
      <c r="G1008" t="str">
        <f>VLOOKUP(VLOOKUP(order_details[[#This Row],[ProductID]], products[], 4, FALSE), categories[], 2, FALSE)</f>
        <v>Meat/Poultry</v>
      </c>
      <c r="H1008">
        <f>VLOOKUP(order_details[[#This Row],[ProductID]], products[], 4, FALSE)</f>
        <v>6</v>
      </c>
      <c r="I1008" t="str">
        <f>VLOOKUP(order_details[[#This Row],[OrderID]], orders[[OrderID]:[ShipCountry]], 14, FALSE)</f>
        <v>Spain</v>
      </c>
      <c r="J1008" s="1">
        <f>_xlfn.XLOOKUP(order_details[[#This Row],[OrderID]], orders[OrderID], orders[Month])</f>
        <v>9</v>
      </c>
    </row>
    <row r="1009" spans="1:10" x14ac:dyDescent="0.35">
      <c r="A1009">
        <v>10629</v>
      </c>
      <c r="B1009">
        <v>64</v>
      </c>
      <c r="C1009">
        <v>33.25</v>
      </c>
      <c r="D1009">
        <v>9</v>
      </c>
      <c r="E1009">
        <v>0</v>
      </c>
      <c r="F1009">
        <v>299.25</v>
      </c>
      <c r="G1009" t="str">
        <f>VLOOKUP(VLOOKUP(order_details[[#This Row],[ProductID]], products[], 4, FALSE), categories[], 2, FALSE)</f>
        <v>Grains/Cereals</v>
      </c>
      <c r="H1009">
        <f>VLOOKUP(order_details[[#This Row],[ProductID]], products[], 4, FALSE)</f>
        <v>5</v>
      </c>
      <c r="I1009" t="str">
        <f>VLOOKUP(order_details[[#This Row],[OrderID]], orders[[OrderID]:[ShipCountry]], 14, FALSE)</f>
        <v>Spain</v>
      </c>
      <c r="J1009" s="1">
        <f>_xlfn.XLOOKUP(order_details[[#This Row],[OrderID]], orders[OrderID], orders[Month])</f>
        <v>9</v>
      </c>
    </row>
    <row r="1010" spans="1:10" x14ac:dyDescent="0.35">
      <c r="A1010">
        <v>10630</v>
      </c>
      <c r="B1010">
        <v>55</v>
      </c>
      <c r="C1010">
        <v>24</v>
      </c>
      <c r="D1010">
        <v>12</v>
      </c>
      <c r="E1010">
        <v>0.05</v>
      </c>
      <c r="F1010">
        <v>273.59999999999997</v>
      </c>
      <c r="G1010" t="str">
        <f>VLOOKUP(VLOOKUP(order_details[[#This Row],[ProductID]], products[], 4, FALSE), categories[], 2, FALSE)</f>
        <v>Meat/Poultry</v>
      </c>
      <c r="H1010">
        <f>VLOOKUP(order_details[[#This Row],[ProductID]], products[], 4, FALSE)</f>
        <v>6</v>
      </c>
      <c r="I1010" t="str">
        <f>VLOOKUP(order_details[[#This Row],[OrderID]], orders[[OrderID]:[ShipCountry]], 14, FALSE)</f>
        <v>Germany</v>
      </c>
      <c r="J1010" s="1">
        <f>_xlfn.XLOOKUP(order_details[[#This Row],[OrderID]], orders[OrderID], orders[Month])</f>
        <v>9</v>
      </c>
    </row>
    <row r="1011" spans="1:10" x14ac:dyDescent="0.35">
      <c r="A1011">
        <v>10630</v>
      </c>
      <c r="B1011">
        <v>76</v>
      </c>
      <c r="C1011">
        <v>18</v>
      </c>
      <c r="D1011">
        <v>35</v>
      </c>
      <c r="E1011">
        <v>0</v>
      </c>
      <c r="F1011">
        <v>630</v>
      </c>
      <c r="G1011" t="str">
        <f>VLOOKUP(VLOOKUP(order_details[[#This Row],[ProductID]], products[], 4, FALSE), categories[], 2, FALSE)</f>
        <v>Beverages</v>
      </c>
      <c r="H1011">
        <f>VLOOKUP(order_details[[#This Row],[ProductID]], products[], 4, FALSE)</f>
        <v>1</v>
      </c>
      <c r="I1011" t="str">
        <f>VLOOKUP(order_details[[#This Row],[OrderID]], orders[[OrderID]:[ShipCountry]], 14, FALSE)</f>
        <v>Germany</v>
      </c>
      <c r="J1011" s="1">
        <f>_xlfn.XLOOKUP(order_details[[#This Row],[OrderID]], orders[OrderID], orders[Month])</f>
        <v>9</v>
      </c>
    </row>
    <row r="1012" spans="1:10" x14ac:dyDescent="0.35">
      <c r="A1012">
        <v>10631</v>
      </c>
      <c r="B1012">
        <v>75</v>
      </c>
      <c r="C1012">
        <v>7.75</v>
      </c>
      <c r="D1012">
        <v>8</v>
      </c>
      <c r="E1012">
        <v>0.1</v>
      </c>
      <c r="F1012">
        <v>55.800000000000004</v>
      </c>
      <c r="G1012" t="str">
        <f>VLOOKUP(VLOOKUP(order_details[[#This Row],[ProductID]], products[], 4, FALSE), categories[], 2, FALSE)</f>
        <v>Beverages</v>
      </c>
      <c r="H1012">
        <f>VLOOKUP(order_details[[#This Row],[ProductID]], products[], 4, FALSE)</f>
        <v>1</v>
      </c>
      <c r="I1012" t="str">
        <f>VLOOKUP(order_details[[#This Row],[OrderID]], orders[[OrderID]:[ShipCountry]], 14, FALSE)</f>
        <v>France</v>
      </c>
      <c r="J1012" s="1">
        <f>_xlfn.XLOOKUP(order_details[[#This Row],[OrderID]], orders[OrderID], orders[Month])</f>
        <v>9</v>
      </c>
    </row>
    <row r="1013" spans="1:10" x14ac:dyDescent="0.35">
      <c r="A1013">
        <v>10632</v>
      </c>
      <c r="B1013">
        <v>2</v>
      </c>
      <c r="C1013">
        <v>19</v>
      </c>
      <c r="D1013">
        <v>30</v>
      </c>
      <c r="E1013">
        <v>0.05</v>
      </c>
      <c r="F1013">
        <v>541.5</v>
      </c>
      <c r="G1013" t="str">
        <f>VLOOKUP(VLOOKUP(order_details[[#This Row],[ProductID]], products[], 4, FALSE), categories[], 2, FALSE)</f>
        <v>Beverages</v>
      </c>
      <c r="H1013">
        <f>VLOOKUP(order_details[[#This Row],[ProductID]], products[], 4, FALSE)</f>
        <v>1</v>
      </c>
      <c r="I1013" t="str">
        <f>VLOOKUP(order_details[[#This Row],[OrderID]], orders[[OrderID]:[ShipCountry]], 14, FALSE)</f>
        <v>Germany</v>
      </c>
      <c r="J1013" s="1">
        <f>_xlfn.XLOOKUP(order_details[[#This Row],[OrderID]], orders[OrderID], orders[Month])</f>
        <v>9</v>
      </c>
    </row>
    <row r="1014" spans="1:10" x14ac:dyDescent="0.35">
      <c r="A1014">
        <v>10632</v>
      </c>
      <c r="B1014">
        <v>33</v>
      </c>
      <c r="C1014">
        <v>2.5</v>
      </c>
      <c r="D1014">
        <v>20</v>
      </c>
      <c r="E1014">
        <v>0.05</v>
      </c>
      <c r="F1014">
        <v>47.5</v>
      </c>
      <c r="G1014" t="str">
        <f>VLOOKUP(VLOOKUP(order_details[[#This Row],[ProductID]], products[], 4, FALSE), categories[], 2, FALSE)</f>
        <v>Dairy Products</v>
      </c>
      <c r="H1014">
        <f>VLOOKUP(order_details[[#This Row],[ProductID]], products[], 4, FALSE)</f>
        <v>4</v>
      </c>
      <c r="I1014" t="str">
        <f>VLOOKUP(order_details[[#This Row],[OrderID]], orders[[OrderID]:[ShipCountry]], 14, FALSE)</f>
        <v>Germany</v>
      </c>
      <c r="J1014" s="1">
        <f>_xlfn.XLOOKUP(order_details[[#This Row],[OrderID]], orders[OrderID], orders[Month])</f>
        <v>9</v>
      </c>
    </row>
    <row r="1015" spans="1:10" x14ac:dyDescent="0.35">
      <c r="A1015">
        <v>10633</v>
      </c>
      <c r="B1015">
        <v>12</v>
      </c>
      <c r="C1015">
        <v>38</v>
      </c>
      <c r="D1015">
        <v>36</v>
      </c>
      <c r="E1015">
        <v>0.15</v>
      </c>
      <c r="F1015">
        <v>1162.8</v>
      </c>
      <c r="G1015" t="str">
        <f>VLOOKUP(VLOOKUP(order_details[[#This Row],[ProductID]], products[], 4, FALSE), categories[], 2, FALSE)</f>
        <v>Dairy Products</v>
      </c>
      <c r="H1015">
        <f>VLOOKUP(order_details[[#This Row],[ProductID]], products[], 4, FALSE)</f>
        <v>4</v>
      </c>
      <c r="I1015" t="str">
        <f>VLOOKUP(order_details[[#This Row],[OrderID]], orders[[OrderID]:[ShipCountry]], 14, FALSE)</f>
        <v>Austria</v>
      </c>
      <c r="J1015" s="1">
        <f>_xlfn.XLOOKUP(order_details[[#This Row],[OrderID]], orders[OrderID], orders[Month])</f>
        <v>9</v>
      </c>
    </row>
    <row r="1016" spans="1:10" x14ac:dyDescent="0.35">
      <c r="A1016">
        <v>10633</v>
      </c>
      <c r="B1016">
        <v>13</v>
      </c>
      <c r="C1016">
        <v>6</v>
      </c>
      <c r="D1016">
        <v>13</v>
      </c>
      <c r="E1016">
        <v>0.15</v>
      </c>
      <c r="F1016">
        <v>66.3</v>
      </c>
      <c r="G1016" t="str">
        <f>VLOOKUP(VLOOKUP(order_details[[#This Row],[ProductID]], products[], 4, FALSE), categories[], 2, FALSE)</f>
        <v>Seafood</v>
      </c>
      <c r="H1016">
        <f>VLOOKUP(order_details[[#This Row],[ProductID]], products[], 4, FALSE)</f>
        <v>8</v>
      </c>
      <c r="I1016" t="str">
        <f>VLOOKUP(order_details[[#This Row],[OrderID]], orders[[OrderID]:[ShipCountry]], 14, FALSE)</f>
        <v>Austria</v>
      </c>
      <c r="J1016" s="1">
        <f>_xlfn.XLOOKUP(order_details[[#This Row],[OrderID]], orders[OrderID], orders[Month])</f>
        <v>9</v>
      </c>
    </row>
    <row r="1017" spans="1:10" x14ac:dyDescent="0.35">
      <c r="A1017">
        <v>10633</v>
      </c>
      <c r="B1017">
        <v>26</v>
      </c>
      <c r="C1017">
        <v>31.23</v>
      </c>
      <c r="D1017">
        <v>35</v>
      </c>
      <c r="E1017">
        <v>0.15</v>
      </c>
      <c r="F1017">
        <v>929.09249999999997</v>
      </c>
      <c r="G1017" t="str">
        <f>VLOOKUP(VLOOKUP(order_details[[#This Row],[ProductID]], products[], 4, FALSE), categories[], 2, FALSE)</f>
        <v>Confections</v>
      </c>
      <c r="H1017">
        <f>VLOOKUP(order_details[[#This Row],[ProductID]], products[], 4, FALSE)</f>
        <v>3</v>
      </c>
      <c r="I1017" t="str">
        <f>VLOOKUP(order_details[[#This Row],[OrderID]], orders[[OrderID]:[ShipCountry]], 14, FALSE)</f>
        <v>Austria</v>
      </c>
      <c r="J1017" s="1">
        <f>_xlfn.XLOOKUP(order_details[[#This Row],[OrderID]], orders[OrderID], orders[Month])</f>
        <v>9</v>
      </c>
    </row>
    <row r="1018" spans="1:10" x14ac:dyDescent="0.35">
      <c r="A1018">
        <v>10633</v>
      </c>
      <c r="B1018">
        <v>62</v>
      </c>
      <c r="C1018">
        <v>49.3</v>
      </c>
      <c r="D1018">
        <v>80</v>
      </c>
      <c r="E1018">
        <v>0.15</v>
      </c>
      <c r="F1018">
        <v>3352.4</v>
      </c>
      <c r="G1018" t="str">
        <f>VLOOKUP(VLOOKUP(order_details[[#This Row],[ProductID]], products[], 4, FALSE), categories[], 2, FALSE)</f>
        <v>Confections</v>
      </c>
      <c r="H1018">
        <f>VLOOKUP(order_details[[#This Row],[ProductID]], products[], 4, FALSE)</f>
        <v>3</v>
      </c>
      <c r="I1018" t="str">
        <f>VLOOKUP(order_details[[#This Row],[OrderID]], orders[[OrderID]:[ShipCountry]], 14, FALSE)</f>
        <v>Austria</v>
      </c>
      <c r="J1018" s="1">
        <f>_xlfn.XLOOKUP(order_details[[#This Row],[OrderID]], orders[OrderID], orders[Month])</f>
        <v>9</v>
      </c>
    </row>
    <row r="1019" spans="1:10" x14ac:dyDescent="0.35">
      <c r="A1019">
        <v>10634</v>
      </c>
      <c r="B1019">
        <v>7</v>
      </c>
      <c r="C1019">
        <v>30</v>
      </c>
      <c r="D1019">
        <v>35</v>
      </c>
      <c r="E1019">
        <v>0</v>
      </c>
      <c r="F1019">
        <v>1050</v>
      </c>
      <c r="G1019" t="str">
        <f>VLOOKUP(VLOOKUP(order_details[[#This Row],[ProductID]], products[], 4, FALSE), categories[], 2, FALSE)</f>
        <v>Produce</v>
      </c>
      <c r="H1019">
        <f>VLOOKUP(order_details[[#This Row],[ProductID]], products[], 4, FALSE)</f>
        <v>7</v>
      </c>
      <c r="I1019" t="str">
        <f>VLOOKUP(order_details[[#This Row],[OrderID]], orders[[OrderID]:[ShipCountry]], 14, FALSE)</f>
        <v>France</v>
      </c>
      <c r="J1019" s="1">
        <f>_xlfn.XLOOKUP(order_details[[#This Row],[OrderID]], orders[OrderID], orders[Month])</f>
        <v>9</v>
      </c>
    </row>
    <row r="1020" spans="1:10" x14ac:dyDescent="0.35">
      <c r="A1020">
        <v>10634</v>
      </c>
      <c r="B1020">
        <v>18</v>
      </c>
      <c r="C1020">
        <v>62.5</v>
      </c>
      <c r="D1020">
        <v>50</v>
      </c>
      <c r="E1020">
        <v>0</v>
      </c>
      <c r="F1020">
        <v>3125</v>
      </c>
      <c r="G1020" t="str">
        <f>VLOOKUP(VLOOKUP(order_details[[#This Row],[ProductID]], products[], 4, FALSE), categories[], 2, FALSE)</f>
        <v>Seafood</v>
      </c>
      <c r="H1020">
        <f>VLOOKUP(order_details[[#This Row],[ProductID]], products[], 4, FALSE)</f>
        <v>8</v>
      </c>
      <c r="I1020" t="str">
        <f>VLOOKUP(order_details[[#This Row],[OrderID]], orders[[OrderID]:[ShipCountry]], 14, FALSE)</f>
        <v>France</v>
      </c>
      <c r="J1020" s="1">
        <f>_xlfn.XLOOKUP(order_details[[#This Row],[OrderID]], orders[OrderID], orders[Month])</f>
        <v>9</v>
      </c>
    </row>
    <row r="1021" spans="1:10" x14ac:dyDescent="0.35">
      <c r="A1021">
        <v>10634</v>
      </c>
      <c r="B1021">
        <v>51</v>
      </c>
      <c r="C1021">
        <v>53</v>
      </c>
      <c r="D1021">
        <v>15</v>
      </c>
      <c r="E1021">
        <v>0</v>
      </c>
      <c r="F1021">
        <v>795</v>
      </c>
      <c r="G1021" t="str">
        <f>VLOOKUP(VLOOKUP(order_details[[#This Row],[ProductID]], products[], 4, FALSE), categories[], 2, FALSE)</f>
        <v>Produce</v>
      </c>
      <c r="H1021">
        <f>VLOOKUP(order_details[[#This Row],[ProductID]], products[], 4, FALSE)</f>
        <v>7</v>
      </c>
      <c r="I1021" t="str">
        <f>VLOOKUP(order_details[[#This Row],[OrderID]], orders[[OrderID]:[ShipCountry]], 14, FALSE)</f>
        <v>France</v>
      </c>
      <c r="J1021" s="1">
        <f>_xlfn.XLOOKUP(order_details[[#This Row],[OrderID]], orders[OrderID], orders[Month])</f>
        <v>9</v>
      </c>
    </row>
    <row r="1022" spans="1:10" x14ac:dyDescent="0.35">
      <c r="A1022">
        <v>10634</v>
      </c>
      <c r="B1022">
        <v>75</v>
      </c>
      <c r="C1022">
        <v>7.75</v>
      </c>
      <c r="D1022">
        <v>2</v>
      </c>
      <c r="E1022">
        <v>0</v>
      </c>
      <c r="F1022">
        <v>15.5</v>
      </c>
      <c r="G1022" t="str">
        <f>VLOOKUP(VLOOKUP(order_details[[#This Row],[ProductID]], products[], 4, FALSE), categories[], 2, FALSE)</f>
        <v>Beverages</v>
      </c>
      <c r="H1022">
        <f>VLOOKUP(order_details[[#This Row],[ProductID]], products[], 4, FALSE)</f>
        <v>1</v>
      </c>
      <c r="I1022" t="str">
        <f>VLOOKUP(order_details[[#This Row],[OrderID]], orders[[OrderID]:[ShipCountry]], 14, FALSE)</f>
        <v>France</v>
      </c>
      <c r="J1022" s="1">
        <f>_xlfn.XLOOKUP(order_details[[#This Row],[OrderID]], orders[OrderID], orders[Month])</f>
        <v>9</v>
      </c>
    </row>
    <row r="1023" spans="1:10" x14ac:dyDescent="0.35">
      <c r="A1023">
        <v>10635</v>
      </c>
      <c r="B1023">
        <v>4</v>
      </c>
      <c r="C1023">
        <v>22</v>
      </c>
      <c r="D1023">
        <v>10</v>
      </c>
      <c r="E1023">
        <v>0.1</v>
      </c>
      <c r="F1023">
        <v>198</v>
      </c>
      <c r="G1023" t="str">
        <f>VLOOKUP(VLOOKUP(order_details[[#This Row],[ProductID]], products[], 4, FALSE), categories[], 2, FALSE)</f>
        <v>Condiments</v>
      </c>
      <c r="H1023">
        <f>VLOOKUP(order_details[[#This Row],[ProductID]], products[], 4, FALSE)</f>
        <v>2</v>
      </c>
      <c r="I1023" t="str">
        <f>VLOOKUP(order_details[[#This Row],[OrderID]], orders[[OrderID]:[ShipCountry]], 14, FALSE)</f>
        <v>Italy</v>
      </c>
      <c r="J1023" s="1">
        <f>_xlfn.XLOOKUP(order_details[[#This Row],[OrderID]], orders[OrderID], orders[Month])</f>
        <v>9</v>
      </c>
    </row>
    <row r="1024" spans="1:10" x14ac:dyDescent="0.35">
      <c r="A1024">
        <v>10635</v>
      </c>
      <c r="B1024">
        <v>5</v>
      </c>
      <c r="C1024">
        <v>21.35</v>
      </c>
      <c r="D1024">
        <v>15</v>
      </c>
      <c r="E1024">
        <v>0.1</v>
      </c>
      <c r="F1024">
        <v>288.22500000000002</v>
      </c>
      <c r="G1024" t="str">
        <f>VLOOKUP(VLOOKUP(order_details[[#This Row],[ProductID]], products[], 4, FALSE), categories[], 2, FALSE)</f>
        <v>Condiments</v>
      </c>
      <c r="H1024">
        <f>VLOOKUP(order_details[[#This Row],[ProductID]], products[], 4, FALSE)</f>
        <v>2</v>
      </c>
      <c r="I1024" t="str">
        <f>VLOOKUP(order_details[[#This Row],[OrderID]], orders[[OrderID]:[ShipCountry]], 14, FALSE)</f>
        <v>Italy</v>
      </c>
      <c r="J1024" s="1">
        <f>_xlfn.XLOOKUP(order_details[[#This Row],[OrderID]], orders[OrderID], orders[Month])</f>
        <v>9</v>
      </c>
    </row>
    <row r="1025" spans="1:10" x14ac:dyDescent="0.35">
      <c r="A1025">
        <v>10635</v>
      </c>
      <c r="B1025">
        <v>22</v>
      </c>
      <c r="C1025">
        <v>21</v>
      </c>
      <c r="D1025">
        <v>40</v>
      </c>
      <c r="E1025">
        <v>0</v>
      </c>
      <c r="F1025">
        <v>840</v>
      </c>
      <c r="G1025" t="str">
        <f>VLOOKUP(VLOOKUP(order_details[[#This Row],[ProductID]], products[], 4, FALSE), categories[], 2, FALSE)</f>
        <v>Grains/Cereals</v>
      </c>
      <c r="H1025">
        <f>VLOOKUP(order_details[[#This Row],[ProductID]], products[], 4, FALSE)</f>
        <v>5</v>
      </c>
      <c r="I1025" t="str">
        <f>VLOOKUP(order_details[[#This Row],[OrderID]], orders[[OrderID]:[ShipCountry]], 14, FALSE)</f>
        <v>Italy</v>
      </c>
      <c r="J1025" s="1">
        <f>_xlfn.XLOOKUP(order_details[[#This Row],[OrderID]], orders[OrderID], orders[Month])</f>
        <v>9</v>
      </c>
    </row>
    <row r="1026" spans="1:10" x14ac:dyDescent="0.35">
      <c r="A1026">
        <v>10636</v>
      </c>
      <c r="B1026">
        <v>4</v>
      </c>
      <c r="C1026">
        <v>22</v>
      </c>
      <c r="D1026">
        <v>25</v>
      </c>
      <c r="E1026">
        <v>0</v>
      </c>
      <c r="F1026">
        <v>550</v>
      </c>
      <c r="G1026" t="str">
        <f>VLOOKUP(VLOOKUP(order_details[[#This Row],[ProductID]], products[], 4, FALSE), categories[], 2, FALSE)</f>
        <v>Condiments</v>
      </c>
      <c r="H1026">
        <f>VLOOKUP(order_details[[#This Row],[ProductID]], products[], 4, FALSE)</f>
        <v>2</v>
      </c>
      <c r="I1026" t="str">
        <f>VLOOKUP(order_details[[#This Row],[OrderID]], orders[[OrderID]:[ShipCountry]], 14, FALSE)</f>
        <v>Finland</v>
      </c>
      <c r="J1026" s="1">
        <f>_xlfn.XLOOKUP(order_details[[#This Row],[OrderID]], orders[OrderID], orders[Month])</f>
        <v>9</v>
      </c>
    </row>
    <row r="1027" spans="1:10" x14ac:dyDescent="0.35">
      <c r="A1027">
        <v>10636</v>
      </c>
      <c r="B1027">
        <v>58</v>
      </c>
      <c r="C1027">
        <v>13.25</v>
      </c>
      <c r="D1027">
        <v>6</v>
      </c>
      <c r="E1027">
        <v>0</v>
      </c>
      <c r="F1027">
        <v>79.5</v>
      </c>
      <c r="G1027" t="str">
        <f>VLOOKUP(VLOOKUP(order_details[[#This Row],[ProductID]], products[], 4, FALSE), categories[], 2, FALSE)</f>
        <v>Seafood</v>
      </c>
      <c r="H1027">
        <f>VLOOKUP(order_details[[#This Row],[ProductID]], products[], 4, FALSE)</f>
        <v>8</v>
      </c>
      <c r="I1027" t="str">
        <f>VLOOKUP(order_details[[#This Row],[OrderID]], orders[[OrderID]:[ShipCountry]], 14, FALSE)</f>
        <v>Finland</v>
      </c>
      <c r="J1027" s="1">
        <f>_xlfn.XLOOKUP(order_details[[#This Row],[OrderID]], orders[OrderID], orders[Month])</f>
        <v>9</v>
      </c>
    </row>
    <row r="1028" spans="1:10" x14ac:dyDescent="0.35">
      <c r="A1028">
        <v>10637</v>
      </c>
      <c r="B1028">
        <v>11</v>
      </c>
      <c r="C1028">
        <v>21</v>
      </c>
      <c r="D1028">
        <v>10</v>
      </c>
      <c r="E1028">
        <v>0</v>
      </c>
      <c r="F1028">
        <v>210</v>
      </c>
      <c r="G1028" t="str">
        <f>VLOOKUP(VLOOKUP(order_details[[#This Row],[ProductID]], products[], 4, FALSE), categories[], 2, FALSE)</f>
        <v>Dairy Products</v>
      </c>
      <c r="H1028">
        <f>VLOOKUP(order_details[[#This Row],[ProductID]], products[], 4, FALSE)</f>
        <v>4</v>
      </c>
      <c r="I1028" t="str">
        <f>VLOOKUP(order_details[[#This Row],[OrderID]], orders[[OrderID]:[ShipCountry]], 14, FALSE)</f>
        <v>Brazil</v>
      </c>
      <c r="J1028" s="1">
        <f>_xlfn.XLOOKUP(order_details[[#This Row],[OrderID]], orders[OrderID], orders[Month])</f>
        <v>9</v>
      </c>
    </row>
    <row r="1029" spans="1:10" x14ac:dyDescent="0.35">
      <c r="A1029">
        <v>10637</v>
      </c>
      <c r="B1029">
        <v>50</v>
      </c>
      <c r="C1029">
        <v>16.25</v>
      </c>
      <c r="D1029">
        <v>25</v>
      </c>
      <c r="E1029">
        <v>0.05</v>
      </c>
      <c r="F1029">
        <v>385.9375</v>
      </c>
      <c r="G1029" t="str">
        <f>VLOOKUP(VLOOKUP(order_details[[#This Row],[ProductID]], products[], 4, FALSE), categories[], 2, FALSE)</f>
        <v>Confections</v>
      </c>
      <c r="H1029">
        <f>VLOOKUP(order_details[[#This Row],[ProductID]], products[], 4, FALSE)</f>
        <v>3</v>
      </c>
      <c r="I1029" t="str">
        <f>VLOOKUP(order_details[[#This Row],[OrderID]], orders[[OrderID]:[ShipCountry]], 14, FALSE)</f>
        <v>Brazil</v>
      </c>
      <c r="J1029" s="1">
        <f>_xlfn.XLOOKUP(order_details[[#This Row],[OrderID]], orders[OrderID], orders[Month])</f>
        <v>9</v>
      </c>
    </row>
    <row r="1030" spans="1:10" x14ac:dyDescent="0.35">
      <c r="A1030">
        <v>10637</v>
      </c>
      <c r="B1030">
        <v>56</v>
      </c>
      <c r="C1030">
        <v>38</v>
      </c>
      <c r="D1030">
        <v>60</v>
      </c>
      <c r="E1030">
        <v>0.05</v>
      </c>
      <c r="F1030">
        <v>2166</v>
      </c>
      <c r="G1030" t="str">
        <f>VLOOKUP(VLOOKUP(order_details[[#This Row],[ProductID]], products[], 4, FALSE), categories[], 2, FALSE)</f>
        <v>Grains/Cereals</v>
      </c>
      <c r="H1030">
        <f>VLOOKUP(order_details[[#This Row],[ProductID]], products[], 4, FALSE)</f>
        <v>5</v>
      </c>
      <c r="I1030" t="str">
        <f>VLOOKUP(order_details[[#This Row],[OrderID]], orders[[OrderID]:[ShipCountry]], 14, FALSE)</f>
        <v>Brazil</v>
      </c>
      <c r="J1030" s="1">
        <f>_xlfn.XLOOKUP(order_details[[#This Row],[OrderID]], orders[OrderID], orders[Month])</f>
        <v>9</v>
      </c>
    </row>
    <row r="1031" spans="1:10" x14ac:dyDescent="0.35">
      <c r="A1031">
        <v>10638</v>
      </c>
      <c r="B1031">
        <v>45</v>
      </c>
      <c r="C1031">
        <v>9.5</v>
      </c>
      <c r="D1031">
        <v>20</v>
      </c>
      <c r="E1031">
        <v>0</v>
      </c>
      <c r="F1031">
        <v>190</v>
      </c>
      <c r="G1031" t="str">
        <f>VLOOKUP(VLOOKUP(order_details[[#This Row],[ProductID]], products[], 4, FALSE), categories[], 2, FALSE)</f>
        <v>Seafood</v>
      </c>
      <c r="H1031">
        <f>VLOOKUP(order_details[[#This Row],[ProductID]], products[], 4, FALSE)</f>
        <v>8</v>
      </c>
      <c r="I1031" t="str">
        <f>VLOOKUP(order_details[[#This Row],[OrderID]], orders[[OrderID]:[ShipCountry]], 14, FALSE)</f>
        <v>Venezuela</v>
      </c>
      <c r="J1031" s="1">
        <f>_xlfn.XLOOKUP(order_details[[#This Row],[OrderID]], orders[OrderID], orders[Month])</f>
        <v>9</v>
      </c>
    </row>
    <row r="1032" spans="1:10" x14ac:dyDescent="0.35">
      <c r="A1032">
        <v>10638</v>
      </c>
      <c r="B1032">
        <v>65</v>
      </c>
      <c r="C1032">
        <v>21.05</v>
      </c>
      <c r="D1032">
        <v>21</v>
      </c>
      <c r="E1032">
        <v>0</v>
      </c>
      <c r="F1032">
        <v>442.05</v>
      </c>
      <c r="G1032" t="str">
        <f>VLOOKUP(VLOOKUP(order_details[[#This Row],[ProductID]], products[], 4, FALSE), categories[], 2, FALSE)</f>
        <v>Condiments</v>
      </c>
      <c r="H1032">
        <f>VLOOKUP(order_details[[#This Row],[ProductID]], products[], 4, FALSE)</f>
        <v>2</v>
      </c>
      <c r="I1032" t="str">
        <f>VLOOKUP(order_details[[#This Row],[OrderID]], orders[[OrderID]:[ShipCountry]], 14, FALSE)</f>
        <v>Venezuela</v>
      </c>
      <c r="J1032" s="1">
        <f>_xlfn.XLOOKUP(order_details[[#This Row],[OrderID]], orders[OrderID], orders[Month])</f>
        <v>9</v>
      </c>
    </row>
    <row r="1033" spans="1:10" x14ac:dyDescent="0.35">
      <c r="A1033">
        <v>10638</v>
      </c>
      <c r="B1033">
        <v>72</v>
      </c>
      <c r="C1033">
        <v>34.799999999999997</v>
      </c>
      <c r="D1033">
        <v>60</v>
      </c>
      <c r="E1033">
        <v>0</v>
      </c>
      <c r="F1033">
        <v>2088</v>
      </c>
      <c r="G1033" t="str">
        <f>VLOOKUP(VLOOKUP(order_details[[#This Row],[ProductID]], products[], 4, FALSE), categories[], 2, FALSE)</f>
        <v>Dairy Products</v>
      </c>
      <c r="H1033">
        <f>VLOOKUP(order_details[[#This Row],[ProductID]], products[], 4, FALSE)</f>
        <v>4</v>
      </c>
      <c r="I1033" t="str">
        <f>VLOOKUP(order_details[[#This Row],[OrderID]], orders[[OrderID]:[ShipCountry]], 14, FALSE)</f>
        <v>Venezuela</v>
      </c>
      <c r="J1033" s="1">
        <f>_xlfn.XLOOKUP(order_details[[#This Row],[OrderID]], orders[OrderID], orders[Month])</f>
        <v>9</v>
      </c>
    </row>
    <row r="1034" spans="1:10" x14ac:dyDescent="0.35">
      <c r="A1034">
        <v>10639</v>
      </c>
      <c r="B1034">
        <v>18</v>
      </c>
      <c r="C1034">
        <v>62.5</v>
      </c>
      <c r="D1034">
        <v>8</v>
      </c>
      <c r="E1034">
        <v>0</v>
      </c>
      <c r="F1034">
        <v>500</v>
      </c>
      <c r="G1034" t="str">
        <f>VLOOKUP(VLOOKUP(order_details[[#This Row],[ProductID]], products[], 4, FALSE), categories[], 2, FALSE)</f>
        <v>Seafood</v>
      </c>
      <c r="H1034">
        <f>VLOOKUP(order_details[[#This Row],[ProductID]], products[], 4, FALSE)</f>
        <v>8</v>
      </c>
      <c r="I1034" t="str">
        <f>VLOOKUP(order_details[[#This Row],[OrderID]], orders[[OrderID]:[ShipCountry]], 14, FALSE)</f>
        <v>Norway</v>
      </c>
      <c r="J1034" s="1">
        <f>_xlfn.XLOOKUP(order_details[[#This Row],[OrderID]], orders[OrderID], orders[Month])</f>
        <v>9</v>
      </c>
    </row>
    <row r="1035" spans="1:10" x14ac:dyDescent="0.35">
      <c r="A1035">
        <v>10640</v>
      </c>
      <c r="B1035">
        <v>69</v>
      </c>
      <c r="C1035">
        <v>36</v>
      </c>
      <c r="D1035">
        <v>20</v>
      </c>
      <c r="E1035">
        <v>0.25</v>
      </c>
      <c r="F1035">
        <v>540</v>
      </c>
      <c r="G1035" t="str">
        <f>VLOOKUP(VLOOKUP(order_details[[#This Row],[ProductID]], products[], 4, FALSE), categories[], 2, FALSE)</f>
        <v>Dairy Products</v>
      </c>
      <c r="H1035">
        <f>VLOOKUP(order_details[[#This Row],[ProductID]], products[], 4, FALSE)</f>
        <v>4</v>
      </c>
      <c r="I1035" t="str">
        <f>VLOOKUP(order_details[[#This Row],[OrderID]], orders[[OrderID]:[ShipCountry]], 14, FALSE)</f>
        <v>Germany</v>
      </c>
      <c r="J1035" s="1">
        <f>_xlfn.XLOOKUP(order_details[[#This Row],[OrderID]], orders[OrderID], orders[Month])</f>
        <v>9</v>
      </c>
    </row>
    <row r="1036" spans="1:10" x14ac:dyDescent="0.35">
      <c r="A1036">
        <v>10640</v>
      </c>
      <c r="B1036">
        <v>70</v>
      </c>
      <c r="C1036">
        <v>15</v>
      </c>
      <c r="D1036">
        <v>15</v>
      </c>
      <c r="E1036">
        <v>0.25</v>
      </c>
      <c r="F1036">
        <v>168.75</v>
      </c>
      <c r="G1036" t="str">
        <f>VLOOKUP(VLOOKUP(order_details[[#This Row],[ProductID]], products[], 4, FALSE), categories[], 2, FALSE)</f>
        <v>Beverages</v>
      </c>
      <c r="H1036">
        <f>VLOOKUP(order_details[[#This Row],[ProductID]], products[], 4, FALSE)</f>
        <v>1</v>
      </c>
      <c r="I1036" t="str">
        <f>VLOOKUP(order_details[[#This Row],[OrderID]], orders[[OrderID]:[ShipCountry]], 14, FALSE)</f>
        <v>Germany</v>
      </c>
      <c r="J1036" s="1">
        <f>_xlfn.XLOOKUP(order_details[[#This Row],[OrderID]], orders[OrderID], orders[Month])</f>
        <v>9</v>
      </c>
    </row>
    <row r="1037" spans="1:10" x14ac:dyDescent="0.35">
      <c r="A1037">
        <v>10641</v>
      </c>
      <c r="B1037">
        <v>2</v>
      </c>
      <c r="C1037">
        <v>19</v>
      </c>
      <c r="D1037">
        <v>50</v>
      </c>
      <c r="E1037">
        <v>0</v>
      </c>
      <c r="F1037">
        <v>950</v>
      </c>
      <c r="G1037" t="str">
        <f>VLOOKUP(VLOOKUP(order_details[[#This Row],[ProductID]], products[], 4, FALSE), categories[], 2, FALSE)</f>
        <v>Beverages</v>
      </c>
      <c r="H1037">
        <f>VLOOKUP(order_details[[#This Row],[ProductID]], products[], 4, FALSE)</f>
        <v>1</v>
      </c>
      <c r="I1037" t="str">
        <f>VLOOKUP(order_details[[#This Row],[OrderID]], orders[[OrderID]:[ShipCountry]], 14, FALSE)</f>
        <v>Venezuela</v>
      </c>
      <c r="J1037" s="1">
        <f>_xlfn.XLOOKUP(order_details[[#This Row],[OrderID]], orders[OrderID], orders[Month])</f>
        <v>9</v>
      </c>
    </row>
    <row r="1038" spans="1:10" x14ac:dyDescent="0.35">
      <c r="A1038">
        <v>10641</v>
      </c>
      <c r="B1038">
        <v>40</v>
      </c>
      <c r="C1038">
        <v>18.399999999999999</v>
      </c>
      <c r="D1038">
        <v>60</v>
      </c>
      <c r="E1038">
        <v>0</v>
      </c>
      <c r="F1038">
        <v>1104</v>
      </c>
      <c r="G1038" t="str">
        <f>VLOOKUP(VLOOKUP(order_details[[#This Row],[ProductID]], products[], 4, FALSE), categories[], 2, FALSE)</f>
        <v>Seafood</v>
      </c>
      <c r="H1038">
        <f>VLOOKUP(order_details[[#This Row],[ProductID]], products[], 4, FALSE)</f>
        <v>8</v>
      </c>
      <c r="I1038" t="str">
        <f>VLOOKUP(order_details[[#This Row],[OrderID]], orders[[OrderID]:[ShipCountry]], 14, FALSE)</f>
        <v>Venezuela</v>
      </c>
      <c r="J1038" s="1">
        <f>_xlfn.XLOOKUP(order_details[[#This Row],[OrderID]], orders[OrderID], orders[Month])</f>
        <v>9</v>
      </c>
    </row>
    <row r="1039" spans="1:10" x14ac:dyDescent="0.35">
      <c r="A1039">
        <v>10642</v>
      </c>
      <c r="B1039">
        <v>21</v>
      </c>
      <c r="C1039">
        <v>10</v>
      </c>
      <c r="D1039">
        <v>30</v>
      </c>
      <c r="E1039">
        <v>0.2</v>
      </c>
      <c r="F1039">
        <v>240</v>
      </c>
      <c r="G1039" t="str">
        <f>VLOOKUP(VLOOKUP(order_details[[#This Row],[ProductID]], products[], 4, FALSE), categories[], 2, FALSE)</f>
        <v>Confections</v>
      </c>
      <c r="H1039">
        <f>VLOOKUP(order_details[[#This Row],[ProductID]], products[], 4, FALSE)</f>
        <v>3</v>
      </c>
      <c r="I1039" t="str">
        <f>VLOOKUP(order_details[[#This Row],[OrderID]], orders[[OrderID]:[ShipCountry]], 14, FALSE)</f>
        <v>Denmark</v>
      </c>
      <c r="J1039" s="1">
        <f>_xlfn.XLOOKUP(order_details[[#This Row],[OrderID]], orders[OrderID], orders[Month])</f>
        <v>9</v>
      </c>
    </row>
    <row r="1040" spans="1:10" x14ac:dyDescent="0.35">
      <c r="A1040">
        <v>10642</v>
      </c>
      <c r="B1040">
        <v>61</v>
      </c>
      <c r="C1040">
        <v>28.5</v>
      </c>
      <c r="D1040">
        <v>20</v>
      </c>
      <c r="E1040">
        <v>0.2</v>
      </c>
      <c r="F1040">
        <v>456</v>
      </c>
      <c r="G1040" t="str">
        <f>VLOOKUP(VLOOKUP(order_details[[#This Row],[ProductID]], products[], 4, FALSE), categories[], 2, FALSE)</f>
        <v>Condiments</v>
      </c>
      <c r="H1040">
        <f>VLOOKUP(order_details[[#This Row],[ProductID]], products[], 4, FALSE)</f>
        <v>2</v>
      </c>
      <c r="I1040" t="str">
        <f>VLOOKUP(order_details[[#This Row],[OrderID]], orders[[OrderID]:[ShipCountry]], 14, FALSE)</f>
        <v>Denmark</v>
      </c>
      <c r="J1040" s="1">
        <f>_xlfn.XLOOKUP(order_details[[#This Row],[OrderID]], orders[OrderID], orders[Month])</f>
        <v>9</v>
      </c>
    </row>
    <row r="1041" spans="1:10" x14ac:dyDescent="0.35">
      <c r="A1041">
        <v>10643</v>
      </c>
      <c r="B1041">
        <v>28</v>
      </c>
      <c r="C1041">
        <v>45.6</v>
      </c>
      <c r="D1041">
        <v>15</v>
      </c>
      <c r="E1041">
        <v>0.25</v>
      </c>
      <c r="F1041">
        <v>513</v>
      </c>
      <c r="G1041" t="str">
        <f>VLOOKUP(VLOOKUP(order_details[[#This Row],[ProductID]], products[], 4, FALSE), categories[], 2, FALSE)</f>
        <v>Produce</v>
      </c>
      <c r="H1041">
        <f>VLOOKUP(order_details[[#This Row],[ProductID]], products[], 4, FALSE)</f>
        <v>7</v>
      </c>
      <c r="I1041" t="str">
        <f>VLOOKUP(order_details[[#This Row],[OrderID]], orders[[OrderID]:[ShipCountry]], 14, FALSE)</f>
        <v>Germany</v>
      </c>
      <c r="J1041" s="1">
        <f>_xlfn.XLOOKUP(order_details[[#This Row],[OrderID]], orders[OrderID], orders[Month])</f>
        <v>9</v>
      </c>
    </row>
    <row r="1042" spans="1:10" x14ac:dyDescent="0.35">
      <c r="A1042">
        <v>10643</v>
      </c>
      <c r="B1042">
        <v>39</v>
      </c>
      <c r="C1042">
        <v>18</v>
      </c>
      <c r="D1042">
        <v>21</v>
      </c>
      <c r="E1042">
        <v>0.25</v>
      </c>
      <c r="F1042">
        <v>283.5</v>
      </c>
      <c r="G1042" t="str">
        <f>VLOOKUP(VLOOKUP(order_details[[#This Row],[ProductID]], products[], 4, FALSE), categories[], 2, FALSE)</f>
        <v>Beverages</v>
      </c>
      <c r="H1042">
        <f>VLOOKUP(order_details[[#This Row],[ProductID]], products[], 4, FALSE)</f>
        <v>1</v>
      </c>
      <c r="I1042" t="str">
        <f>VLOOKUP(order_details[[#This Row],[OrderID]], orders[[OrderID]:[ShipCountry]], 14, FALSE)</f>
        <v>Germany</v>
      </c>
      <c r="J1042" s="1">
        <f>_xlfn.XLOOKUP(order_details[[#This Row],[OrderID]], orders[OrderID], orders[Month])</f>
        <v>9</v>
      </c>
    </row>
    <row r="1043" spans="1:10" x14ac:dyDescent="0.35">
      <c r="A1043">
        <v>10643</v>
      </c>
      <c r="B1043">
        <v>46</v>
      </c>
      <c r="C1043">
        <v>12</v>
      </c>
      <c r="D1043">
        <v>2</v>
      </c>
      <c r="E1043">
        <v>0.25</v>
      </c>
      <c r="F1043">
        <v>18</v>
      </c>
      <c r="G1043" t="str">
        <f>VLOOKUP(VLOOKUP(order_details[[#This Row],[ProductID]], products[], 4, FALSE), categories[], 2, FALSE)</f>
        <v>Seafood</v>
      </c>
      <c r="H1043">
        <f>VLOOKUP(order_details[[#This Row],[ProductID]], products[], 4, FALSE)</f>
        <v>8</v>
      </c>
      <c r="I1043" t="str">
        <f>VLOOKUP(order_details[[#This Row],[OrderID]], orders[[OrderID]:[ShipCountry]], 14, FALSE)</f>
        <v>Germany</v>
      </c>
      <c r="J1043" s="1">
        <f>_xlfn.XLOOKUP(order_details[[#This Row],[OrderID]], orders[OrderID], orders[Month])</f>
        <v>9</v>
      </c>
    </row>
    <row r="1044" spans="1:10" x14ac:dyDescent="0.35">
      <c r="A1044">
        <v>10644</v>
      </c>
      <c r="B1044">
        <v>18</v>
      </c>
      <c r="C1044">
        <v>62.5</v>
      </c>
      <c r="D1044">
        <v>4</v>
      </c>
      <c r="E1044">
        <v>0.1</v>
      </c>
      <c r="F1044">
        <v>225</v>
      </c>
      <c r="G1044" t="str">
        <f>VLOOKUP(VLOOKUP(order_details[[#This Row],[ProductID]], products[], 4, FALSE), categories[], 2, FALSE)</f>
        <v>Seafood</v>
      </c>
      <c r="H1044">
        <f>VLOOKUP(order_details[[#This Row],[ProductID]], products[], 4, FALSE)</f>
        <v>8</v>
      </c>
      <c r="I1044" t="str">
        <f>VLOOKUP(order_details[[#This Row],[OrderID]], orders[[OrderID]:[ShipCountry]], 14, FALSE)</f>
        <v>Brazil</v>
      </c>
      <c r="J1044" s="1">
        <f>_xlfn.XLOOKUP(order_details[[#This Row],[OrderID]], orders[OrderID], orders[Month])</f>
        <v>9</v>
      </c>
    </row>
    <row r="1045" spans="1:10" x14ac:dyDescent="0.35">
      <c r="A1045">
        <v>10644</v>
      </c>
      <c r="B1045">
        <v>43</v>
      </c>
      <c r="C1045">
        <v>46</v>
      </c>
      <c r="D1045">
        <v>20</v>
      </c>
      <c r="E1045">
        <v>0</v>
      </c>
      <c r="F1045">
        <v>920</v>
      </c>
      <c r="G1045" t="str">
        <f>VLOOKUP(VLOOKUP(order_details[[#This Row],[ProductID]], products[], 4, FALSE), categories[], 2, FALSE)</f>
        <v>Beverages</v>
      </c>
      <c r="H1045">
        <f>VLOOKUP(order_details[[#This Row],[ProductID]], products[], 4, FALSE)</f>
        <v>1</v>
      </c>
      <c r="I1045" t="str">
        <f>VLOOKUP(order_details[[#This Row],[OrderID]], orders[[OrderID]:[ShipCountry]], 14, FALSE)</f>
        <v>Brazil</v>
      </c>
      <c r="J1045" s="1">
        <f>_xlfn.XLOOKUP(order_details[[#This Row],[OrderID]], orders[OrderID], orders[Month])</f>
        <v>9</v>
      </c>
    </row>
    <row r="1046" spans="1:10" x14ac:dyDescent="0.35">
      <c r="A1046">
        <v>10644</v>
      </c>
      <c r="B1046">
        <v>46</v>
      </c>
      <c r="C1046">
        <v>12</v>
      </c>
      <c r="D1046">
        <v>21</v>
      </c>
      <c r="E1046">
        <v>0.1</v>
      </c>
      <c r="F1046">
        <v>226.8</v>
      </c>
      <c r="G1046" t="str">
        <f>VLOOKUP(VLOOKUP(order_details[[#This Row],[ProductID]], products[], 4, FALSE), categories[], 2, FALSE)</f>
        <v>Seafood</v>
      </c>
      <c r="H1046">
        <f>VLOOKUP(order_details[[#This Row],[ProductID]], products[], 4, FALSE)</f>
        <v>8</v>
      </c>
      <c r="I1046" t="str">
        <f>VLOOKUP(order_details[[#This Row],[OrderID]], orders[[OrderID]:[ShipCountry]], 14, FALSE)</f>
        <v>Brazil</v>
      </c>
      <c r="J1046" s="1">
        <f>_xlfn.XLOOKUP(order_details[[#This Row],[OrderID]], orders[OrderID], orders[Month])</f>
        <v>9</v>
      </c>
    </row>
    <row r="1047" spans="1:10" x14ac:dyDescent="0.35">
      <c r="A1047">
        <v>10645</v>
      </c>
      <c r="B1047">
        <v>18</v>
      </c>
      <c r="C1047">
        <v>62.5</v>
      </c>
      <c r="D1047">
        <v>20</v>
      </c>
      <c r="E1047">
        <v>0</v>
      </c>
      <c r="F1047">
        <v>1250</v>
      </c>
      <c r="G1047" t="str">
        <f>VLOOKUP(VLOOKUP(order_details[[#This Row],[ProductID]], products[], 4, FALSE), categories[], 2, FALSE)</f>
        <v>Seafood</v>
      </c>
      <c r="H1047">
        <f>VLOOKUP(order_details[[#This Row],[ProductID]], products[], 4, FALSE)</f>
        <v>8</v>
      </c>
      <c r="I1047" t="str">
        <f>VLOOKUP(order_details[[#This Row],[OrderID]], orders[[OrderID]:[ShipCountry]], 14, FALSE)</f>
        <v>Brazil</v>
      </c>
      <c r="J1047" s="1">
        <f>_xlfn.XLOOKUP(order_details[[#This Row],[OrderID]], orders[OrderID], orders[Month])</f>
        <v>9</v>
      </c>
    </row>
    <row r="1048" spans="1:10" x14ac:dyDescent="0.35">
      <c r="A1048">
        <v>10645</v>
      </c>
      <c r="B1048">
        <v>36</v>
      </c>
      <c r="C1048">
        <v>19</v>
      </c>
      <c r="D1048">
        <v>15</v>
      </c>
      <c r="E1048">
        <v>0</v>
      </c>
      <c r="F1048">
        <v>285</v>
      </c>
      <c r="G1048" t="str">
        <f>VLOOKUP(VLOOKUP(order_details[[#This Row],[ProductID]], products[], 4, FALSE), categories[], 2, FALSE)</f>
        <v>Seafood</v>
      </c>
      <c r="H1048">
        <f>VLOOKUP(order_details[[#This Row],[ProductID]], products[], 4, FALSE)</f>
        <v>8</v>
      </c>
      <c r="I1048" t="str">
        <f>VLOOKUP(order_details[[#This Row],[OrderID]], orders[[OrderID]:[ShipCountry]], 14, FALSE)</f>
        <v>Brazil</v>
      </c>
      <c r="J1048" s="1">
        <f>_xlfn.XLOOKUP(order_details[[#This Row],[OrderID]], orders[OrderID], orders[Month])</f>
        <v>9</v>
      </c>
    </row>
    <row r="1049" spans="1:10" x14ac:dyDescent="0.35">
      <c r="A1049">
        <v>10646</v>
      </c>
      <c r="B1049">
        <v>1</v>
      </c>
      <c r="C1049">
        <v>18</v>
      </c>
      <c r="D1049">
        <v>15</v>
      </c>
      <c r="E1049">
        <v>0.25</v>
      </c>
      <c r="F1049">
        <v>202.5</v>
      </c>
      <c r="G1049" t="str">
        <f>VLOOKUP(VLOOKUP(order_details[[#This Row],[ProductID]], products[], 4, FALSE), categories[], 2, FALSE)</f>
        <v>Beverages</v>
      </c>
      <c r="H1049">
        <f>VLOOKUP(order_details[[#This Row],[ProductID]], products[], 4, FALSE)</f>
        <v>1</v>
      </c>
      <c r="I1049" t="str">
        <f>VLOOKUP(order_details[[#This Row],[OrderID]], orders[[OrderID]:[ShipCountry]], 14, FALSE)</f>
        <v>Ireland</v>
      </c>
      <c r="J1049" s="1">
        <f>_xlfn.XLOOKUP(order_details[[#This Row],[OrderID]], orders[OrderID], orders[Month])</f>
        <v>9</v>
      </c>
    </row>
    <row r="1050" spans="1:10" x14ac:dyDescent="0.35">
      <c r="A1050">
        <v>10646</v>
      </c>
      <c r="B1050">
        <v>10</v>
      </c>
      <c r="C1050">
        <v>31</v>
      </c>
      <c r="D1050">
        <v>18</v>
      </c>
      <c r="E1050">
        <v>0.25</v>
      </c>
      <c r="F1050">
        <v>418.5</v>
      </c>
      <c r="G1050" t="str">
        <f>VLOOKUP(VLOOKUP(order_details[[#This Row],[ProductID]], products[], 4, FALSE), categories[], 2, FALSE)</f>
        <v>Seafood</v>
      </c>
      <c r="H1050">
        <f>VLOOKUP(order_details[[#This Row],[ProductID]], products[], 4, FALSE)</f>
        <v>8</v>
      </c>
      <c r="I1050" t="str">
        <f>VLOOKUP(order_details[[#This Row],[OrderID]], orders[[OrderID]:[ShipCountry]], 14, FALSE)</f>
        <v>Ireland</v>
      </c>
      <c r="J1050" s="1">
        <f>_xlfn.XLOOKUP(order_details[[#This Row],[OrderID]], orders[OrderID], orders[Month])</f>
        <v>9</v>
      </c>
    </row>
    <row r="1051" spans="1:10" x14ac:dyDescent="0.35">
      <c r="A1051">
        <v>10646</v>
      </c>
      <c r="B1051">
        <v>71</v>
      </c>
      <c r="C1051">
        <v>21.5</v>
      </c>
      <c r="D1051">
        <v>30</v>
      </c>
      <c r="E1051">
        <v>0.25</v>
      </c>
      <c r="F1051">
        <v>483.75</v>
      </c>
      <c r="G1051" t="str">
        <f>VLOOKUP(VLOOKUP(order_details[[#This Row],[ProductID]], products[], 4, FALSE), categories[], 2, FALSE)</f>
        <v>Dairy Products</v>
      </c>
      <c r="H1051">
        <f>VLOOKUP(order_details[[#This Row],[ProductID]], products[], 4, FALSE)</f>
        <v>4</v>
      </c>
      <c r="I1051" t="str">
        <f>VLOOKUP(order_details[[#This Row],[OrderID]], orders[[OrderID]:[ShipCountry]], 14, FALSE)</f>
        <v>Ireland</v>
      </c>
      <c r="J1051" s="1">
        <f>_xlfn.XLOOKUP(order_details[[#This Row],[OrderID]], orders[OrderID], orders[Month])</f>
        <v>9</v>
      </c>
    </row>
    <row r="1052" spans="1:10" x14ac:dyDescent="0.35">
      <c r="A1052">
        <v>10646</v>
      </c>
      <c r="B1052">
        <v>77</v>
      </c>
      <c r="C1052">
        <v>13</v>
      </c>
      <c r="D1052">
        <v>35</v>
      </c>
      <c r="E1052">
        <v>0.25</v>
      </c>
      <c r="F1052">
        <v>341.25</v>
      </c>
      <c r="G1052" t="str">
        <f>VLOOKUP(VLOOKUP(order_details[[#This Row],[ProductID]], products[], 4, FALSE), categories[], 2, FALSE)</f>
        <v>Condiments</v>
      </c>
      <c r="H1052">
        <f>VLOOKUP(order_details[[#This Row],[ProductID]], products[], 4, FALSE)</f>
        <v>2</v>
      </c>
      <c r="I1052" t="str">
        <f>VLOOKUP(order_details[[#This Row],[OrderID]], orders[[OrderID]:[ShipCountry]], 14, FALSE)</f>
        <v>Ireland</v>
      </c>
      <c r="J1052" s="1">
        <f>_xlfn.XLOOKUP(order_details[[#This Row],[OrderID]], orders[OrderID], orders[Month])</f>
        <v>9</v>
      </c>
    </row>
    <row r="1053" spans="1:10" x14ac:dyDescent="0.35">
      <c r="A1053">
        <v>10647</v>
      </c>
      <c r="B1053">
        <v>19</v>
      </c>
      <c r="C1053">
        <v>9.1999999999999993</v>
      </c>
      <c r="D1053">
        <v>30</v>
      </c>
      <c r="E1053">
        <v>0</v>
      </c>
      <c r="F1053">
        <v>276</v>
      </c>
      <c r="G1053" t="str">
        <f>VLOOKUP(VLOOKUP(order_details[[#This Row],[ProductID]], products[], 4, FALSE), categories[], 2, FALSE)</f>
        <v>Confections</v>
      </c>
      <c r="H1053">
        <f>VLOOKUP(order_details[[#This Row],[ProductID]], products[], 4, FALSE)</f>
        <v>3</v>
      </c>
      <c r="I1053" t="str">
        <f>VLOOKUP(order_details[[#This Row],[OrderID]], orders[[OrderID]:[ShipCountry]], 14, FALSE)</f>
        <v>Brazil</v>
      </c>
      <c r="J1053" s="1">
        <f>_xlfn.XLOOKUP(order_details[[#This Row],[OrderID]], orders[OrderID], orders[Month])</f>
        <v>9</v>
      </c>
    </row>
    <row r="1054" spans="1:10" x14ac:dyDescent="0.35">
      <c r="A1054">
        <v>10647</v>
      </c>
      <c r="B1054">
        <v>39</v>
      </c>
      <c r="C1054">
        <v>18</v>
      </c>
      <c r="D1054">
        <v>20</v>
      </c>
      <c r="E1054">
        <v>0</v>
      </c>
      <c r="F1054">
        <v>360</v>
      </c>
      <c r="G1054" t="str">
        <f>VLOOKUP(VLOOKUP(order_details[[#This Row],[ProductID]], products[], 4, FALSE), categories[], 2, FALSE)</f>
        <v>Beverages</v>
      </c>
      <c r="H1054">
        <f>VLOOKUP(order_details[[#This Row],[ProductID]], products[], 4, FALSE)</f>
        <v>1</v>
      </c>
      <c r="I1054" t="str">
        <f>VLOOKUP(order_details[[#This Row],[OrderID]], orders[[OrderID]:[ShipCountry]], 14, FALSE)</f>
        <v>Brazil</v>
      </c>
      <c r="J1054" s="1">
        <f>_xlfn.XLOOKUP(order_details[[#This Row],[OrderID]], orders[OrderID], orders[Month])</f>
        <v>9</v>
      </c>
    </row>
    <row r="1055" spans="1:10" x14ac:dyDescent="0.35">
      <c r="A1055">
        <v>10648</v>
      </c>
      <c r="B1055">
        <v>22</v>
      </c>
      <c r="C1055">
        <v>21</v>
      </c>
      <c r="D1055">
        <v>15</v>
      </c>
      <c r="E1055">
        <v>0</v>
      </c>
      <c r="F1055">
        <v>315</v>
      </c>
      <c r="G1055" t="str">
        <f>VLOOKUP(VLOOKUP(order_details[[#This Row],[ProductID]], products[], 4, FALSE), categories[], 2, FALSE)</f>
        <v>Grains/Cereals</v>
      </c>
      <c r="H1055">
        <f>VLOOKUP(order_details[[#This Row],[ProductID]], products[], 4, FALSE)</f>
        <v>5</v>
      </c>
      <c r="I1055" t="str">
        <f>VLOOKUP(order_details[[#This Row],[OrderID]], orders[[OrderID]:[ShipCountry]], 14, FALSE)</f>
        <v>Brazil</v>
      </c>
      <c r="J1055" s="1">
        <f>_xlfn.XLOOKUP(order_details[[#This Row],[OrderID]], orders[OrderID], orders[Month])</f>
        <v>9</v>
      </c>
    </row>
    <row r="1056" spans="1:10" x14ac:dyDescent="0.35">
      <c r="A1056">
        <v>10648</v>
      </c>
      <c r="B1056">
        <v>24</v>
      </c>
      <c r="C1056">
        <v>4.5</v>
      </c>
      <c r="D1056">
        <v>15</v>
      </c>
      <c r="E1056">
        <v>0.15</v>
      </c>
      <c r="F1056">
        <v>57.375</v>
      </c>
      <c r="G1056" t="str">
        <f>VLOOKUP(VLOOKUP(order_details[[#This Row],[ProductID]], products[], 4, FALSE), categories[], 2, FALSE)</f>
        <v>Beverages</v>
      </c>
      <c r="H1056">
        <f>VLOOKUP(order_details[[#This Row],[ProductID]], products[], 4, FALSE)</f>
        <v>1</v>
      </c>
      <c r="I1056" t="str">
        <f>VLOOKUP(order_details[[#This Row],[OrderID]], orders[[OrderID]:[ShipCountry]], 14, FALSE)</f>
        <v>Brazil</v>
      </c>
      <c r="J1056" s="1">
        <f>_xlfn.XLOOKUP(order_details[[#This Row],[OrderID]], orders[OrderID], orders[Month])</f>
        <v>9</v>
      </c>
    </row>
    <row r="1057" spans="1:10" x14ac:dyDescent="0.35">
      <c r="A1057">
        <v>10649</v>
      </c>
      <c r="B1057">
        <v>28</v>
      </c>
      <c r="C1057">
        <v>45.6</v>
      </c>
      <c r="D1057">
        <v>20</v>
      </c>
      <c r="E1057">
        <v>0</v>
      </c>
      <c r="F1057">
        <v>912</v>
      </c>
      <c r="G1057" t="str">
        <f>VLOOKUP(VLOOKUP(order_details[[#This Row],[ProductID]], products[], 4, FALSE), categories[], 2, FALSE)</f>
        <v>Produce</v>
      </c>
      <c r="H1057">
        <f>VLOOKUP(order_details[[#This Row],[ProductID]], products[], 4, FALSE)</f>
        <v>7</v>
      </c>
      <c r="I1057" t="str">
        <f>VLOOKUP(order_details[[#This Row],[OrderID]], orders[[OrderID]:[ShipCountry]], 14, FALSE)</f>
        <v>Belgium</v>
      </c>
      <c r="J1057" s="1">
        <f>_xlfn.XLOOKUP(order_details[[#This Row],[OrderID]], orders[OrderID], orders[Month])</f>
        <v>9</v>
      </c>
    </row>
    <row r="1058" spans="1:10" x14ac:dyDescent="0.35">
      <c r="A1058">
        <v>10649</v>
      </c>
      <c r="B1058">
        <v>72</v>
      </c>
      <c r="C1058">
        <v>34.799999999999997</v>
      </c>
      <c r="D1058">
        <v>15</v>
      </c>
      <c r="E1058">
        <v>0</v>
      </c>
      <c r="F1058">
        <v>522</v>
      </c>
      <c r="G1058" t="str">
        <f>VLOOKUP(VLOOKUP(order_details[[#This Row],[ProductID]], products[], 4, FALSE), categories[], 2, FALSE)</f>
        <v>Dairy Products</v>
      </c>
      <c r="H1058">
        <f>VLOOKUP(order_details[[#This Row],[ProductID]], products[], 4, FALSE)</f>
        <v>4</v>
      </c>
      <c r="I1058" t="str">
        <f>VLOOKUP(order_details[[#This Row],[OrderID]], orders[[OrderID]:[ShipCountry]], 14, FALSE)</f>
        <v>Belgium</v>
      </c>
      <c r="J1058" s="1">
        <f>_xlfn.XLOOKUP(order_details[[#This Row],[OrderID]], orders[OrderID], orders[Month])</f>
        <v>9</v>
      </c>
    </row>
    <row r="1059" spans="1:10" x14ac:dyDescent="0.35">
      <c r="A1059">
        <v>10650</v>
      </c>
      <c r="B1059">
        <v>30</v>
      </c>
      <c r="C1059">
        <v>25.89</v>
      </c>
      <c r="D1059">
        <v>30</v>
      </c>
      <c r="E1059">
        <v>0</v>
      </c>
      <c r="F1059">
        <v>776.7</v>
      </c>
      <c r="G1059" t="str">
        <f>VLOOKUP(VLOOKUP(order_details[[#This Row],[ProductID]], products[], 4, FALSE), categories[], 2, FALSE)</f>
        <v>Seafood</v>
      </c>
      <c r="H1059">
        <f>VLOOKUP(order_details[[#This Row],[ProductID]], products[], 4, FALSE)</f>
        <v>8</v>
      </c>
      <c r="I1059" t="str">
        <f>VLOOKUP(order_details[[#This Row],[OrderID]], orders[[OrderID]:[ShipCountry]], 14, FALSE)</f>
        <v>Brazil</v>
      </c>
      <c r="J1059" s="1">
        <f>_xlfn.XLOOKUP(order_details[[#This Row],[OrderID]], orders[OrderID], orders[Month])</f>
        <v>9</v>
      </c>
    </row>
    <row r="1060" spans="1:10" x14ac:dyDescent="0.35">
      <c r="A1060">
        <v>10650</v>
      </c>
      <c r="B1060">
        <v>53</v>
      </c>
      <c r="C1060">
        <v>32.799999999999997</v>
      </c>
      <c r="D1060">
        <v>25</v>
      </c>
      <c r="E1060">
        <v>0.05</v>
      </c>
      <c r="F1060">
        <v>778.99999999999989</v>
      </c>
      <c r="G1060" t="str">
        <f>VLOOKUP(VLOOKUP(order_details[[#This Row],[ProductID]], products[], 4, FALSE), categories[], 2, FALSE)</f>
        <v>Meat/Poultry</v>
      </c>
      <c r="H1060">
        <f>VLOOKUP(order_details[[#This Row],[ProductID]], products[], 4, FALSE)</f>
        <v>6</v>
      </c>
      <c r="I1060" t="str">
        <f>VLOOKUP(order_details[[#This Row],[OrderID]], orders[[OrderID]:[ShipCountry]], 14, FALSE)</f>
        <v>Brazil</v>
      </c>
      <c r="J1060" s="1">
        <f>_xlfn.XLOOKUP(order_details[[#This Row],[OrderID]], orders[OrderID], orders[Month])</f>
        <v>9</v>
      </c>
    </row>
    <row r="1061" spans="1:10" x14ac:dyDescent="0.35">
      <c r="A1061">
        <v>10650</v>
      </c>
      <c r="B1061">
        <v>54</v>
      </c>
      <c r="C1061">
        <v>7.45</v>
      </c>
      <c r="D1061">
        <v>30</v>
      </c>
      <c r="E1061">
        <v>0</v>
      </c>
      <c r="F1061">
        <v>223.5</v>
      </c>
      <c r="G1061" t="str">
        <f>VLOOKUP(VLOOKUP(order_details[[#This Row],[ProductID]], products[], 4, FALSE), categories[], 2, FALSE)</f>
        <v>Meat/Poultry</v>
      </c>
      <c r="H1061">
        <f>VLOOKUP(order_details[[#This Row],[ProductID]], products[], 4, FALSE)</f>
        <v>6</v>
      </c>
      <c r="I1061" t="str">
        <f>VLOOKUP(order_details[[#This Row],[OrderID]], orders[[OrderID]:[ShipCountry]], 14, FALSE)</f>
        <v>Brazil</v>
      </c>
      <c r="J1061" s="1">
        <f>_xlfn.XLOOKUP(order_details[[#This Row],[OrderID]], orders[OrderID], orders[Month])</f>
        <v>9</v>
      </c>
    </row>
    <row r="1062" spans="1:10" x14ac:dyDescent="0.35">
      <c r="A1062">
        <v>10651</v>
      </c>
      <c r="B1062">
        <v>19</v>
      </c>
      <c r="C1062">
        <v>9.1999999999999993</v>
      </c>
      <c r="D1062">
        <v>12</v>
      </c>
      <c r="E1062">
        <v>0.25</v>
      </c>
      <c r="F1062">
        <v>82.8</v>
      </c>
      <c r="G1062" t="str">
        <f>VLOOKUP(VLOOKUP(order_details[[#This Row],[ProductID]], products[], 4, FALSE), categories[], 2, FALSE)</f>
        <v>Confections</v>
      </c>
      <c r="H1062">
        <f>VLOOKUP(order_details[[#This Row],[ProductID]], products[], 4, FALSE)</f>
        <v>3</v>
      </c>
      <c r="I1062" t="str">
        <f>VLOOKUP(order_details[[#This Row],[OrderID]], orders[[OrderID]:[ShipCountry]], 14, FALSE)</f>
        <v>Germany</v>
      </c>
      <c r="J1062" s="1">
        <f>_xlfn.XLOOKUP(order_details[[#This Row],[OrderID]], orders[OrderID], orders[Month])</f>
        <v>10</v>
      </c>
    </row>
    <row r="1063" spans="1:10" x14ac:dyDescent="0.35">
      <c r="A1063">
        <v>10651</v>
      </c>
      <c r="B1063">
        <v>22</v>
      </c>
      <c r="C1063">
        <v>21</v>
      </c>
      <c r="D1063">
        <v>20</v>
      </c>
      <c r="E1063">
        <v>0.25</v>
      </c>
      <c r="F1063">
        <v>315</v>
      </c>
      <c r="G1063" t="str">
        <f>VLOOKUP(VLOOKUP(order_details[[#This Row],[ProductID]], products[], 4, FALSE), categories[], 2, FALSE)</f>
        <v>Grains/Cereals</v>
      </c>
      <c r="H1063">
        <f>VLOOKUP(order_details[[#This Row],[ProductID]], products[], 4, FALSE)</f>
        <v>5</v>
      </c>
      <c r="I1063" t="str">
        <f>VLOOKUP(order_details[[#This Row],[OrderID]], orders[[OrderID]:[ShipCountry]], 14, FALSE)</f>
        <v>Germany</v>
      </c>
      <c r="J1063" s="1">
        <f>_xlfn.XLOOKUP(order_details[[#This Row],[OrderID]], orders[OrderID], orders[Month])</f>
        <v>10</v>
      </c>
    </row>
    <row r="1064" spans="1:10" x14ac:dyDescent="0.35">
      <c r="A1064">
        <v>10652</v>
      </c>
      <c r="B1064">
        <v>30</v>
      </c>
      <c r="C1064">
        <v>25.89</v>
      </c>
      <c r="D1064">
        <v>2</v>
      </c>
      <c r="E1064">
        <v>0.25</v>
      </c>
      <c r="F1064">
        <v>38.835000000000001</v>
      </c>
      <c r="G1064" t="str">
        <f>VLOOKUP(VLOOKUP(order_details[[#This Row],[ProductID]], products[], 4, FALSE), categories[], 2, FALSE)</f>
        <v>Seafood</v>
      </c>
      <c r="H1064">
        <f>VLOOKUP(order_details[[#This Row],[ProductID]], products[], 4, FALSE)</f>
        <v>8</v>
      </c>
      <c r="I1064" t="str">
        <f>VLOOKUP(order_details[[#This Row],[OrderID]], orders[[OrderID]:[ShipCountry]], 14, FALSE)</f>
        <v>Brazil</v>
      </c>
      <c r="J1064" s="1">
        <f>_xlfn.XLOOKUP(order_details[[#This Row],[OrderID]], orders[OrderID], orders[Month])</f>
        <v>10</v>
      </c>
    </row>
    <row r="1065" spans="1:10" x14ac:dyDescent="0.35">
      <c r="A1065">
        <v>10652</v>
      </c>
      <c r="B1065">
        <v>42</v>
      </c>
      <c r="C1065">
        <v>14</v>
      </c>
      <c r="D1065">
        <v>20</v>
      </c>
      <c r="E1065">
        <v>0</v>
      </c>
      <c r="F1065">
        <v>280</v>
      </c>
      <c r="G1065" t="str">
        <f>VLOOKUP(VLOOKUP(order_details[[#This Row],[ProductID]], products[], 4, FALSE), categories[], 2, FALSE)</f>
        <v>Grains/Cereals</v>
      </c>
      <c r="H1065">
        <f>VLOOKUP(order_details[[#This Row],[ProductID]], products[], 4, FALSE)</f>
        <v>5</v>
      </c>
      <c r="I1065" t="str">
        <f>VLOOKUP(order_details[[#This Row],[OrderID]], orders[[OrderID]:[ShipCountry]], 14, FALSE)</f>
        <v>Brazil</v>
      </c>
      <c r="J1065" s="1">
        <f>_xlfn.XLOOKUP(order_details[[#This Row],[OrderID]], orders[OrderID], orders[Month])</f>
        <v>10</v>
      </c>
    </row>
    <row r="1066" spans="1:10" x14ac:dyDescent="0.35">
      <c r="A1066">
        <v>10653</v>
      </c>
      <c r="B1066">
        <v>16</v>
      </c>
      <c r="C1066">
        <v>17.45</v>
      </c>
      <c r="D1066">
        <v>30</v>
      </c>
      <c r="E1066">
        <v>0.1</v>
      </c>
      <c r="F1066">
        <v>471.15000000000003</v>
      </c>
      <c r="G1066" t="str">
        <f>VLOOKUP(VLOOKUP(order_details[[#This Row],[ProductID]], products[], 4, FALSE), categories[], 2, FALSE)</f>
        <v>Confections</v>
      </c>
      <c r="H1066">
        <f>VLOOKUP(order_details[[#This Row],[ProductID]], products[], 4, FALSE)</f>
        <v>3</v>
      </c>
      <c r="I1066" t="str">
        <f>VLOOKUP(order_details[[#This Row],[OrderID]], orders[[OrderID]:[ShipCountry]], 14, FALSE)</f>
        <v>Germany</v>
      </c>
      <c r="J1066" s="1">
        <f>_xlfn.XLOOKUP(order_details[[#This Row],[OrderID]], orders[OrderID], orders[Month])</f>
        <v>10</v>
      </c>
    </row>
    <row r="1067" spans="1:10" x14ac:dyDescent="0.35">
      <c r="A1067">
        <v>10653</v>
      </c>
      <c r="B1067">
        <v>60</v>
      </c>
      <c r="C1067">
        <v>34</v>
      </c>
      <c r="D1067">
        <v>20</v>
      </c>
      <c r="E1067">
        <v>0.1</v>
      </c>
      <c r="F1067">
        <v>612</v>
      </c>
      <c r="G1067" t="str">
        <f>VLOOKUP(VLOOKUP(order_details[[#This Row],[ProductID]], products[], 4, FALSE), categories[], 2, FALSE)</f>
        <v>Dairy Products</v>
      </c>
      <c r="H1067">
        <f>VLOOKUP(order_details[[#This Row],[ProductID]], products[], 4, FALSE)</f>
        <v>4</v>
      </c>
      <c r="I1067" t="str">
        <f>VLOOKUP(order_details[[#This Row],[OrderID]], orders[[OrderID]:[ShipCountry]], 14, FALSE)</f>
        <v>Germany</v>
      </c>
      <c r="J1067" s="1">
        <f>_xlfn.XLOOKUP(order_details[[#This Row],[OrderID]], orders[OrderID], orders[Month])</f>
        <v>10</v>
      </c>
    </row>
    <row r="1068" spans="1:10" x14ac:dyDescent="0.35">
      <c r="A1068">
        <v>10654</v>
      </c>
      <c r="B1068">
        <v>4</v>
      </c>
      <c r="C1068">
        <v>22</v>
      </c>
      <c r="D1068">
        <v>12</v>
      </c>
      <c r="E1068">
        <v>0.1</v>
      </c>
      <c r="F1068">
        <v>237.6</v>
      </c>
      <c r="G1068" t="str">
        <f>VLOOKUP(VLOOKUP(order_details[[#This Row],[ProductID]], products[], 4, FALSE), categories[], 2, FALSE)</f>
        <v>Condiments</v>
      </c>
      <c r="H1068">
        <f>VLOOKUP(order_details[[#This Row],[ProductID]], products[], 4, FALSE)</f>
        <v>2</v>
      </c>
      <c r="I1068" t="str">
        <f>VLOOKUP(order_details[[#This Row],[OrderID]], orders[[OrderID]:[ShipCountry]], 14, FALSE)</f>
        <v>Sweden</v>
      </c>
      <c r="J1068" s="1">
        <f>_xlfn.XLOOKUP(order_details[[#This Row],[OrderID]], orders[OrderID], orders[Month])</f>
        <v>10</v>
      </c>
    </row>
    <row r="1069" spans="1:10" x14ac:dyDescent="0.35">
      <c r="A1069">
        <v>10654</v>
      </c>
      <c r="B1069">
        <v>39</v>
      </c>
      <c r="C1069">
        <v>18</v>
      </c>
      <c r="D1069">
        <v>20</v>
      </c>
      <c r="E1069">
        <v>0.1</v>
      </c>
      <c r="F1069">
        <v>324</v>
      </c>
      <c r="G1069" t="str">
        <f>VLOOKUP(VLOOKUP(order_details[[#This Row],[ProductID]], products[], 4, FALSE), categories[], 2, FALSE)</f>
        <v>Beverages</v>
      </c>
      <c r="H1069">
        <f>VLOOKUP(order_details[[#This Row],[ProductID]], products[], 4, FALSE)</f>
        <v>1</v>
      </c>
      <c r="I1069" t="str">
        <f>VLOOKUP(order_details[[#This Row],[OrderID]], orders[[OrderID]:[ShipCountry]], 14, FALSE)</f>
        <v>Sweden</v>
      </c>
      <c r="J1069" s="1">
        <f>_xlfn.XLOOKUP(order_details[[#This Row],[OrderID]], orders[OrderID], orders[Month])</f>
        <v>10</v>
      </c>
    </row>
    <row r="1070" spans="1:10" x14ac:dyDescent="0.35">
      <c r="A1070">
        <v>10654</v>
      </c>
      <c r="B1070">
        <v>54</v>
      </c>
      <c r="C1070">
        <v>7.45</v>
      </c>
      <c r="D1070">
        <v>6</v>
      </c>
      <c r="E1070">
        <v>0.1</v>
      </c>
      <c r="F1070">
        <v>40.230000000000004</v>
      </c>
      <c r="G1070" t="str">
        <f>VLOOKUP(VLOOKUP(order_details[[#This Row],[ProductID]], products[], 4, FALSE), categories[], 2, FALSE)</f>
        <v>Meat/Poultry</v>
      </c>
      <c r="H1070">
        <f>VLOOKUP(order_details[[#This Row],[ProductID]], products[], 4, FALSE)</f>
        <v>6</v>
      </c>
      <c r="I1070" t="str">
        <f>VLOOKUP(order_details[[#This Row],[OrderID]], orders[[OrderID]:[ShipCountry]], 14, FALSE)</f>
        <v>Sweden</v>
      </c>
      <c r="J1070" s="1">
        <f>_xlfn.XLOOKUP(order_details[[#This Row],[OrderID]], orders[OrderID], orders[Month])</f>
        <v>10</v>
      </c>
    </row>
    <row r="1071" spans="1:10" x14ac:dyDescent="0.35">
      <c r="A1071">
        <v>10655</v>
      </c>
      <c r="B1071">
        <v>41</v>
      </c>
      <c r="C1071">
        <v>9.65</v>
      </c>
      <c r="D1071">
        <v>20</v>
      </c>
      <c r="E1071">
        <v>0.2</v>
      </c>
      <c r="F1071">
        <v>154.4</v>
      </c>
      <c r="G1071" t="str">
        <f>VLOOKUP(VLOOKUP(order_details[[#This Row],[ProductID]], products[], 4, FALSE), categories[], 2, FALSE)</f>
        <v>Seafood</v>
      </c>
      <c r="H1071">
        <f>VLOOKUP(order_details[[#This Row],[ProductID]], products[], 4, FALSE)</f>
        <v>8</v>
      </c>
      <c r="I1071" t="str">
        <f>VLOOKUP(order_details[[#This Row],[OrderID]], orders[[OrderID]:[ShipCountry]], 14, FALSE)</f>
        <v>Italy</v>
      </c>
      <c r="J1071" s="1">
        <f>_xlfn.XLOOKUP(order_details[[#This Row],[OrderID]], orders[OrderID], orders[Month])</f>
        <v>10</v>
      </c>
    </row>
    <row r="1072" spans="1:10" x14ac:dyDescent="0.35">
      <c r="A1072">
        <v>10656</v>
      </c>
      <c r="B1072">
        <v>14</v>
      </c>
      <c r="C1072">
        <v>23.25</v>
      </c>
      <c r="D1072">
        <v>3</v>
      </c>
      <c r="E1072">
        <v>0.1</v>
      </c>
      <c r="F1072">
        <v>62.774999999999999</v>
      </c>
      <c r="G1072" t="str">
        <f>VLOOKUP(VLOOKUP(order_details[[#This Row],[ProductID]], products[], 4, FALSE), categories[], 2, FALSE)</f>
        <v>Produce</v>
      </c>
      <c r="H1072">
        <f>VLOOKUP(order_details[[#This Row],[ProductID]], products[], 4, FALSE)</f>
        <v>7</v>
      </c>
      <c r="I1072" t="str">
        <f>VLOOKUP(order_details[[#This Row],[OrderID]], orders[[OrderID]:[ShipCountry]], 14, FALSE)</f>
        <v>USA</v>
      </c>
      <c r="J1072" s="1">
        <f>_xlfn.XLOOKUP(order_details[[#This Row],[OrderID]], orders[OrderID], orders[Month])</f>
        <v>10</v>
      </c>
    </row>
    <row r="1073" spans="1:10" x14ac:dyDescent="0.35">
      <c r="A1073">
        <v>10656</v>
      </c>
      <c r="B1073">
        <v>44</v>
      </c>
      <c r="C1073">
        <v>19.45</v>
      </c>
      <c r="D1073">
        <v>28</v>
      </c>
      <c r="E1073">
        <v>0.1</v>
      </c>
      <c r="F1073">
        <v>490.14000000000004</v>
      </c>
      <c r="G1073" t="str">
        <f>VLOOKUP(VLOOKUP(order_details[[#This Row],[ProductID]], products[], 4, FALSE), categories[], 2, FALSE)</f>
        <v>Condiments</v>
      </c>
      <c r="H1073">
        <f>VLOOKUP(order_details[[#This Row],[ProductID]], products[], 4, FALSE)</f>
        <v>2</v>
      </c>
      <c r="I1073" t="str">
        <f>VLOOKUP(order_details[[#This Row],[OrderID]], orders[[OrderID]:[ShipCountry]], 14, FALSE)</f>
        <v>USA</v>
      </c>
      <c r="J1073" s="1">
        <f>_xlfn.XLOOKUP(order_details[[#This Row],[OrderID]], orders[OrderID], orders[Month])</f>
        <v>10</v>
      </c>
    </row>
    <row r="1074" spans="1:10" x14ac:dyDescent="0.35">
      <c r="A1074">
        <v>10656</v>
      </c>
      <c r="B1074">
        <v>47</v>
      </c>
      <c r="C1074">
        <v>9.5</v>
      </c>
      <c r="D1074">
        <v>6</v>
      </c>
      <c r="E1074">
        <v>0.1</v>
      </c>
      <c r="F1074">
        <v>51.300000000000004</v>
      </c>
      <c r="G1074" t="str">
        <f>VLOOKUP(VLOOKUP(order_details[[#This Row],[ProductID]], products[], 4, FALSE), categories[], 2, FALSE)</f>
        <v>Confections</v>
      </c>
      <c r="H1074">
        <f>VLOOKUP(order_details[[#This Row],[ProductID]], products[], 4, FALSE)</f>
        <v>3</v>
      </c>
      <c r="I1074" t="str">
        <f>VLOOKUP(order_details[[#This Row],[OrderID]], orders[[OrderID]:[ShipCountry]], 14, FALSE)</f>
        <v>USA</v>
      </c>
      <c r="J1074" s="1">
        <f>_xlfn.XLOOKUP(order_details[[#This Row],[OrderID]], orders[OrderID], orders[Month])</f>
        <v>10</v>
      </c>
    </row>
    <row r="1075" spans="1:10" x14ac:dyDescent="0.35">
      <c r="A1075">
        <v>10657</v>
      </c>
      <c r="B1075">
        <v>15</v>
      </c>
      <c r="C1075">
        <v>15.5</v>
      </c>
      <c r="D1075">
        <v>50</v>
      </c>
      <c r="E1075">
        <v>0</v>
      </c>
      <c r="F1075">
        <v>775</v>
      </c>
      <c r="G1075" t="str">
        <f>VLOOKUP(VLOOKUP(order_details[[#This Row],[ProductID]], products[], 4, FALSE), categories[], 2, FALSE)</f>
        <v>Condiments</v>
      </c>
      <c r="H1075">
        <f>VLOOKUP(order_details[[#This Row],[ProductID]], products[], 4, FALSE)</f>
        <v>2</v>
      </c>
      <c r="I1075" t="str">
        <f>VLOOKUP(order_details[[#This Row],[OrderID]], orders[[OrderID]:[ShipCountry]], 14, FALSE)</f>
        <v>USA</v>
      </c>
      <c r="J1075" s="1">
        <f>_xlfn.XLOOKUP(order_details[[#This Row],[OrderID]], orders[OrderID], orders[Month])</f>
        <v>10</v>
      </c>
    </row>
    <row r="1076" spans="1:10" x14ac:dyDescent="0.35">
      <c r="A1076">
        <v>10657</v>
      </c>
      <c r="B1076">
        <v>41</v>
      </c>
      <c r="C1076">
        <v>9.65</v>
      </c>
      <c r="D1076">
        <v>24</v>
      </c>
      <c r="E1076">
        <v>0</v>
      </c>
      <c r="F1076">
        <v>231.60000000000002</v>
      </c>
      <c r="G1076" t="str">
        <f>VLOOKUP(VLOOKUP(order_details[[#This Row],[ProductID]], products[], 4, FALSE), categories[], 2, FALSE)</f>
        <v>Seafood</v>
      </c>
      <c r="H1076">
        <f>VLOOKUP(order_details[[#This Row],[ProductID]], products[], 4, FALSE)</f>
        <v>8</v>
      </c>
      <c r="I1076" t="str">
        <f>VLOOKUP(order_details[[#This Row],[OrderID]], orders[[OrderID]:[ShipCountry]], 14, FALSE)</f>
        <v>USA</v>
      </c>
      <c r="J1076" s="1">
        <f>_xlfn.XLOOKUP(order_details[[#This Row],[OrderID]], orders[OrderID], orders[Month])</f>
        <v>10</v>
      </c>
    </row>
    <row r="1077" spans="1:10" x14ac:dyDescent="0.35">
      <c r="A1077">
        <v>10657</v>
      </c>
      <c r="B1077">
        <v>46</v>
      </c>
      <c r="C1077">
        <v>12</v>
      </c>
      <c r="D1077">
        <v>45</v>
      </c>
      <c r="E1077">
        <v>0</v>
      </c>
      <c r="F1077">
        <v>540</v>
      </c>
      <c r="G1077" t="str">
        <f>VLOOKUP(VLOOKUP(order_details[[#This Row],[ProductID]], products[], 4, FALSE), categories[], 2, FALSE)</f>
        <v>Seafood</v>
      </c>
      <c r="H1077">
        <f>VLOOKUP(order_details[[#This Row],[ProductID]], products[], 4, FALSE)</f>
        <v>8</v>
      </c>
      <c r="I1077" t="str">
        <f>VLOOKUP(order_details[[#This Row],[OrderID]], orders[[OrderID]:[ShipCountry]], 14, FALSE)</f>
        <v>USA</v>
      </c>
      <c r="J1077" s="1">
        <f>_xlfn.XLOOKUP(order_details[[#This Row],[OrderID]], orders[OrderID], orders[Month])</f>
        <v>10</v>
      </c>
    </row>
    <row r="1078" spans="1:10" x14ac:dyDescent="0.35">
      <c r="A1078">
        <v>10657</v>
      </c>
      <c r="B1078">
        <v>47</v>
      </c>
      <c r="C1078">
        <v>9.5</v>
      </c>
      <c r="D1078">
        <v>10</v>
      </c>
      <c r="E1078">
        <v>0</v>
      </c>
      <c r="F1078">
        <v>95</v>
      </c>
      <c r="G1078" t="str">
        <f>VLOOKUP(VLOOKUP(order_details[[#This Row],[ProductID]], products[], 4, FALSE), categories[], 2, FALSE)</f>
        <v>Confections</v>
      </c>
      <c r="H1078">
        <f>VLOOKUP(order_details[[#This Row],[ProductID]], products[], 4, FALSE)</f>
        <v>3</v>
      </c>
      <c r="I1078" t="str">
        <f>VLOOKUP(order_details[[#This Row],[OrderID]], orders[[OrderID]:[ShipCountry]], 14, FALSE)</f>
        <v>USA</v>
      </c>
      <c r="J1078" s="1">
        <f>_xlfn.XLOOKUP(order_details[[#This Row],[OrderID]], orders[OrderID], orders[Month])</f>
        <v>10</v>
      </c>
    </row>
    <row r="1079" spans="1:10" x14ac:dyDescent="0.35">
      <c r="A1079">
        <v>10657</v>
      </c>
      <c r="B1079">
        <v>56</v>
      </c>
      <c r="C1079">
        <v>38</v>
      </c>
      <c r="D1079">
        <v>45</v>
      </c>
      <c r="E1079">
        <v>0</v>
      </c>
      <c r="F1079">
        <v>1710</v>
      </c>
      <c r="G1079" t="str">
        <f>VLOOKUP(VLOOKUP(order_details[[#This Row],[ProductID]], products[], 4, FALSE), categories[], 2, FALSE)</f>
        <v>Grains/Cereals</v>
      </c>
      <c r="H1079">
        <f>VLOOKUP(order_details[[#This Row],[ProductID]], products[], 4, FALSE)</f>
        <v>5</v>
      </c>
      <c r="I1079" t="str">
        <f>VLOOKUP(order_details[[#This Row],[OrderID]], orders[[OrderID]:[ShipCountry]], 14, FALSE)</f>
        <v>USA</v>
      </c>
      <c r="J1079" s="1">
        <f>_xlfn.XLOOKUP(order_details[[#This Row],[OrderID]], orders[OrderID], orders[Month])</f>
        <v>10</v>
      </c>
    </row>
    <row r="1080" spans="1:10" x14ac:dyDescent="0.35">
      <c r="A1080">
        <v>10657</v>
      </c>
      <c r="B1080">
        <v>60</v>
      </c>
      <c r="C1080">
        <v>34</v>
      </c>
      <c r="D1080">
        <v>30</v>
      </c>
      <c r="E1080">
        <v>0</v>
      </c>
      <c r="F1080">
        <v>1020</v>
      </c>
      <c r="G1080" t="str">
        <f>VLOOKUP(VLOOKUP(order_details[[#This Row],[ProductID]], products[], 4, FALSE), categories[], 2, FALSE)</f>
        <v>Dairy Products</v>
      </c>
      <c r="H1080">
        <f>VLOOKUP(order_details[[#This Row],[ProductID]], products[], 4, FALSE)</f>
        <v>4</v>
      </c>
      <c r="I1080" t="str">
        <f>VLOOKUP(order_details[[#This Row],[OrderID]], orders[[OrderID]:[ShipCountry]], 14, FALSE)</f>
        <v>USA</v>
      </c>
      <c r="J1080" s="1">
        <f>_xlfn.XLOOKUP(order_details[[#This Row],[OrderID]], orders[OrderID], orders[Month])</f>
        <v>10</v>
      </c>
    </row>
    <row r="1081" spans="1:10" x14ac:dyDescent="0.35">
      <c r="A1081">
        <v>10658</v>
      </c>
      <c r="B1081">
        <v>21</v>
      </c>
      <c r="C1081">
        <v>10</v>
      </c>
      <c r="D1081">
        <v>60</v>
      </c>
      <c r="E1081">
        <v>0</v>
      </c>
      <c r="F1081">
        <v>600</v>
      </c>
      <c r="G1081" t="str">
        <f>VLOOKUP(VLOOKUP(order_details[[#This Row],[ProductID]], products[], 4, FALSE), categories[], 2, FALSE)</f>
        <v>Confections</v>
      </c>
      <c r="H1081">
        <f>VLOOKUP(order_details[[#This Row],[ProductID]], products[], 4, FALSE)</f>
        <v>3</v>
      </c>
      <c r="I1081" t="str">
        <f>VLOOKUP(order_details[[#This Row],[OrderID]], orders[[OrderID]:[ShipCountry]], 14, FALSE)</f>
        <v>Germany</v>
      </c>
      <c r="J1081" s="1">
        <f>_xlfn.XLOOKUP(order_details[[#This Row],[OrderID]], orders[OrderID], orders[Month])</f>
        <v>10</v>
      </c>
    </row>
    <row r="1082" spans="1:10" x14ac:dyDescent="0.35">
      <c r="A1082">
        <v>10658</v>
      </c>
      <c r="B1082">
        <v>40</v>
      </c>
      <c r="C1082">
        <v>18.399999999999999</v>
      </c>
      <c r="D1082">
        <v>70</v>
      </c>
      <c r="E1082">
        <v>0.05</v>
      </c>
      <c r="F1082">
        <v>1223.5999999999999</v>
      </c>
      <c r="G1082" t="str">
        <f>VLOOKUP(VLOOKUP(order_details[[#This Row],[ProductID]], products[], 4, FALSE), categories[], 2, FALSE)</f>
        <v>Seafood</v>
      </c>
      <c r="H1082">
        <f>VLOOKUP(order_details[[#This Row],[ProductID]], products[], 4, FALSE)</f>
        <v>8</v>
      </c>
      <c r="I1082" t="str">
        <f>VLOOKUP(order_details[[#This Row],[OrderID]], orders[[OrderID]:[ShipCountry]], 14, FALSE)</f>
        <v>Germany</v>
      </c>
      <c r="J1082" s="1">
        <f>_xlfn.XLOOKUP(order_details[[#This Row],[OrderID]], orders[OrderID], orders[Month])</f>
        <v>10</v>
      </c>
    </row>
    <row r="1083" spans="1:10" x14ac:dyDescent="0.35">
      <c r="A1083">
        <v>10658</v>
      </c>
      <c r="B1083">
        <v>60</v>
      </c>
      <c r="C1083">
        <v>34</v>
      </c>
      <c r="D1083">
        <v>55</v>
      </c>
      <c r="E1083">
        <v>0.05</v>
      </c>
      <c r="F1083">
        <v>1776.5</v>
      </c>
      <c r="G1083" t="str">
        <f>VLOOKUP(VLOOKUP(order_details[[#This Row],[ProductID]], products[], 4, FALSE), categories[], 2, FALSE)</f>
        <v>Dairy Products</v>
      </c>
      <c r="H1083">
        <f>VLOOKUP(order_details[[#This Row],[ProductID]], products[], 4, FALSE)</f>
        <v>4</v>
      </c>
      <c r="I1083" t="str">
        <f>VLOOKUP(order_details[[#This Row],[OrderID]], orders[[OrderID]:[ShipCountry]], 14, FALSE)</f>
        <v>Germany</v>
      </c>
      <c r="J1083" s="1">
        <f>_xlfn.XLOOKUP(order_details[[#This Row],[OrderID]], orders[OrderID], orders[Month])</f>
        <v>10</v>
      </c>
    </row>
    <row r="1084" spans="1:10" x14ac:dyDescent="0.35">
      <c r="A1084">
        <v>10658</v>
      </c>
      <c r="B1084">
        <v>77</v>
      </c>
      <c r="C1084">
        <v>13</v>
      </c>
      <c r="D1084">
        <v>70</v>
      </c>
      <c r="E1084">
        <v>0.05</v>
      </c>
      <c r="F1084">
        <v>864.5</v>
      </c>
      <c r="G1084" t="str">
        <f>VLOOKUP(VLOOKUP(order_details[[#This Row],[ProductID]], products[], 4, FALSE), categories[], 2, FALSE)</f>
        <v>Condiments</v>
      </c>
      <c r="H1084">
        <f>VLOOKUP(order_details[[#This Row],[ProductID]], products[], 4, FALSE)</f>
        <v>2</v>
      </c>
      <c r="I1084" t="str">
        <f>VLOOKUP(order_details[[#This Row],[OrderID]], orders[[OrderID]:[ShipCountry]], 14, FALSE)</f>
        <v>Germany</v>
      </c>
      <c r="J1084" s="1">
        <f>_xlfn.XLOOKUP(order_details[[#This Row],[OrderID]], orders[OrderID], orders[Month])</f>
        <v>10</v>
      </c>
    </row>
    <row r="1085" spans="1:10" x14ac:dyDescent="0.35">
      <c r="A1085">
        <v>10659</v>
      </c>
      <c r="B1085">
        <v>31</v>
      </c>
      <c r="C1085">
        <v>12.5</v>
      </c>
      <c r="D1085">
        <v>20</v>
      </c>
      <c r="E1085">
        <v>0.05</v>
      </c>
      <c r="F1085">
        <v>237.5</v>
      </c>
      <c r="G1085" t="str">
        <f>VLOOKUP(VLOOKUP(order_details[[#This Row],[ProductID]], products[], 4, FALSE), categories[], 2, FALSE)</f>
        <v>Dairy Products</v>
      </c>
      <c r="H1085">
        <f>VLOOKUP(order_details[[#This Row],[ProductID]], products[], 4, FALSE)</f>
        <v>4</v>
      </c>
      <c r="I1085" t="str">
        <f>VLOOKUP(order_details[[#This Row],[OrderID]], orders[[OrderID]:[ShipCountry]], 14, FALSE)</f>
        <v>Brazil</v>
      </c>
      <c r="J1085" s="1">
        <f>_xlfn.XLOOKUP(order_details[[#This Row],[OrderID]], orders[OrderID], orders[Month])</f>
        <v>10</v>
      </c>
    </row>
    <row r="1086" spans="1:10" x14ac:dyDescent="0.35">
      <c r="A1086">
        <v>10659</v>
      </c>
      <c r="B1086">
        <v>40</v>
      </c>
      <c r="C1086">
        <v>18.399999999999999</v>
      </c>
      <c r="D1086">
        <v>24</v>
      </c>
      <c r="E1086">
        <v>0.05</v>
      </c>
      <c r="F1086">
        <v>419.51999999999992</v>
      </c>
      <c r="G1086" t="str">
        <f>VLOOKUP(VLOOKUP(order_details[[#This Row],[ProductID]], products[], 4, FALSE), categories[], 2, FALSE)</f>
        <v>Seafood</v>
      </c>
      <c r="H1086">
        <f>VLOOKUP(order_details[[#This Row],[ProductID]], products[], 4, FALSE)</f>
        <v>8</v>
      </c>
      <c r="I1086" t="str">
        <f>VLOOKUP(order_details[[#This Row],[OrderID]], orders[[OrderID]:[ShipCountry]], 14, FALSE)</f>
        <v>Brazil</v>
      </c>
      <c r="J1086" s="1">
        <f>_xlfn.XLOOKUP(order_details[[#This Row],[OrderID]], orders[OrderID], orders[Month])</f>
        <v>10</v>
      </c>
    </row>
    <row r="1087" spans="1:10" x14ac:dyDescent="0.35">
      <c r="A1087">
        <v>10659</v>
      </c>
      <c r="B1087">
        <v>70</v>
      </c>
      <c r="C1087">
        <v>15</v>
      </c>
      <c r="D1087">
        <v>40</v>
      </c>
      <c r="E1087">
        <v>0.05</v>
      </c>
      <c r="F1087">
        <v>570</v>
      </c>
      <c r="G1087" t="str">
        <f>VLOOKUP(VLOOKUP(order_details[[#This Row],[ProductID]], products[], 4, FALSE), categories[], 2, FALSE)</f>
        <v>Beverages</v>
      </c>
      <c r="H1087">
        <f>VLOOKUP(order_details[[#This Row],[ProductID]], products[], 4, FALSE)</f>
        <v>1</v>
      </c>
      <c r="I1087" t="str">
        <f>VLOOKUP(order_details[[#This Row],[OrderID]], orders[[OrderID]:[ShipCountry]], 14, FALSE)</f>
        <v>Brazil</v>
      </c>
      <c r="J1087" s="1">
        <f>_xlfn.XLOOKUP(order_details[[#This Row],[OrderID]], orders[OrderID], orders[Month])</f>
        <v>10</v>
      </c>
    </row>
    <row r="1088" spans="1:10" x14ac:dyDescent="0.35">
      <c r="A1088">
        <v>10660</v>
      </c>
      <c r="B1088">
        <v>20</v>
      </c>
      <c r="C1088">
        <v>81</v>
      </c>
      <c r="D1088">
        <v>21</v>
      </c>
      <c r="E1088">
        <v>0</v>
      </c>
      <c r="F1088">
        <v>1701</v>
      </c>
      <c r="G1088" t="str">
        <f>VLOOKUP(VLOOKUP(order_details[[#This Row],[ProductID]], products[], 4, FALSE), categories[], 2, FALSE)</f>
        <v>Confections</v>
      </c>
      <c r="H1088">
        <f>VLOOKUP(order_details[[#This Row],[ProductID]], products[], 4, FALSE)</f>
        <v>3</v>
      </c>
      <c r="I1088" t="str">
        <f>VLOOKUP(order_details[[#This Row],[OrderID]], orders[[OrderID]:[ShipCountry]], 14, FALSE)</f>
        <v>USA</v>
      </c>
      <c r="J1088" s="1">
        <f>_xlfn.XLOOKUP(order_details[[#This Row],[OrderID]], orders[OrderID], orders[Month])</f>
        <v>10</v>
      </c>
    </row>
    <row r="1089" spans="1:10" x14ac:dyDescent="0.35">
      <c r="A1089">
        <v>10661</v>
      </c>
      <c r="B1089">
        <v>39</v>
      </c>
      <c r="C1089">
        <v>18</v>
      </c>
      <c r="D1089">
        <v>3</v>
      </c>
      <c r="E1089">
        <v>0.2</v>
      </c>
      <c r="F1089">
        <v>43.2</v>
      </c>
      <c r="G1089" t="str">
        <f>VLOOKUP(VLOOKUP(order_details[[#This Row],[ProductID]], products[], 4, FALSE), categories[], 2, FALSE)</f>
        <v>Beverages</v>
      </c>
      <c r="H1089">
        <f>VLOOKUP(order_details[[#This Row],[ProductID]], products[], 4, FALSE)</f>
        <v>1</v>
      </c>
      <c r="I1089" t="str">
        <f>VLOOKUP(order_details[[#This Row],[OrderID]], orders[[OrderID]:[ShipCountry]], 14, FALSE)</f>
        <v>Ireland</v>
      </c>
      <c r="J1089" s="1">
        <f>_xlfn.XLOOKUP(order_details[[#This Row],[OrderID]], orders[OrderID], orders[Month])</f>
        <v>10</v>
      </c>
    </row>
    <row r="1090" spans="1:10" x14ac:dyDescent="0.35">
      <c r="A1090">
        <v>10661</v>
      </c>
      <c r="B1090">
        <v>58</v>
      </c>
      <c r="C1090">
        <v>13.25</v>
      </c>
      <c r="D1090">
        <v>49</v>
      </c>
      <c r="E1090">
        <v>0.2</v>
      </c>
      <c r="F1090">
        <v>519.4</v>
      </c>
      <c r="G1090" t="str">
        <f>VLOOKUP(VLOOKUP(order_details[[#This Row],[ProductID]], products[], 4, FALSE), categories[], 2, FALSE)</f>
        <v>Seafood</v>
      </c>
      <c r="H1090">
        <f>VLOOKUP(order_details[[#This Row],[ProductID]], products[], 4, FALSE)</f>
        <v>8</v>
      </c>
      <c r="I1090" t="str">
        <f>VLOOKUP(order_details[[#This Row],[OrderID]], orders[[OrderID]:[ShipCountry]], 14, FALSE)</f>
        <v>Ireland</v>
      </c>
      <c r="J1090" s="1">
        <f>_xlfn.XLOOKUP(order_details[[#This Row],[OrderID]], orders[OrderID], orders[Month])</f>
        <v>10</v>
      </c>
    </row>
    <row r="1091" spans="1:10" x14ac:dyDescent="0.35">
      <c r="A1091">
        <v>10662</v>
      </c>
      <c r="B1091">
        <v>68</v>
      </c>
      <c r="C1091">
        <v>12.5</v>
      </c>
      <c r="D1091">
        <v>10</v>
      </c>
      <c r="E1091">
        <v>0</v>
      </c>
      <c r="F1091">
        <v>125</v>
      </c>
      <c r="G1091" t="str">
        <f>VLOOKUP(VLOOKUP(order_details[[#This Row],[ProductID]], products[], 4, FALSE), categories[], 2, FALSE)</f>
        <v>Confections</v>
      </c>
      <c r="H1091">
        <f>VLOOKUP(order_details[[#This Row],[ProductID]], products[], 4, FALSE)</f>
        <v>3</v>
      </c>
      <c r="I1091" t="str">
        <f>VLOOKUP(order_details[[#This Row],[OrderID]], orders[[OrderID]:[ShipCountry]], 14, FALSE)</f>
        <v>USA</v>
      </c>
      <c r="J1091" s="1">
        <f>_xlfn.XLOOKUP(order_details[[#This Row],[OrderID]], orders[OrderID], orders[Month])</f>
        <v>10</v>
      </c>
    </row>
    <row r="1092" spans="1:10" x14ac:dyDescent="0.35">
      <c r="A1092">
        <v>10663</v>
      </c>
      <c r="B1092">
        <v>40</v>
      </c>
      <c r="C1092">
        <v>18.399999999999999</v>
      </c>
      <c r="D1092">
        <v>30</v>
      </c>
      <c r="E1092">
        <v>0.05</v>
      </c>
      <c r="F1092">
        <v>524.4</v>
      </c>
      <c r="G1092" t="str">
        <f>VLOOKUP(VLOOKUP(order_details[[#This Row],[ProductID]], products[], 4, FALSE), categories[], 2, FALSE)</f>
        <v>Seafood</v>
      </c>
      <c r="H1092">
        <f>VLOOKUP(order_details[[#This Row],[ProductID]], products[], 4, FALSE)</f>
        <v>8</v>
      </c>
      <c r="I1092" t="str">
        <f>VLOOKUP(order_details[[#This Row],[OrderID]], orders[[OrderID]:[ShipCountry]], 14, FALSE)</f>
        <v>France</v>
      </c>
      <c r="J1092" s="1">
        <f>_xlfn.XLOOKUP(order_details[[#This Row],[OrderID]], orders[OrderID], orders[Month])</f>
        <v>10</v>
      </c>
    </row>
    <row r="1093" spans="1:10" x14ac:dyDescent="0.35">
      <c r="A1093">
        <v>10663</v>
      </c>
      <c r="B1093">
        <v>42</v>
      </c>
      <c r="C1093">
        <v>14</v>
      </c>
      <c r="D1093">
        <v>30</v>
      </c>
      <c r="E1093">
        <v>0.05</v>
      </c>
      <c r="F1093">
        <v>399</v>
      </c>
      <c r="G1093" t="str">
        <f>VLOOKUP(VLOOKUP(order_details[[#This Row],[ProductID]], products[], 4, FALSE), categories[], 2, FALSE)</f>
        <v>Grains/Cereals</v>
      </c>
      <c r="H1093">
        <f>VLOOKUP(order_details[[#This Row],[ProductID]], products[], 4, FALSE)</f>
        <v>5</v>
      </c>
      <c r="I1093" t="str">
        <f>VLOOKUP(order_details[[#This Row],[OrderID]], orders[[OrderID]:[ShipCountry]], 14, FALSE)</f>
        <v>France</v>
      </c>
      <c r="J1093" s="1">
        <f>_xlfn.XLOOKUP(order_details[[#This Row],[OrderID]], orders[OrderID], orders[Month])</f>
        <v>10</v>
      </c>
    </row>
    <row r="1094" spans="1:10" x14ac:dyDescent="0.35">
      <c r="A1094">
        <v>10663</v>
      </c>
      <c r="B1094">
        <v>51</v>
      </c>
      <c r="C1094">
        <v>53</v>
      </c>
      <c r="D1094">
        <v>20</v>
      </c>
      <c r="E1094">
        <v>0.05</v>
      </c>
      <c r="F1094">
        <v>1007</v>
      </c>
      <c r="G1094" t="str">
        <f>VLOOKUP(VLOOKUP(order_details[[#This Row],[ProductID]], products[], 4, FALSE), categories[], 2, FALSE)</f>
        <v>Produce</v>
      </c>
      <c r="H1094">
        <f>VLOOKUP(order_details[[#This Row],[ProductID]], products[], 4, FALSE)</f>
        <v>7</v>
      </c>
      <c r="I1094" t="str">
        <f>VLOOKUP(order_details[[#This Row],[OrderID]], orders[[OrderID]:[ShipCountry]], 14, FALSE)</f>
        <v>France</v>
      </c>
      <c r="J1094" s="1">
        <f>_xlfn.XLOOKUP(order_details[[#This Row],[OrderID]], orders[OrderID], orders[Month])</f>
        <v>10</v>
      </c>
    </row>
    <row r="1095" spans="1:10" x14ac:dyDescent="0.35">
      <c r="A1095">
        <v>10664</v>
      </c>
      <c r="B1095">
        <v>10</v>
      </c>
      <c r="C1095">
        <v>31</v>
      </c>
      <c r="D1095">
        <v>24</v>
      </c>
      <c r="E1095">
        <v>0.15</v>
      </c>
      <c r="F1095">
        <v>632.4</v>
      </c>
      <c r="G1095" t="str">
        <f>VLOOKUP(VLOOKUP(order_details[[#This Row],[ProductID]], products[], 4, FALSE), categories[], 2, FALSE)</f>
        <v>Seafood</v>
      </c>
      <c r="H1095">
        <f>VLOOKUP(order_details[[#This Row],[ProductID]], products[], 4, FALSE)</f>
        <v>8</v>
      </c>
      <c r="I1095" t="str">
        <f>VLOOKUP(order_details[[#This Row],[OrderID]], orders[[OrderID]:[ShipCountry]], 14, FALSE)</f>
        <v>Portugal</v>
      </c>
      <c r="J1095" s="1">
        <f>_xlfn.XLOOKUP(order_details[[#This Row],[OrderID]], orders[OrderID], orders[Month])</f>
        <v>10</v>
      </c>
    </row>
    <row r="1096" spans="1:10" x14ac:dyDescent="0.35">
      <c r="A1096">
        <v>10664</v>
      </c>
      <c r="B1096">
        <v>56</v>
      </c>
      <c r="C1096">
        <v>38</v>
      </c>
      <c r="D1096">
        <v>12</v>
      </c>
      <c r="E1096">
        <v>0.15</v>
      </c>
      <c r="F1096">
        <v>387.59999999999997</v>
      </c>
      <c r="G1096" t="str">
        <f>VLOOKUP(VLOOKUP(order_details[[#This Row],[ProductID]], products[], 4, FALSE), categories[], 2, FALSE)</f>
        <v>Grains/Cereals</v>
      </c>
      <c r="H1096">
        <f>VLOOKUP(order_details[[#This Row],[ProductID]], products[], 4, FALSE)</f>
        <v>5</v>
      </c>
      <c r="I1096" t="str">
        <f>VLOOKUP(order_details[[#This Row],[OrderID]], orders[[OrderID]:[ShipCountry]], 14, FALSE)</f>
        <v>Portugal</v>
      </c>
      <c r="J1096" s="1">
        <f>_xlfn.XLOOKUP(order_details[[#This Row],[OrderID]], orders[OrderID], orders[Month])</f>
        <v>10</v>
      </c>
    </row>
    <row r="1097" spans="1:10" x14ac:dyDescent="0.35">
      <c r="A1097">
        <v>10664</v>
      </c>
      <c r="B1097">
        <v>65</v>
      </c>
      <c r="C1097">
        <v>21.05</v>
      </c>
      <c r="D1097">
        <v>15</v>
      </c>
      <c r="E1097">
        <v>0.15</v>
      </c>
      <c r="F1097">
        <v>268.38749999999999</v>
      </c>
      <c r="G1097" t="str">
        <f>VLOOKUP(VLOOKUP(order_details[[#This Row],[ProductID]], products[], 4, FALSE), categories[], 2, FALSE)</f>
        <v>Condiments</v>
      </c>
      <c r="H1097">
        <f>VLOOKUP(order_details[[#This Row],[ProductID]], products[], 4, FALSE)</f>
        <v>2</v>
      </c>
      <c r="I1097" t="str">
        <f>VLOOKUP(order_details[[#This Row],[OrderID]], orders[[OrderID]:[ShipCountry]], 14, FALSE)</f>
        <v>Portugal</v>
      </c>
      <c r="J1097" s="1">
        <f>_xlfn.XLOOKUP(order_details[[#This Row],[OrderID]], orders[OrderID], orders[Month])</f>
        <v>10</v>
      </c>
    </row>
    <row r="1098" spans="1:10" x14ac:dyDescent="0.35">
      <c r="A1098">
        <v>10665</v>
      </c>
      <c r="B1098">
        <v>51</v>
      </c>
      <c r="C1098">
        <v>53</v>
      </c>
      <c r="D1098">
        <v>20</v>
      </c>
      <c r="E1098">
        <v>0</v>
      </c>
      <c r="F1098">
        <v>1060</v>
      </c>
      <c r="G1098" t="str">
        <f>VLOOKUP(VLOOKUP(order_details[[#This Row],[ProductID]], products[], 4, FALSE), categories[], 2, FALSE)</f>
        <v>Produce</v>
      </c>
      <c r="H1098">
        <f>VLOOKUP(order_details[[#This Row],[ProductID]], products[], 4, FALSE)</f>
        <v>7</v>
      </c>
      <c r="I1098" t="str">
        <f>VLOOKUP(order_details[[#This Row],[OrderID]], orders[[OrderID]:[ShipCountry]], 14, FALSE)</f>
        <v>USA</v>
      </c>
      <c r="J1098" s="1">
        <f>_xlfn.XLOOKUP(order_details[[#This Row],[OrderID]], orders[OrderID], orders[Month])</f>
        <v>10</v>
      </c>
    </row>
    <row r="1099" spans="1:10" x14ac:dyDescent="0.35">
      <c r="A1099">
        <v>10665</v>
      </c>
      <c r="B1099">
        <v>59</v>
      </c>
      <c r="C1099">
        <v>55</v>
      </c>
      <c r="D1099">
        <v>1</v>
      </c>
      <c r="E1099">
        <v>0</v>
      </c>
      <c r="F1099">
        <v>55</v>
      </c>
      <c r="G1099" t="str">
        <f>VLOOKUP(VLOOKUP(order_details[[#This Row],[ProductID]], products[], 4, FALSE), categories[], 2, FALSE)</f>
        <v>Dairy Products</v>
      </c>
      <c r="H1099">
        <f>VLOOKUP(order_details[[#This Row],[ProductID]], products[], 4, FALSE)</f>
        <v>4</v>
      </c>
      <c r="I1099" t="str">
        <f>VLOOKUP(order_details[[#This Row],[OrderID]], orders[[OrderID]:[ShipCountry]], 14, FALSE)</f>
        <v>USA</v>
      </c>
      <c r="J1099" s="1">
        <f>_xlfn.XLOOKUP(order_details[[#This Row],[OrderID]], orders[OrderID], orders[Month])</f>
        <v>10</v>
      </c>
    </row>
    <row r="1100" spans="1:10" x14ac:dyDescent="0.35">
      <c r="A1100">
        <v>10665</v>
      </c>
      <c r="B1100">
        <v>76</v>
      </c>
      <c r="C1100">
        <v>18</v>
      </c>
      <c r="D1100">
        <v>10</v>
      </c>
      <c r="E1100">
        <v>0</v>
      </c>
      <c r="F1100">
        <v>180</v>
      </c>
      <c r="G1100" t="str">
        <f>VLOOKUP(VLOOKUP(order_details[[#This Row],[ProductID]], products[], 4, FALSE), categories[], 2, FALSE)</f>
        <v>Beverages</v>
      </c>
      <c r="H1100">
        <f>VLOOKUP(order_details[[#This Row],[ProductID]], products[], 4, FALSE)</f>
        <v>1</v>
      </c>
      <c r="I1100" t="str">
        <f>VLOOKUP(order_details[[#This Row],[OrderID]], orders[[OrderID]:[ShipCountry]], 14, FALSE)</f>
        <v>USA</v>
      </c>
      <c r="J1100" s="1">
        <f>_xlfn.XLOOKUP(order_details[[#This Row],[OrderID]], orders[OrderID], orders[Month])</f>
        <v>10</v>
      </c>
    </row>
    <row r="1101" spans="1:10" x14ac:dyDescent="0.35">
      <c r="A1101">
        <v>10666</v>
      </c>
      <c r="B1101">
        <v>29</v>
      </c>
      <c r="C1101">
        <v>123.79</v>
      </c>
      <c r="D1101">
        <v>36</v>
      </c>
      <c r="E1101">
        <v>0</v>
      </c>
      <c r="F1101">
        <v>4456.4400000000005</v>
      </c>
      <c r="G1101" t="str">
        <f>VLOOKUP(VLOOKUP(order_details[[#This Row],[ProductID]], products[], 4, FALSE), categories[], 2, FALSE)</f>
        <v>Meat/Poultry</v>
      </c>
      <c r="H1101">
        <f>VLOOKUP(order_details[[#This Row],[ProductID]], products[], 4, FALSE)</f>
        <v>6</v>
      </c>
      <c r="I1101" t="str">
        <f>VLOOKUP(order_details[[#This Row],[OrderID]], orders[[OrderID]:[ShipCountry]], 14, FALSE)</f>
        <v>Switzerland</v>
      </c>
      <c r="J1101" s="1">
        <f>_xlfn.XLOOKUP(order_details[[#This Row],[OrderID]], orders[OrderID], orders[Month])</f>
        <v>10</v>
      </c>
    </row>
    <row r="1102" spans="1:10" x14ac:dyDescent="0.35">
      <c r="A1102">
        <v>10666</v>
      </c>
      <c r="B1102">
        <v>65</v>
      </c>
      <c r="C1102">
        <v>21.05</v>
      </c>
      <c r="D1102">
        <v>10</v>
      </c>
      <c r="E1102">
        <v>0</v>
      </c>
      <c r="F1102">
        <v>210.5</v>
      </c>
      <c r="G1102" t="str">
        <f>VLOOKUP(VLOOKUP(order_details[[#This Row],[ProductID]], products[], 4, FALSE), categories[], 2, FALSE)</f>
        <v>Condiments</v>
      </c>
      <c r="H1102">
        <f>VLOOKUP(order_details[[#This Row],[ProductID]], products[], 4, FALSE)</f>
        <v>2</v>
      </c>
      <c r="I1102" t="str">
        <f>VLOOKUP(order_details[[#This Row],[OrderID]], orders[[OrderID]:[ShipCountry]], 14, FALSE)</f>
        <v>Switzerland</v>
      </c>
      <c r="J1102" s="1">
        <f>_xlfn.XLOOKUP(order_details[[#This Row],[OrderID]], orders[OrderID], orders[Month])</f>
        <v>10</v>
      </c>
    </row>
    <row r="1103" spans="1:10" x14ac:dyDescent="0.35">
      <c r="A1103">
        <v>10667</v>
      </c>
      <c r="B1103">
        <v>69</v>
      </c>
      <c r="C1103">
        <v>36</v>
      </c>
      <c r="D1103">
        <v>45</v>
      </c>
      <c r="E1103">
        <v>0.2</v>
      </c>
      <c r="F1103">
        <v>1296</v>
      </c>
      <c r="G1103" t="str">
        <f>VLOOKUP(VLOOKUP(order_details[[#This Row],[ProductID]], products[], 4, FALSE), categories[], 2, FALSE)</f>
        <v>Dairy Products</v>
      </c>
      <c r="H1103">
        <f>VLOOKUP(order_details[[#This Row],[ProductID]], products[], 4, FALSE)</f>
        <v>4</v>
      </c>
      <c r="I1103" t="str">
        <f>VLOOKUP(order_details[[#This Row],[OrderID]], orders[[OrderID]:[ShipCountry]], 14, FALSE)</f>
        <v>Austria</v>
      </c>
      <c r="J1103" s="1">
        <f>_xlfn.XLOOKUP(order_details[[#This Row],[OrderID]], orders[OrderID], orders[Month])</f>
        <v>10</v>
      </c>
    </row>
    <row r="1104" spans="1:10" x14ac:dyDescent="0.35">
      <c r="A1104">
        <v>10667</v>
      </c>
      <c r="B1104">
        <v>71</v>
      </c>
      <c r="C1104">
        <v>21.5</v>
      </c>
      <c r="D1104">
        <v>14</v>
      </c>
      <c r="E1104">
        <v>0.2</v>
      </c>
      <c r="F1104">
        <v>240.8</v>
      </c>
      <c r="G1104" t="str">
        <f>VLOOKUP(VLOOKUP(order_details[[#This Row],[ProductID]], products[], 4, FALSE), categories[], 2, FALSE)</f>
        <v>Dairy Products</v>
      </c>
      <c r="H1104">
        <f>VLOOKUP(order_details[[#This Row],[ProductID]], products[], 4, FALSE)</f>
        <v>4</v>
      </c>
      <c r="I1104" t="str">
        <f>VLOOKUP(order_details[[#This Row],[OrderID]], orders[[OrderID]:[ShipCountry]], 14, FALSE)</f>
        <v>Austria</v>
      </c>
      <c r="J1104" s="1">
        <f>_xlfn.XLOOKUP(order_details[[#This Row],[OrderID]], orders[OrderID], orders[Month])</f>
        <v>10</v>
      </c>
    </row>
    <row r="1105" spans="1:10" x14ac:dyDescent="0.35">
      <c r="A1105">
        <v>10668</v>
      </c>
      <c r="B1105">
        <v>31</v>
      </c>
      <c r="C1105">
        <v>12.5</v>
      </c>
      <c r="D1105">
        <v>8</v>
      </c>
      <c r="E1105">
        <v>0.1</v>
      </c>
      <c r="F1105">
        <v>90</v>
      </c>
      <c r="G1105" t="str">
        <f>VLOOKUP(VLOOKUP(order_details[[#This Row],[ProductID]], products[], 4, FALSE), categories[], 2, FALSE)</f>
        <v>Dairy Products</v>
      </c>
      <c r="H1105">
        <f>VLOOKUP(order_details[[#This Row],[ProductID]], products[], 4, FALSE)</f>
        <v>4</v>
      </c>
      <c r="I1105" t="str">
        <f>VLOOKUP(order_details[[#This Row],[OrderID]], orders[[OrderID]:[ShipCountry]], 14, FALSE)</f>
        <v>Germany</v>
      </c>
      <c r="J1105" s="1">
        <f>_xlfn.XLOOKUP(order_details[[#This Row],[OrderID]], orders[OrderID], orders[Month])</f>
        <v>10</v>
      </c>
    </row>
    <row r="1106" spans="1:10" x14ac:dyDescent="0.35">
      <c r="A1106">
        <v>10668</v>
      </c>
      <c r="B1106">
        <v>55</v>
      </c>
      <c r="C1106">
        <v>24</v>
      </c>
      <c r="D1106">
        <v>4</v>
      </c>
      <c r="E1106">
        <v>0.1</v>
      </c>
      <c r="F1106">
        <v>86.4</v>
      </c>
      <c r="G1106" t="str">
        <f>VLOOKUP(VLOOKUP(order_details[[#This Row],[ProductID]], products[], 4, FALSE), categories[], 2, FALSE)</f>
        <v>Meat/Poultry</v>
      </c>
      <c r="H1106">
        <f>VLOOKUP(order_details[[#This Row],[ProductID]], products[], 4, FALSE)</f>
        <v>6</v>
      </c>
      <c r="I1106" t="str">
        <f>VLOOKUP(order_details[[#This Row],[OrderID]], orders[[OrderID]:[ShipCountry]], 14, FALSE)</f>
        <v>Germany</v>
      </c>
      <c r="J1106" s="1">
        <f>_xlfn.XLOOKUP(order_details[[#This Row],[OrderID]], orders[OrderID], orders[Month])</f>
        <v>10</v>
      </c>
    </row>
    <row r="1107" spans="1:10" x14ac:dyDescent="0.35">
      <c r="A1107">
        <v>10668</v>
      </c>
      <c r="B1107">
        <v>64</v>
      </c>
      <c r="C1107">
        <v>33.25</v>
      </c>
      <c r="D1107">
        <v>15</v>
      </c>
      <c r="E1107">
        <v>0.1</v>
      </c>
      <c r="F1107">
        <v>448.875</v>
      </c>
      <c r="G1107" t="str">
        <f>VLOOKUP(VLOOKUP(order_details[[#This Row],[ProductID]], products[], 4, FALSE), categories[], 2, FALSE)</f>
        <v>Grains/Cereals</v>
      </c>
      <c r="H1107">
        <f>VLOOKUP(order_details[[#This Row],[ProductID]], products[], 4, FALSE)</f>
        <v>5</v>
      </c>
      <c r="I1107" t="str">
        <f>VLOOKUP(order_details[[#This Row],[OrderID]], orders[[OrderID]:[ShipCountry]], 14, FALSE)</f>
        <v>Germany</v>
      </c>
      <c r="J1107" s="1">
        <f>_xlfn.XLOOKUP(order_details[[#This Row],[OrderID]], orders[OrderID], orders[Month])</f>
        <v>10</v>
      </c>
    </row>
    <row r="1108" spans="1:10" x14ac:dyDescent="0.35">
      <c r="A1108">
        <v>10669</v>
      </c>
      <c r="B1108">
        <v>36</v>
      </c>
      <c r="C1108">
        <v>19</v>
      </c>
      <c r="D1108">
        <v>30</v>
      </c>
      <c r="E1108">
        <v>0</v>
      </c>
      <c r="F1108">
        <v>570</v>
      </c>
      <c r="G1108" t="str">
        <f>VLOOKUP(VLOOKUP(order_details[[#This Row],[ProductID]], products[], 4, FALSE), categories[], 2, FALSE)</f>
        <v>Seafood</v>
      </c>
      <c r="H1108">
        <f>VLOOKUP(order_details[[#This Row],[ProductID]], products[], 4, FALSE)</f>
        <v>8</v>
      </c>
      <c r="I1108" t="str">
        <f>VLOOKUP(order_details[[#This Row],[OrderID]], orders[[OrderID]:[ShipCountry]], 14, FALSE)</f>
        <v>Denmark</v>
      </c>
      <c r="J1108" s="1">
        <f>_xlfn.XLOOKUP(order_details[[#This Row],[OrderID]], orders[OrderID], orders[Month])</f>
        <v>10</v>
      </c>
    </row>
    <row r="1109" spans="1:10" x14ac:dyDescent="0.35">
      <c r="A1109">
        <v>10670</v>
      </c>
      <c r="B1109">
        <v>23</v>
      </c>
      <c r="C1109">
        <v>9</v>
      </c>
      <c r="D1109">
        <v>32</v>
      </c>
      <c r="E1109">
        <v>0</v>
      </c>
      <c r="F1109">
        <v>288</v>
      </c>
      <c r="G1109" t="str">
        <f>VLOOKUP(VLOOKUP(order_details[[#This Row],[ProductID]], products[], 4, FALSE), categories[], 2, FALSE)</f>
        <v>Grains/Cereals</v>
      </c>
      <c r="H1109">
        <f>VLOOKUP(order_details[[#This Row],[ProductID]], products[], 4, FALSE)</f>
        <v>5</v>
      </c>
      <c r="I1109" t="str">
        <f>VLOOKUP(order_details[[#This Row],[OrderID]], orders[[OrderID]:[ShipCountry]], 14, FALSE)</f>
        <v>Germany</v>
      </c>
      <c r="J1109" s="1">
        <f>_xlfn.XLOOKUP(order_details[[#This Row],[OrderID]], orders[OrderID], orders[Month])</f>
        <v>10</v>
      </c>
    </row>
    <row r="1110" spans="1:10" x14ac:dyDescent="0.35">
      <c r="A1110">
        <v>10670</v>
      </c>
      <c r="B1110">
        <v>46</v>
      </c>
      <c r="C1110">
        <v>12</v>
      </c>
      <c r="D1110">
        <v>60</v>
      </c>
      <c r="E1110">
        <v>0</v>
      </c>
      <c r="F1110">
        <v>720</v>
      </c>
      <c r="G1110" t="str">
        <f>VLOOKUP(VLOOKUP(order_details[[#This Row],[ProductID]], products[], 4, FALSE), categories[], 2, FALSE)</f>
        <v>Seafood</v>
      </c>
      <c r="H1110">
        <f>VLOOKUP(order_details[[#This Row],[ProductID]], products[], 4, FALSE)</f>
        <v>8</v>
      </c>
      <c r="I1110" t="str">
        <f>VLOOKUP(order_details[[#This Row],[OrderID]], orders[[OrderID]:[ShipCountry]], 14, FALSE)</f>
        <v>Germany</v>
      </c>
      <c r="J1110" s="1">
        <f>_xlfn.XLOOKUP(order_details[[#This Row],[OrderID]], orders[OrderID], orders[Month])</f>
        <v>10</v>
      </c>
    </row>
    <row r="1111" spans="1:10" x14ac:dyDescent="0.35">
      <c r="A1111">
        <v>10670</v>
      </c>
      <c r="B1111">
        <v>67</v>
      </c>
      <c r="C1111">
        <v>14</v>
      </c>
      <c r="D1111">
        <v>25</v>
      </c>
      <c r="E1111">
        <v>0</v>
      </c>
      <c r="F1111">
        <v>350</v>
      </c>
      <c r="G1111" t="str">
        <f>VLOOKUP(VLOOKUP(order_details[[#This Row],[ProductID]], products[], 4, FALSE), categories[], 2, FALSE)</f>
        <v>Beverages</v>
      </c>
      <c r="H1111">
        <f>VLOOKUP(order_details[[#This Row],[ProductID]], products[], 4, FALSE)</f>
        <v>1</v>
      </c>
      <c r="I1111" t="str">
        <f>VLOOKUP(order_details[[#This Row],[OrderID]], orders[[OrderID]:[ShipCountry]], 14, FALSE)</f>
        <v>Germany</v>
      </c>
      <c r="J1111" s="1">
        <f>_xlfn.XLOOKUP(order_details[[#This Row],[OrderID]], orders[OrderID], orders[Month])</f>
        <v>10</v>
      </c>
    </row>
    <row r="1112" spans="1:10" x14ac:dyDescent="0.35">
      <c r="A1112">
        <v>10670</v>
      </c>
      <c r="B1112">
        <v>73</v>
      </c>
      <c r="C1112">
        <v>15</v>
      </c>
      <c r="D1112">
        <v>50</v>
      </c>
      <c r="E1112">
        <v>0</v>
      </c>
      <c r="F1112">
        <v>750</v>
      </c>
      <c r="G1112" t="str">
        <f>VLOOKUP(VLOOKUP(order_details[[#This Row],[ProductID]], products[], 4, FALSE), categories[], 2, FALSE)</f>
        <v>Seafood</v>
      </c>
      <c r="H1112">
        <f>VLOOKUP(order_details[[#This Row],[ProductID]], products[], 4, FALSE)</f>
        <v>8</v>
      </c>
      <c r="I1112" t="str">
        <f>VLOOKUP(order_details[[#This Row],[OrderID]], orders[[OrderID]:[ShipCountry]], 14, FALSE)</f>
        <v>Germany</v>
      </c>
      <c r="J1112" s="1">
        <f>_xlfn.XLOOKUP(order_details[[#This Row],[OrderID]], orders[OrderID], orders[Month])</f>
        <v>10</v>
      </c>
    </row>
    <row r="1113" spans="1:10" x14ac:dyDescent="0.35">
      <c r="A1113">
        <v>10670</v>
      </c>
      <c r="B1113">
        <v>75</v>
      </c>
      <c r="C1113">
        <v>7.75</v>
      </c>
      <c r="D1113">
        <v>25</v>
      </c>
      <c r="E1113">
        <v>0</v>
      </c>
      <c r="F1113">
        <v>193.75</v>
      </c>
      <c r="G1113" t="str">
        <f>VLOOKUP(VLOOKUP(order_details[[#This Row],[ProductID]], products[], 4, FALSE), categories[], 2, FALSE)</f>
        <v>Beverages</v>
      </c>
      <c r="H1113">
        <f>VLOOKUP(order_details[[#This Row],[ProductID]], products[], 4, FALSE)</f>
        <v>1</v>
      </c>
      <c r="I1113" t="str">
        <f>VLOOKUP(order_details[[#This Row],[OrderID]], orders[[OrderID]:[ShipCountry]], 14, FALSE)</f>
        <v>Germany</v>
      </c>
      <c r="J1113" s="1">
        <f>_xlfn.XLOOKUP(order_details[[#This Row],[OrderID]], orders[OrderID], orders[Month])</f>
        <v>10</v>
      </c>
    </row>
    <row r="1114" spans="1:10" x14ac:dyDescent="0.35">
      <c r="A1114">
        <v>10671</v>
      </c>
      <c r="B1114">
        <v>16</v>
      </c>
      <c r="C1114">
        <v>17.45</v>
      </c>
      <c r="D1114">
        <v>10</v>
      </c>
      <c r="E1114">
        <v>0</v>
      </c>
      <c r="F1114">
        <v>174.5</v>
      </c>
      <c r="G1114" t="str">
        <f>VLOOKUP(VLOOKUP(order_details[[#This Row],[ProductID]], products[], 4, FALSE), categories[], 2, FALSE)</f>
        <v>Confections</v>
      </c>
      <c r="H1114">
        <f>VLOOKUP(order_details[[#This Row],[ProductID]], products[], 4, FALSE)</f>
        <v>3</v>
      </c>
      <c r="I1114" t="str">
        <f>VLOOKUP(order_details[[#This Row],[OrderID]], orders[[OrderID]:[ShipCountry]], 14, FALSE)</f>
        <v>France</v>
      </c>
      <c r="J1114" s="1">
        <f>_xlfn.XLOOKUP(order_details[[#This Row],[OrderID]], orders[OrderID], orders[Month])</f>
        <v>10</v>
      </c>
    </row>
    <row r="1115" spans="1:10" x14ac:dyDescent="0.35">
      <c r="A1115">
        <v>10671</v>
      </c>
      <c r="B1115">
        <v>62</v>
      </c>
      <c r="C1115">
        <v>49.3</v>
      </c>
      <c r="D1115">
        <v>10</v>
      </c>
      <c r="E1115">
        <v>0</v>
      </c>
      <c r="F1115">
        <v>493</v>
      </c>
      <c r="G1115" t="str">
        <f>VLOOKUP(VLOOKUP(order_details[[#This Row],[ProductID]], products[], 4, FALSE), categories[], 2, FALSE)</f>
        <v>Confections</v>
      </c>
      <c r="H1115">
        <f>VLOOKUP(order_details[[#This Row],[ProductID]], products[], 4, FALSE)</f>
        <v>3</v>
      </c>
      <c r="I1115" t="str">
        <f>VLOOKUP(order_details[[#This Row],[OrderID]], orders[[OrderID]:[ShipCountry]], 14, FALSE)</f>
        <v>France</v>
      </c>
      <c r="J1115" s="1">
        <f>_xlfn.XLOOKUP(order_details[[#This Row],[OrderID]], orders[OrderID], orders[Month])</f>
        <v>10</v>
      </c>
    </row>
    <row r="1116" spans="1:10" x14ac:dyDescent="0.35">
      <c r="A1116">
        <v>10671</v>
      </c>
      <c r="B1116">
        <v>65</v>
      </c>
      <c r="C1116">
        <v>21.05</v>
      </c>
      <c r="D1116">
        <v>12</v>
      </c>
      <c r="E1116">
        <v>0</v>
      </c>
      <c r="F1116">
        <v>252.60000000000002</v>
      </c>
      <c r="G1116" t="str">
        <f>VLOOKUP(VLOOKUP(order_details[[#This Row],[ProductID]], products[], 4, FALSE), categories[], 2, FALSE)</f>
        <v>Condiments</v>
      </c>
      <c r="H1116">
        <f>VLOOKUP(order_details[[#This Row],[ProductID]], products[], 4, FALSE)</f>
        <v>2</v>
      </c>
      <c r="I1116" t="str">
        <f>VLOOKUP(order_details[[#This Row],[OrderID]], orders[[OrderID]:[ShipCountry]], 14, FALSE)</f>
        <v>France</v>
      </c>
      <c r="J1116" s="1">
        <f>_xlfn.XLOOKUP(order_details[[#This Row],[OrderID]], orders[OrderID], orders[Month])</f>
        <v>10</v>
      </c>
    </row>
    <row r="1117" spans="1:10" x14ac:dyDescent="0.35">
      <c r="A1117">
        <v>10672</v>
      </c>
      <c r="B1117">
        <v>38</v>
      </c>
      <c r="C1117">
        <v>263.5</v>
      </c>
      <c r="D1117">
        <v>15</v>
      </c>
      <c r="E1117">
        <v>0.1</v>
      </c>
      <c r="F1117">
        <v>3557.25</v>
      </c>
      <c r="G1117" t="str">
        <f>VLOOKUP(VLOOKUP(order_details[[#This Row],[ProductID]], products[], 4, FALSE), categories[], 2, FALSE)</f>
        <v>Beverages</v>
      </c>
      <c r="H1117">
        <f>VLOOKUP(order_details[[#This Row],[ProductID]], products[], 4, FALSE)</f>
        <v>1</v>
      </c>
      <c r="I1117" t="str">
        <f>VLOOKUP(order_details[[#This Row],[OrderID]], orders[[OrderID]:[ShipCountry]], 14, FALSE)</f>
        <v>Sweden</v>
      </c>
      <c r="J1117" s="1">
        <f>_xlfn.XLOOKUP(order_details[[#This Row],[OrderID]], orders[OrderID], orders[Month])</f>
        <v>10</v>
      </c>
    </row>
    <row r="1118" spans="1:10" x14ac:dyDescent="0.35">
      <c r="A1118">
        <v>10672</v>
      </c>
      <c r="B1118">
        <v>71</v>
      </c>
      <c r="C1118">
        <v>21.5</v>
      </c>
      <c r="D1118">
        <v>12</v>
      </c>
      <c r="E1118">
        <v>0</v>
      </c>
      <c r="F1118">
        <v>258</v>
      </c>
      <c r="G1118" t="str">
        <f>VLOOKUP(VLOOKUP(order_details[[#This Row],[ProductID]], products[], 4, FALSE), categories[], 2, FALSE)</f>
        <v>Dairy Products</v>
      </c>
      <c r="H1118">
        <f>VLOOKUP(order_details[[#This Row],[ProductID]], products[], 4, FALSE)</f>
        <v>4</v>
      </c>
      <c r="I1118" t="str">
        <f>VLOOKUP(order_details[[#This Row],[OrderID]], orders[[OrderID]:[ShipCountry]], 14, FALSE)</f>
        <v>Sweden</v>
      </c>
      <c r="J1118" s="1">
        <f>_xlfn.XLOOKUP(order_details[[#This Row],[OrderID]], orders[OrderID], orders[Month])</f>
        <v>10</v>
      </c>
    </row>
    <row r="1119" spans="1:10" x14ac:dyDescent="0.35">
      <c r="A1119">
        <v>10673</v>
      </c>
      <c r="B1119">
        <v>16</v>
      </c>
      <c r="C1119">
        <v>17.45</v>
      </c>
      <c r="D1119">
        <v>3</v>
      </c>
      <c r="E1119">
        <v>0</v>
      </c>
      <c r="F1119">
        <v>52.349999999999994</v>
      </c>
      <c r="G1119" t="str">
        <f>VLOOKUP(VLOOKUP(order_details[[#This Row],[ProductID]], products[], 4, FALSE), categories[], 2, FALSE)</f>
        <v>Confections</v>
      </c>
      <c r="H1119">
        <f>VLOOKUP(order_details[[#This Row],[ProductID]], products[], 4, FALSE)</f>
        <v>3</v>
      </c>
      <c r="I1119" t="str">
        <f>VLOOKUP(order_details[[#This Row],[OrderID]], orders[[OrderID]:[ShipCountry]], 14, FALSE)</f>
        <v>Finland</v>
      </c>
      <c r="J1119" s="1">
        <f>_xlfn.XLOOKUP(order_details[[#This Row],[OrderID]], orders[OrderID], orders[Month])</f>
        <v>10</v>
      </c>
    </row>
    <row r="1120" spans="1:10" x14ac:dyDescent="0.35">
      <c r="A1120">
        <v>10673</v>
      </c>
      <c r="B1120">
        <v>42</v>
      </c>
      <c r="C1120">
        <v>14</v>
      </c>
      <c r="D1120">
        <v>6</v>
      </c>
      <c r="E1120">
        <v>0</v>
      </c>
      <c r="F1120">
        <v>84</v>
      </c>
      <c r="G1120" t="str">
        <f>VLOOKUP(VLOOKUP(order_details[[#This Row],[ProductID]], products[], 4, FALSE), categories[], 2, FALSE)</f>
        <v>Grains/Cereals</v>
      </c>
      <c r="H1120">
        <f>VLOOKUP(order_details[[#This Row],[ProductID]], products[], 4, FALSE)</f>
        <v>5</v>
      </c>
      <c r="I1120" t="str">
        <f>VLOOKUP(order_details[[#This Row],[OrderID]], orders[[OrderID]:[ShipCountry]], 14, FALSE)</f>
        <v>Finland</v>
      </c>
      <c r="J1120" s="1">
        <f>_xlfn.XLOOKUP(order_details[[#This Row],[OrderID]], orders[OrderID], orders[Month])</f>
        <v>10</v>
      </c>
    </row>
    <row r="1121" spans="1:10" x14ac:dyDescent="0.35">
      <c r="A1121">
        <v>10673</v>
      </c>
      <c r="B1121">
        <v>43</v>
      </c>
      <c r="C1121">
        <v>46</v>
      </c>
      <c r="D1121">
        <v>6</v>
      </c>
      <c r="E1121">
        <v>0</v>
      </c>
      <c r="F1121">
        <v>276</v>
      </c>
      <c r="G1121" t="str">
        <f>VLOOKUP(VLOOKUP(order_details[[#This Row],[ProductID]], products[], 4, FALSE), categories[], 2, FALSE)</f>
        <v>Beverages</v>
      </c>
      <c r="H1121">
        <f>VLOOKUP(order_details[[#This Row],[ProductID]], products[], 4, FALSE)</f>
        <v>1</v>
      </c>
      <c r="I1121" t="str">
        <f>VLOOKUP(order_details[[#This Row],[OrderID]], orders[[OrderID]:[ShipCountry]], 14, FALSE)</f>
        <v>Finland</v>
      </c>
      <c r="J1121" s="1">
        <f>_xlfn.XLOOKUP(order_details[[#This Row],[OrderID]], orders[OrderID], orders[Month])</f>
        <v>10</v>
      </c>
    </row>
    <row r="1122" spans="1:10" x14ac:dyDescent="0.35">
      <c r="A1122">
        <v>10674</v>
      </c>
      <c r="B1122">
        <v>23</v>
      </c>
      <c r="C1122">
        <v>9</v>
      </c>
      <c r="D1122">
        <v>5</v>
      </c>
      <c r="E1122">
        <v>0</v>
      </c>
      <c r="F1122">
        <v>45</v>
      </c>
      <c r="G1122" t="str">
        <f>VLOOKUP(VLOOKUP(order_details[[#This Row],[ProductID]], products[], 4, FALSE), categories[], 2, FALSE)</f>
        <v>Grains/Cereals</v>
      </c>
      <c r="H1122">
        <f>VLOOKUP(order_details[[#This Row],[ProductID]], products[], 4, FALSE)</f>
        <v>5</v>
      </c>
      <c r="I1122" t="str">
        <f>VLOOKUP(order_details[[#This Row],[OrderID]], orders[[OrderID]:[ShipCountry]], 14, FALSE)</f>
        <v>UK</v>
      </c>
      <c r="J1122" s="1">
        <f>_xlfn.XLOOKUP(order_details[[#This Row],[OrderID]], orders[OrderID], orders[Month])</f>
        <v>10</v>
      </c>
    </row>
    <row r="1123" spans="1:10" x14ac:dyDescent="0.35">
      <c r="A1123">
        <v>10675</v>
      </c>
      <c r="B1123">
        <v>14</v>
      </c>
      <c r="C1123">
        <v>23.25</v>
      </c>
      <c r="D1123">
        <v>30</v>
      </c>
      <c r="E1123">
        <v>0</v>
      </c>
      <c r="F1123">
        <v>697.5</v>
      </c>
      <c r="G1123" t="str">
        <f>VLOOKUP(VLOOKUP(order_details[[#This Row],[ProductID]], products[], 4, FALSE), categories[], 2, FALSE)</f>
        <v>Produce</v>
      </c>
      <c r="H1123">
        <f>VLOOKUP(order_details[[#This Row],[ProductID]], products[], 4, FALSE)</f>
        <v>7</v>
      </c>
      <c r="I1123" t="str">
        <f>VLOOKUP(order_details[[#This Row],[OrderID]], orders[[OrderID]:[ShipCountry]], 14, FALSE)</f>
        <v>Germany</v>
      </c>
      <c r="J1123" s="1">
        <f>_xlfn.XLOOKUP(order_details[[#This Row],[OrderID]], orders[OrderID], orders[Month])</f>
        <v>10</v>
      </c>
    </row>
    <row r="1124" spans="1:10" x14ac:dyDescent="0.35">
      <c r="A1124">
        <v>10675</v>
      </c>
      <c r="B1124">
        <v>53</v>
      </c>
      <c r="C1124">
        <v>32.799999999999997</v>
      </c>
      <c r="D1124">
        <v>10</v>
      </c>
      <c r="E1124">
        <v>0</v>
      </c>
      <c r="F1124">
        <v>328</v>
      </c>
      <c r="G1124" t="str">
        <f>VLOOKUP(VLOOKUP(order_details[[#This Row],[ProductID]], products[], 4, FALSE), categories[], 2, FALSE)</f>
        <v>Meat/Poultry</v>
      </c>
      <c r="H1124">
        <f>VLOOKUP(order_details[[#This Row],[ProductID]], products[], 4, FALSE)</f>
        <v>6</v>
      </c>
      <c r="I1124" t="str">
        <f>VLOOKUP(order_details[[#This Row],[OrderID]], orders[[OrderID]:[ShipCountry]], 14, FALSE)</f>
        <v>Germany</v>
      </c>
      <c r="J1124" s="1">
        <f>_xlfn.XLOOKUP(order_details[[#This Row],[OrderID]], orders[OrderID], orders[Month])</f>
        <v>10</v>
      </c>
    </row>
    <row r="1125" spans="1:10" x14ac:dyDescent="0.35">
      <c r="A1125">
        <v>10675</v>
      </c>
      <c r="B1125">
        <v>58</v>
      </c>
      <c r="C1125">
        <v>13.25</v>
      </c>
      <c r="D1125">
        <v>30</v>
      </c>
      <c r="E1125">
        <v>0</v>
      </c>
      <c r="F1125">
        <v>397.5</v>
      </c>
      <c r="G1125" t="str">
        <f>VLOOKUP(VLOOKUP(order_details[[#This Row],[ProductID]], products[], 4, FALSE), categories[], 2, FALSE)</f>
        <v>Seafood</v>
      </c>
      <c r="H1125">
        <f>VLOOKUP(order_details[[#This Row],[ProductID]], products[], 4, FALSE)</f>
        <v>8</v>
      </c>
      <c r="I1125" t="str">
        <f>VLOOKUP(order_details[[#This Row],[OrderID]], orders[[OrderID]:[ShipCountry]], 14, FALSE)</f>
        <v>Germany</v>
      </c>
      <c r="J1125" s="1">
        <f>_xlfn.XLOOKUP(order_details[[#This Row],[OrderID]], orders[OrderID], orders[Month])</f>
        <v>10</v>
      </c>
    </row>
    <row r="1126" spans="1:10" x14ac:dyDescent="0.35">
      <c r="A1126">
        <v>10676</v>
      </c>
      <c r="B1126">
        <v>10</v>
      </c>
      <c r="C1126">
        <v>31</v>
      </c>
      <c r="D1126">
        <v>2</v>
      </c>
      <c r="E1126">
        <v>0</v>
      </c>
      <c r="F1126">
        <v>62</v>
      </c>
      <c r="G1126" t="str">
        <f>VLOOKUP(VLOOKUP(order_details[[#This Row],[ProductID]], products[], 4, FALSE), categories[], 2, FALSE)</f>
        <v>Seafood</v>
      </c>
      <c r="H1126">
        <f>VLOOKUP(order_details[[#This Row],[ProductID]], products[], 4, FALSE)</f>
        <v>8</v>
      </c>
      <c r="I1126" t="str">
        <f>VLOOKUP(order_details[[#This Row],[OrderID]], orders[[OrderID]:[ShipCountry]], 14, FALSE)</f>
        <v>Mexico</v>
      </c>
      <c r="J1126" s="1">
        <f>_xlfn.XLOOKUP(order_details[[#This Row],[OrderID]], orders[OrderID], orders[Month])</f>
        <v>10</v>
      </c>
    </row>
    <row r="1127" spans="1:10" x14ac:dyDescent="0.35">
      <c r="A1127">
        <v>10676</v>
      </c>
      <c r="B1127">
        <v>19</v>
      </c>
      <c r="C1127">
        <v>9.1999999999999993</v>
      </c>
      <c r="D1127">
        <v>7</v>
      </c>
      <c r="E1127">
        <v>0</v>
      </c>
      <c r="F1127">
        <v>64.399999999999991</v>
      </c>
      <c r="G1127" t="str">
        <f>VLOOKUP(VLOOKUP(order_details[[#This Row],[ProductID]], products[], 4, FALSE), categories[], 2, FALSE)</f>
        <v>Confections</v>
      </c>
      <c r="H1127">
        <f>VLOOKUP(order_details[[#This Row],[ProductID]], products[], 4, FALSE)</f>
        <v>3</v>
      </c>
      <c r="I1127" t="str">
        <f>VLOOKUP(order_details[[#This Row],[OrderID]], orders[[OrderID]:[ShipCountry]], 14, FALSE)</f>
        <v>Mexico</v>
      </c>
      <c r="J1127" s="1">
        <f>_xlfn.XLOOKUP(order_details[[#This Row],[OrderID]], orders[OrderID], orders[Month])</f>
        <v>10</v>
      </c>
    </row>
    <row r="1128" spans="1:10" x14ac:dyDescent="0.35">
      <c r="A1128">
        <v>10676</v>
      </c>
      <c r="B1128">
        <v>44</v>
      </c>
      <c r="C1128">
        <v>19.45</v>
      </c>
      <c r="D1128">
        <v>21</v>
      </c>
      <c r="E1128">
        <v>0</v>
      </c>
      <c r="F1128">
        <v>408.45</v>
      </c>
      <c r="G1128" t="str">
        <f>VLOOKUP(VLOOKUP(order_details[[#This Row],[ProductID]], products[], 4, FALSE), categories[], 2, FALSE)</f>
        <v>Condiments</v>
      </c>
      <c r="H1128">
        <f>VLOOKUP(order_details[[#This Row],[ProductID]], products[], 4, FALSE)</f>
        <v>2</v>
      </c>
      <c r="I1128" t="str">
        <f>VLOOKUP(order_details[[#This Row],[OrderID]], orders[[OrderID]:[ShipCountry]], 14, FALSE)</f>
        <v>Mexico</v>
      </c>
      <c r="J1128" s="1">
        <f>_xlfn.XLOOKUP(order_details[[#This Row],[OrderID]], orders[OrderID], orders[Month])</f>
        <v>10</v>
      </c>
    </row>
    <row r="1129" spans="1:10" x14ac:dyDescent="0.35">
      <c r="A1129">
        <v>10677</v>
      </c>
      <c r="B1129">
        <v>26</v>
      </c>
      <c r="C1129">
        <v>31.23</v>
      </c>
      <c r="D1129">
        <v>30</v>
      </c>
      <c r="E1129">
        <v>0.15</v>
      </c>
      <c r="F1129">
        <v>796.36500000000001</v>
      </c>
      <c r="G1129" t="str">
        <f>VLOOKUP(VLOOKUP(order_details[[#This Row],[ProductID]], products[], 4, FALSE), categories[], 2, FALSE)</f>
        <v>Confections</v>
      </c>
      <c r="H1129">
        <f>VLOOKUP(order_details[[#This Row],[ProductID]], products[], 4, FALSE)</f>
        <v>3</v>
      </c>
      <c r="I1129" t="str">
        <f>VLOOKUP(order_details[[#This Row],[OrderID]], orders[[OrderID]:[ShipCountry]], 14, FALSE)</f>
        <v>Mexico</v>
      </c>
      <c r="J1129" s="1">
        <f>_xlfn.XLOOKUP(order_details[[#This Row],[OrderID]], orders[OrderID], orders[Month])</f>
        <v>10</v>
      </c>
    </row>
    <row r="1130" spans="1:10" x14ac:dyDescent="0.35">
      <c r="A1130">
        <v>10677</v>
      </c>
      <c r="B1130">
        <v>33</v>
      </c>
      <c r="C1130">
        <v>2.5</v>
      </c>
      <c r="D1130">
        <v>8</v>
      </c>
      <c r="E1130">
        <v>0.15</v>
      </c>
      <c r="F1130">
        <v>17</v>
      </c>
      <c r="G1130" t="str">
        <f>VLOOKUP(VLOOKUP(order_details[[#This Row],[ProductID]], products[], 4, FALSE), categories[], 2, FALSE)</f>
        <v>Dairy Products</v>
      </c>
      <c r="H1130">
        <f>VLOOKUP(order_details[[#This Row],[ProductID]], products[], 4, FALSE)</f>
        <v>4</v>
      </c>
      <c r="I1130" t="str">
        <f>VLOOKUP(order_details[[#This Row],[OrderID]], orders[[OrderID]:[ShipCountry]], 14, FALSE)</f>
        <v>Mexico</v>
      </c>
      <c r="J1130" s="1">
        <f>_xlfn.XLOOKUP(order_details[[#This Row],[OrderID]], orders[OrderID], orders[Month])</f>
        <v>10</v>
      </c>
    </row>
    <row r="1131" spans="1:10" x14ac:dyDescent="0.35">
      <c r="A1131">
        <v>10678</v>
      </c>
      <c r="B1131">
        <v>12</v>
      </c>
      <c r="C1131">
        <v>38</v>
      </c>
      <c r="D1131">
        <v>100</v>
      </c>
      <c r="E1131">
        <v>0</v>
      </c>
      <c r="F1131">
        <v>3800</v>
      </c>
      <c r="G1131" t="str">
        <f>VLOOKUP(VLOOKUP(order_details[[#This Row],[ProductID]], products[], 4, FALSE), categories[], 2, FALSE)</f>
        <v>Dairy Products</v>
      </c>
      <c r="H1131">
        <f>VLOOKUP(order_details[[#This Row],[ProductID]], products[], 4, FALSE)</f>
        <v>4</v>
      </c>
      <c r="I1131" t="str">
        <f>VLOOKUP(order_details[[#This Row],[OrderID]], orders[[OrderID]:[ShipCountry]], 14, FALSE)</f>
        <v>USA</v>
      </c>
      <c r="J1131" s="1">
        <f>_xlfn.XLOOKUP(order_details[[#This Row],[OrderID]], orders[OrderID], orders[Month])</f>
        <v>10</v>
      </c>
    </row>
    <row r="1132" spans="1:10" x14ac:dyDescent="0.35">
      <c r="A1132">
        <v>10678</v>
      </c>
      <c r="B1132">
        <v>33</v>
      </c>
      <c r="C1132">
        <v>2.5</v>
      </c>
      <c r="D1132">
        <v>30</v>
      </c>
      <c r="E1132">
        <v>0</v>
      </c>
      <c r="F1132">
        <v>75</v>
      </c>
      <c r="G1132" t="str">
        <f>VLOOKUP(VLOOKUP(order_details[[#This Row],[ProductID]], products[], 4, FALSE), categories[], 2, FALSE)</f>
        <v>Dairy Products</v>
      </c>
      <c r="H1132">
        <f>VLOOKUP(order_details[[#This Row],[ProductID]], products[], 4, FALSE)</f>
        <v>4</v>
      </c>
      <c r="I1132" t="str">
        <f>VLOOKUP(order_details[[#This Row],[OrderID]], orders[[OrderID]:[ShipCountry]], 14, FALSE)</f>
        <v>USA</v>
      </c>
      <c r="J1132" s="1">
        <f>_xlfn.XLOOKUP(order_details[[#This Row],[OrderID]], orders[OrderID], orders[Month])</f>
        <v>10</v>
      </c>
    </row>
    <row r="1133" spans="1:10" x14ac:dyDescent="0.35">
      <c r="A1133">
        <v>10678</v>
      </c>
      <c r="B1133">
        <v>41</v>
      </c>
      <c r="C1133">
        <v>9.65</v>
      </c>
      <c r="D1133">
        <v>120</v>
      </c>
      <c r="E1133">
        <v>0</v>
      </c>
      <c r="F1133">
        <v>1158</v>
      </c>
      <c r="G1133" t="str">
        <f>VLOOKUP(VLOOKUP(order_details[[#This Row],[ProductID]], products[], 4, FALSE), categories[], 2, FALSE)</f>
        <v>Seafood</v>
      </c>
      <c r="H1133">
        <f>VLOOKUP(order_details[[#This Row],[ProductID]], products[], 4, FALSE)</f>
        <v>8</v>
      </c>
      <c r="I1133" t="str">
        <f>VLOOKUP(order_details[[#This Row],[OrderID]], orders[[OrderID]:[ShipCountry]], 14, FALSE)</f>
        <v>USA</v>
      </c>
      <c r="J1133" s="1">
        <f>_xlfn.XLOOKUP(order_details[[#This Row],[OrderID]], orders[OrderID], orders[Month])</f>
        <v>10</v>
      </c>
    </row>
    <row r="1134" spans="1:10" x14ac:dyDescent="0.35">
      <c r="A1134">
        <v>10678</v>
      </c>
      <c r="B1134">
        <v>54</v>
      </c>
      <c r="C1134">
        <v>7.45</v>
      </c>
      <c r="D1134">
        <v>30</v>
      </c>
      <c r="E1134">
        <v>0</v>
      </c>
      <c r="F1134">
        <v>223.5</v>
      </c>
      <c r="G1134" t="str">
        <f>VLOOKUP(VLOOKUP(order_details[[#This Row],[ProductID]], products[], 4, FALSE), categories[], 2, FALSE)</f>
        <v>Meat/Poultry</v>
      </c>
      <c r="H1134">
        <f>VLOOKUP(order_details[[#This Row],[ProductID]], products[], 4, FALSE)</f>
        <v>6</v>
      </c>
      <c r="I1134" t="str">
        <f>VLOOKUP(order_details[[#This Row],[OrderID]], orders[[OrderID]:[ShipCountry]], 14, FALSE)</f>
        <v>USA</v>
      </c>
      <c r="J1134" s="1">
        <f>_xlfn.XLOOKUP(order_details[[#This Row],[OrderID]], orders[OrderID], orders[Month])</f>
        <v>10</v>
      </c>
    </row>
    <row r="1135" spans="1:10" x14ac:dyDescent="0.35">
      <c r="A1135">
        <v>10679</v>
      </c>
      <c r="B1135">
        <v>59</v>
      </c>
      <c r="C1135">
        <v>55</v>
      </c>
      <c r="D1135">
        <v>12</v>
      </c>
      <c r="E1135">
        <v>0</v>
      </c>
      <c r="F1135">
        <v>660</v>
      </c>
      <c r="G1135" t="str">
        <f>VLOOKUP(VLOOKUP(order_details[[#This Row],[ProductID]], products[], 4, FALSE), categories[], 2, FALSE)</f>
        <v>Dairy Products</v>
      </c>
      <c r="H1135">
        <f>VLOOKUP(order_details[[#This Row],[ProductID]], products[], 4, FALSE)</f>
        <v>4</v>
      </c>
      <c r="I1135" t="str">
        <f>VLOOKUP(order_details[[#This Row],[OrderID]], orders[[OrderID]:[ShipCountry]], 14, FALSE)</f>
        <v>France</v>
      </c>
      <c r="J1135" s="1">
        <f>_xlfn.XLOOKUP(order_details[[#This Row],[OrderID]], orders[OrderID], orders[Month])</f>
        <v>10</v>
      </c>
    </row>
    <row r="1136" spans="1:10" x14ac:dyDescent="0.35">
      <c r="A1136">
        <v>10680</v>
      </c>
      <c r="B1136">
        <v>16</v>
      </c>
      <c r="C1136">
        <v>17.45</v>
      </c>
      <c r="D1136">
        <v>50</v>
      </c>
      <c r="E1136">
        <v>0.25</v>
      </c>
      <c r="F1136">
        <v>654.375</v>
      </c>
      <c r="G1136" t="str">
        <f>VLOOKUP(VLOOKUP(order_details[[#This Row],[ProductID]], products[], 4, FALSE), categories[], 2, FALSE)</f>
        <v>Confections</v>
      </c>
      <c r="H1136">
        <f>VLOOKUP(order_details[[#This Row],[ProductID]], products[], 4, FALSE)</f>
        <v>3</v>
      </c>
      <c r="I1136" t="str">
        <f>VLOOKUP(order_details[[#This Row],[OrderID]], orders[[OrderID]:[ShipCountry]], 14, FALSE)</f>
        <v>USA</v>
      </c>
      <c r="J1136" s="1">
        <f>_xlfn.XLOOKUP(order_details[[#This Row],[OrderID]], orders[OrderID], orders[Month])</f>
        <v>10</v>
      </c>
    </row>
    <row r="1137" spans="1:10" x14ac:dyDescent="0.35">
      <c r="A1137">
        <v>10680</v>
      </c>
      <c r="B1137">
        <v>31</v>
      </c>
      <c r="C1137">
        <v>12.5</v>
      </c>
      <c r="D1137">
        <v>20</v>
      </c>
      <c r="E1137">
        <v>0.25</v>
      </c>
      <c r="F1137">
        <v>187.5</v>
      </c>
      <c r="G1137" t="str">
        <f>VLOOKUP(VLOOKUP(order_details[[#This Row],[ProductID]], products[], 4, FALSE), categories[], 2, FALSE)</f>
        <v>Dairy Products</v>
      </c>
      <c r="H1137">
        <f>VLOOKUP(order_details[[#This Row],[ProductID]], products[], 4, FALSE)</f>
        <v>4</v>
      </c>
      <c r="I1137" t="str">
        <f>VLOOKUP(order_details[[#This Row],[OrderID]], orders[[OrderID]:[ShipCountry]], 14, FALSE)</f>
        <v>USA</v>
      </c>
      <c r="J1137" s="1">
        <f>_xlfn.XLOOKUP(order_details[[#This Row],[OrderID]], orders[OrderID], orders[Month])</f>
        <v>10</v>
      </c>
    </row>
    <row r="1138" spans="1:10" x14ac:dyDescent="0.35">
      <c r="A1138">
        <v>10680</v>
      </c>
      <c r="B1138">
        <v>42</v>
      </c>
      <c r="C1138">
        <v>14</v>
      </c>
      <c r="D1138">
        <v>40</v>
      </c>
      <c r="E1138">
        <v>0.25</v>
      </c>
      <c r="F1138">
        <v>420</v>
      </c>
      <c r="G1138" t="str">
        <f>VLOOKUP(VLOOKUP(order_details[[#This Row],[ProductID]], products[], 4, FALSE), categories[], 2, FALSE)</f>
        <v>Grains/Cereals</v>
      </c>
      <c r="H1138">
        <f>VLOOKUP(order_details[[#This Row],[ProductID]], products[], 4, FALSE)</f>
        <v>5</v>
      </c>
      <c r="I1138" t="str">
        <f>VLOOKUP(order_details[[#This Row],[OrderID]], orders[[OrderID]:[ShipCountry]], 14, FALSE)</f>
        <v>USA</v>
      </c>
      <c r="J1138" s="1">
        <f>_xlfn.XLOOKUP(order_details[[#This Row],[OrderID]], orders[OrderID], orders[Month])</f>
        <v>10</v>
      </c>
    </row>
    <row r="1139" spans="1:10" x14ac:dyDescent="0.35">
      <c r="A1139">
        <v>10681</v>
      </c>
      <c r="B1139">
        <v>19</v>
      </c>
      <c r="C1139">
        <v>9.1999999999999993</v>
      </c>
      <c r="D1139">
        <v>30</v>
      </c>
      <c r="E1139">
        <v>0.1</v>
      </c>
      <c r="F1139">
        <v>248.4</v>
      </c>
      <c r="G1139" t="str">
        <f>VLOOKUP(VLOOKUP(order_details[[#This Row],[ProductID]], products[], 4, FALSE), categories[], 2, FALSE)</f>
        <v>Confections</v>
      </c>
      <c r="H1139">
        <f>VLOOKUP(order_details[[#This Row],[ProductID]], products[], 4, FALSE)</f>
        <v>3</v>
      </c>
      <c r="I1139" t="str">
        <f>VLOOKUP(order_details[[#This Row],[OrderID]], orders[[OrderID]:[ShipCountry]], 14, FALSE)</f>
        <v>USA</v>
      </c>
      <c r="J1139" s="1">
        <f>_xlfn.XLOOKUP(order_details[[#This Row],[OrderID]], orders[OrderID], orders[Month])</f>
        <v>10</v>
      </c>
    </row>
    <row r="1140" spans="1:10" x14ac:dyDescent="0.35">
      <c r="A1140">
        <v>10681</v>
      </c>
      <c r="B1140">
        <v>21</v>
      </c>
      <c r="C1140">
        <v>10</v>
      </c>
      <c r="D1140">
        <v>12</v>
      </c>
      <c r="E1140">
        <v>0.1</v>
      </c>
      <c r="F1140">
        <v>108</v>
      </c>
      <c r="G1140" t="str">
        <f>VLOOKUP(VLOOKUP(order_details[[#This Row],[ProductID]], products[], 4, FALSE), categories[], 2, FALSE)</f>
        <v>Confections</v>
      </c>
      <c r="H1140">
        <f>VLOOKUP(order_details[[#This Row],[ProductID]], products[], 4, FALSE)</f>
        <v>3</v>
      </c>
      <c r="I1140" t="str">
        <f>VLOOKUP(order_details[[#This Row],[OrderID]], orders[[OrderID]:[ShipCountry]], 14, FALSE)</f>
        <v>USA</v>
      </c>
      <c r="J1140" s="1">
        <f>_xlfn.XLOOKUP(order_details[[#This Row],[OrderID]], orders[OrderID], orders[Month])</f>
        <v>10</v>
      </c>
    </row>
    <row r="1141" spans="1:10" x14ac:dyDescent="0.35">
      <c r="A1141">
        <v>10681</v>
      </c>
      <c r="B1141">
        <v>64</v>
      </c>
      <c r="C1141">
        <v>33.25</v>
      </c>
      <c r="D1141">
        <v>28</v>
      </c>
      <c r="E1141">
        <v>0</v>
      </c>
      <c r="F1141">
        <v>931</v>
      </c>
      <c r="G1141" t="str">
        <f>VLOOKUP(VLOOKUP(order_details[[#This Row],[ProductID]], products[], 4, FALSE), categories[], 2, FALSE)</f>
        <v>Grains/Cereals</v>
      </c>
      <c r="H1141">
        <f>VLOOKUP(order_details[[#This Row],[ProductID]], products[], 4, FALSE)</f>
        <v>5</v>
      </c>
      <c r="I1141" t="str">
        <f>VLOOKUP(order_details[[#This Row],[OrderID]], orders[[OrderID]:[ShipCountry]], 14, FALSE)</f>
        <v>USA</v>
      </c>
      <c r="J1141" s="1">
        <f>_xlfn.XLOOKUP(order_details[[#This Row],[OrderID]], orders[OrderID], orders[Month])</f>
        <v>10</v>
      </c>
    </row>
    <row r="1142" spans="1:10" x14ac:dyDescent="0.35">
      <c r="A1142">
        <v>10682</v>
      </c>
      <c r="B1142">
        <v>33</v>
      </c>
      <c r="C1142">
        <v>2.5</v>
      </c>
      <c r="D1142">
        <v>30</v>
      </c>
      <c r="E1142">
        <v>0</v>
      </c>
      <c r="F1142">
        <v>75</v>
      </c>
      <c r="G1142" t="str">
        <f>VLOOKUP(VLOOKUP(order_details[[#This Row],[ProductID]], products[], 4, FALSE), categories[], 2, FALSE)</f>
        <v>Dairy Products</v>
      </c>
      <c r="H1142">
        <f>VLOOKUP(order_details[[#This Row],[ProductID]], products[], 4, FALSE)</f>
        <v>4</v>
      </c>
      <c r="I1142" t="str">
        <f>VLOOKUP(order_details[[#This Row],[OrderID]], orders[[OrderID]:[ShipCountry]], 14, FALSE)</f>
        <v>Mexico</v>
      </c>
      <c r="J1142" s="1">
        <f>_xlfn.XLOOKUP(order_details[[#This Row],[OrderID]], orders[OrderID], orders[Month])</f>
        <v>10</v>
      </c>
    </row>
    <row r="1143" spans="1:10" x14ac:dyDescent="0.35">
      <c r="A1143">
        <v>10682</v>
      </c>
      <c r="B1143">
        <v>66</v>
      </c>
      <c r="C1143">
        <v>17</v>
      </c>
      <c r="D1143">
        <v>4</v>
      </c>
      <c r="E1143">
        <v>0</v>
      </c>
      <c r="F1143">
        <v>68</v>
      </c>
      <c r="G1143" t="str">
        <f>VLOOKUP(VLOOKUP(order_details[[#This Row],[ProductID]], products[], 4, FALSE), categories[], 2, FALSE)</f>
        <v>Condiments</v>
      </c>
      <c r="H1143">
        <f>VLOOKUP(order_details[[#This Row],[ProductID]], products[], 4, FALSE)</f>
        <v>2</v>
      </c>
      <c r="I1143" t="str">
        <f>VLOOKUP(order_details[[#This Row],[OrderID]], orders[[OrderID]:[ShipCountry]], 14, FALSE)</f>
        <v>Mexico</v>
      </c>
      <c r="J1143" s="1">
        <f>_xlfn.XLOOKUP(order_details[[#This Row],[OrderID]], orders[OrderID], orders[Month])</f>
        <v>10</v>
      </c>
    </row>
    <row r="1144" spans="1:10" x14ac:dyDescent="0.35">
      <c r="A1144">
        <v>10682</v>
      </c>
      <c r="B1144">
        <v>75</v>
      </c>
      <c r="C1144">
        <v>7.75</v>
      </c>
      <c r="D1144">
        <v>30</v>
      </c>
      <c r="E1144">
        <v>0</v>
      </c>
      <c r="F1144">
        <v>232.5</v>
      </c>
      <c r="G1144" t="str">
        <f>VLOOKUP(VLOOKUP(order_details[[#This Row],[ProductID]], products[], 4, FALSE), categories[], 2, FALSE)</f>
        <v>Beverages</v>
      </c>
      <c r="H1144">
        <f>VLOOKUP(order_details[[#This Row],[ProductID]], products[], 4, FALSE)</f>
        <v>1</v>
      </c>
      <c r="I1144" t="str">
        <f>VLOOKUP(order_details[[#This Row],[OrderID]], orders[[OrderID]:[ShipCountry]], 14, FALSE)</f>
        <v>Mexico</v>
      </c>
      <c r="J1144" s="1">
        <f>_xlfn.XLOOKUP(order_details[[#This Row],[OrderID]], orders[OrderID], orders[Month])</f>
        <v>10</v>
      </c>
    </row>
    <row r="1145" spans="1:10" x14ac:dyDescent="0.35">
      <c r="A1145">
        <v>10683</v>
      </c>
      <c r="B1145">
        <v>52</v>
      </c>
      <c r="C1145">
        <v>7</v>
      </c>
      <c r="D1145">
        <v>9</v>
      </c>
      <c r="E1145">
        <v>0</v>
      </c>
      <c r="F1145">
        <v>63</v>
      </c>
      <c r="G1145" t="str">
        <f>VLOOKUP(VLOOKUP(order_details[[#This Row],[ProductID]], products[], 4, FALSE), categories[], 2, FALSE)</f>
        <v>Grains/Cereals</v>
      </c>
      <c r="H1145">
        <f>VLOOKUP(order_details[[#This Row],[ProductID]], products[], 4, FALSE)</f>
        <v>5</v>
      </c>
      <c r="I1145" t="str">
        <f>VLOOKUP(order_details[[#This Row],[OrderID]], orders[[OrderID]:[ShipCountry]], 14, FALSE)</f>
        <v>France</v>
      </c>
      <c r="J1145" s="1">
        <f>_xlfn.XLOOKUP(order_details[[#This Row],[OrderID]], orders[OrderID], orders[Month])</f>
        <v>10</v>
      </c>
    </row>
    <row r="1146" spans="1:10" x14ac:dyDescent="0.35">
      <c r="A1146">
        <v>10684</v>
      </c>
      <c r="B1146">
        <v>40</v>
      </c>
      <c r="C1146">
        <v>18.399999999999999</v>
      </c>
      <c r="D1146">
        <v>20</v>
      </c>
      <c r="E1146">
        <v>0</v>
      </c>
      <c r="F1146">
        <v>368</v>
      </c>
      <c r="G1146" t="str">
        <f>VLOOKUP(VLOOKUP(order_details[[#This Row],[ProductID]], products[], 4, FALSE), categories[], 2, FALSE)</f>
        <v>Seafood</v>
      </c>
      <c r="H1146">
        <f>VLOOKUP(order_details[[#This Row],[ProductID]], products[], 4, FALSE)</f>
        <v>8</v>
      </c>
      <c r="I1146" t="str">
        <f>VLOOKUP(order_details[[#This Row],[OrderID]], orders[[OrderID]:[ShipCountry]], 14, FALSE)</f>
        <v>Germany</v>
      </c>
      <c r="J1146" s="1">
        <f>_xlfn.XLOOKUP(order_details[[#This Row],[OrderID]], orders[OrderID], orders[Month])</f>
        <v>10</v>
      </c>
    </row>
    <row r="1147" spans="1:10" x14ac:dyDescent="0.35">
      <c r="A1147">
        <v>10684</v>
      </c>
      <c r="B1147">
        <v>47</v>
      </c>
      <c r="C1147">
        <v>9.5</v>
      </c>
      <c r="D1147">
        <v>40</v>
      </c>
      <c r="E1147">
        <v>0</v>
      </c>
      <c r="F1147">
        <v>380</v>
      </c>
      <c r="G1147" t="str">
        <f>VLOOKUP(VLOOKUP(order_details[[#This Row],[ProductID]], products[], 4, FALSE), categories[], 2, FALSE)</f>
        <v>Confections</v>
      </c>
      <c r="H1147">
        <f>VLOOKUP(order_details[[#This Row],[ProductID]], products[], 4, FALSE)</f>
        <v>3</v>
      </c>
      <c r="I1147" t="str">
        <f>VLOOKUP(order_details[[#This Row],[OrderID]], orders[[OrderID]:[ShipCountry]], 14, FALSE)</f>
        <v>Germany</v>
      </c>
      <c r="J1147" s="1">
        <f>_xlfn.XLOOKUP(order_details[[#This Row],[OrderID]], orders[OrderID], orders[Month])</f>
        <v>10</v>
      </c>
    </row>
    <row r="1148" spans="1:10" x14ac:dyDescent="0.35">
      <c r="A1148">
        <v>10684</v>
      </c>
      <c r="B1148">
        <v>60</v>
      </c>
      <c r="C1148">
        <v>34</v>
      </c>
      <c r="D1148">
        <v>30</v>
      </c>
      <c r="E1148">
        <v>0</v>
      </c>
      <c r="F1148">
        <v>1020</v>
      </c>
      <c r="G1148" t="str">
        <f>VLOOKUP(VLOOKUP(order_details[[#This Row],[ProductID]], products[], 4, FALSE), categories[], 2, FALSE)</f>
        <v>Dairy Products</v>
      </c>
      <c r="H1148">
        <f>VLOOKUP(order_details[[#This Row],[ProductID]], products[], 4, FALSE)</f>
        <v>4</v>
      </c>
      <c r="I1148" t="str">
        <f>VLOOKUP(order_details[[#This Row],[OrderID]], orders[[OrderID]:[ShipCountry]], 14, FALSE)</f>
        <v>Germany</v>
      </c>
      <c r="J1148" s="1">
        <f>_xlfn.XLOOKUP(order_details[[#This Row],[OrderID]], orders[OrderID], orders[Month])</f>
        <v>10</v>
      </c>
    </row>
    <row r="1149" spans="1:10" x14ac:dyDescent="0.35">
      <c r="A1149">
        <v>10685</v>
      </c>
      <c r="B1149">
        <v>10</v>
      </c>
      <c r="C1149">
        <v>31</v>
      </c>
      <c r="D1149">
        <v>20</v>
      </c>
      <c r="E1149">
        <v>0</v>
      </c>
      <c r="F1149">
        <v>620</v>
      </c>
      <c r="G1149" t="str">
        <f>VLOOKUP(VLOOKUP(order_details[[#This Row],[ProductID]], products[], 4, FALSE), categories[], 2, FALSE)</f>
        <v>Seafood</v>
      </c>
      <c r="H1149">
        <f>VLOOKUP(order_details[[#This Row],[ProductID]], products[], 4, FALSE)</f>
        <v>8</v>
      </c>
      <c r="I1149" t="str">
        <f>VLOOKUP(order_details[[#This Row],[OrderID]], orders[[OrderID]:[ShipCountry]], 14, FALSE)</f>
        <v>Brazil</v>
      </c>
      <c r="J1149" s="1">
        <f>_xlfn.XLOOKUP(order_details[[#This Row],[OrderID]], orders[OrderID], orders[Month])</f>
        <v>10</v>
      </c>
    </row>
    <row r="1150" spans="1:10" x14ac:dyDescent="0.35">
      <c r="A1150">
        <v>10685</v>
      </c>
      <c r="B1150">
        <v>41</v>
      </c>
      <c r="C1150">
        <v>9.65</v>
      </c>
      <c r="D1150">
        <v>4</v>
      </c>
      <c r="E1150">
        <v>0</v>
      </c>
      <c r="F1150">
        <v>38.6</v>
      </c>
      <c r="G1150" t="str">
        <f>VLOOKUP(VLOOKUP(order_details[[#This Row],[ProductID]], products[], 4, FALSE), categories[], 2, FALSE)</f>
        <v>Seafood</v>
      </c>
      <c r="H1150">
        <f>VLOOKUP(order_details[[#This Row],[ProductID]], products[], 4, FALSE)</f>
        <v>8</v>
      </c>
      <c r="I1150" t="str">
        <f>VLOOKUP(order_details[[#This Row],[OrderID]], orders[[OrderID]:[ShipCountry]], 14, FALSE)</f>
        <v>Brazil</v>
      </c>
      <c r="J1150" s="1">
        <f>_xlfn.XLOOKUP(order_details[[#This Row],[OrderID]], orders[OrderID], orders[Month])</f>
        <v>10</v>
      </c>
    </row>
    <row r="1151" spans="1:10" x14ac:dyDescent="0.35">
      <c r="A1151">
        <v>10685</v>
      </c>
      <c r="B1151">
        <v>47</v>
      </c>
      <c r="C1151">
        <v>9.5</v>
      </c>
      <c r="D1151">
        <v>15</v>
      </c>
      <c r="E1151">
        <v>0</v>
      </c>
      <c r="F1151">
        <v>142.5</v>
      </c>
      <c r="G1151" t="str">
        <f>VLOOKUP(VLOOKUP(order_details[[#This Row],[ProductID]], products[], 4, FALSE), categories[], 2, FALSE)</f>
        <v>Confections</v>
      </c>
      <c r="H1151">
        <f>VLOOKUP(order_details[[#This Row],[ProductID]], products[], 4, FALSE)</f>
        <v>3</v>
      </c>
      <c r="I1151" t="str">
        <f>VLOOKUP(order_details[[#This Row],[OrderID]], orders[[OrderID]:[ShipCountry]], 14, FALSE)</f>
        <v>Brazil</v>
      </c>
      <c r="J1151" s="1">
        <f>_xlfn.XLOOKUP(order_details[[#This Row],[OrderID]], orders[OrderID], orders[Month])</f>
        <v>10</v>
      </c>
    </row>
    <row r="1152" spans="1:10" x14ac:dyDescent="0.35">
      <c r="A1152">
        <v>10686</v>
      </c>
      <c r="B1152">
        <v>17</v>
      </c>
      <c r="C1152">
        <v>39</v>
      </c>
      <c r="D1152">
        <v>30</v>
      </c>
      <c r="E1152">
        <v>0.2</v>
      </c>
      <c r="F1152">
        <v>936</v>
      </c>
      <c r="G1152" t="str">
        <f>VLOOKUP(VLOOKUP(order_details[[#This Row],[ProductID]], products[], 4, FALSE), categories[], 2, FALSE)</f>
        <v>Meat/Poultry</v>
      </c>
      <c r="H1152">
        <f>VLOOKUP(order_details[[#This Row],[ProductID]], products[], 4, FALSE)</f>
        <v>6</v>
      </c>
      <c r="I1152" t="str">
        <f>VLOOKUP(order_details[[#This Row],[OrderID]], orders[[OrderID]:[ShipCountry]], 14, FALSE)</f>
        <v>Austria</v>
      </c>
      <c r="J1152" s="1">
        <f>_xlfn.XLOOKUP(order_details[[#This Row],[OrderID]], orders[OrderID], orders[Month])</f>
        <v>10</v>
      </c>
    </row>
    <row r="1153" spans="1:10" x14ac:dyDescent="0.35">
      <c r="A1153">
        <v>10686</v>
      </c>
      <c r="B1153">
        <v>26</v>
      </c>
      <c r="C1153">
        <v>31.23</v>
      </c>
      <c r="D1153">
        <v>15</v>
      </c>
      <c r="E1153">
        <v>0</v>
      </c>
      <c r="F1153">
        <v>468.45</v>
      </c>
      <c r="G1153" t="str">
        <f>VLOOKUP(VLOOKUP(order_details[[#This Row],[ProductID]], products[], 4, FALSE), categories[], 2, FALSE)</f>
        <v>Confections</v>
      </c>
      <c r="H1153">
        <f>VLOOKUP(order_details[[#This Row],[ProductID]], products[], 4, FALSE)</f>
        <v>3</v>
      </c>
      <c r="I1153" t="str">
        <f>VLOOKUP(order_details[[#This Row],[OrderID]], orders[[OrderID]:[ShipCountry]], 14, FALSE)</f>
        <v>Austria</v>
      </c>
      <c r="J1153" s="1">
        <f>_xlfn.XLOOKUP(order_details[[#This Row],[OrderID]], orders[OrderID], orders[Month])</f>
        <v>10</v>
      </c>
    </row>
    <row r="1154" spans="1:10" x14ac:dyDescent="0.35">
      <c r="A1154">
        <v>10687</v>
      </c>
      <c r="B1154">
        <v>9</v>
      </c>
      <c r="C1154">
        <v>97</v>
      </c>
      <c r="D1154">
        <v>50</v>
      </c>
      <c r="E1154">
        <v>0.25</v>
      </c>
      <c r="F1154">
        <v>3637.5</v>
      </c>
      <c r="G1154" t="str">
        <f>VLOOKUP(VLOOKUP(order_details[[#This Row],[ProductID]], products[], 4, FALSE), categories[], 2, FALSE)</f>
        <v>Meat/Poultry</v>
      </c>
      <c r="H1154">
        <f>VLOOKUP(order_details[[#This Row],[ProductID]], products[], 4, FALSE)</f>
        <v>6</v>
      </c>
      <c r="I1154" t="str">
        <f>VLOOKUP(order_details[[#This Row],[OrderID]], orders[[OrderID]:[ShipCountry]], 14, FALSE)</f>
        <v>Ireland</v>
      </c>
      <c r="J1154" s="1">
        <f>_xlfn.XLOOKUP(order_details[[#This Row],[OrderID]], orders[OrderID], orders[Month])</f>
        <v>10</v>
      </c>
    </row>
    <row r="1155" spans="1:10" x14ac:dyDescent="0.35">
      <c r="A1155">
        <v>10687</v>
      </c>
      <c r="B1155">
        <v>29</v>
      </c>
      <c r="C1155">
        <v>123.79</v>
      </c>
      <c r="D1155">
        <v>10</v>
      </c>
      <c r="E1155">
        <v>0</v>
      </c>
      <c r="F1155">
        <v>1237.9000000000001</v>
      </c>
      <c r="G1155" t="str">
        <f>VLOOKUP(VLOOKUP(order_details[[#This Row],[ProductID]], products[], 4, FALSE), categories[], 2, FALSE)</f>
        <v>Meat/Poultry</v>
      </c>
      <c r="H1155">
        <f>VLOOKUP(order_details[[#This Row],[ProductID]], products[], 4, FALSE)</f>
        <v>6</v>
      </c>
      <c r="I1155" t="str">
        <f>VLOOKUP(order_details[[#This Row],[OrderID]], orders[[OrderID]:[ShipCountry]], 14, FALSE)</f>
        <v>Ireland</v>
      </c>
      <c r="J1155" s="1">
        <f>_xlfn.XLOOKUP(order_details[[#This Row],[OrderID]], orders[OrderID], orders[Month])</f>
        <v>10</v>
      </c>
    </row>
    <row r="1156" spans="1:10" x14ac:dyDescent="0.35">
      <c r="A1156">
        <v>10687</v>
      </c>
      <c r="B1156">
        <v>36</v>
      </c>
      <c r="C1156">
        <v>19</v>
      </c>
      <c r="D1156">
        <v>6</v>
      </c>
      <c r="E1156">
        <v>0.25</v>
      </c>
      <c r="F1156">
        <v>85.5</v>
      </c>
      <c r="G1156" t="str">
        <f>VLOOKUP(VLOOKUP(order_details[[#This Row],[ProductID]], products[], 4, FALSE), categories[], 2, FALSE)</f>
        <v>Seafood</v>
      </c>
      <c r="H1156">
        <f>VLOOKUP(order_details[[#This Row],[ProductID]], products[], 4, FALSE)</f>
        <v>8</v>
      </c>
      <c r="I1156" t="str">
        <f>VLOOKUP(order_details[[#This Row],[OrderID]], orders[[OrderID]:[ShipCountry]], 14, FALSE)</f>
        <v>Ireland</v>
      </c>
      <c r="J1156" s="1">
        <f>_xlfn.XLOOKUP(order_details[[#This Row],[OrderID]], orders[OrderID], orders[Month])</f>
        <v>10</v>
      </c>
    </row>
    <row r="1157" spans="1:10" x14ac:dyDescent="0.35">
      <c r="A1157">
        <v>10688</v>
      </c>
      <c r="B1157">
        <v>10</v>
      </c>
      <c r="C1157">
        <v>31</v>
      </c>
      <c r="D1157">
        <v>18</v>
      </c>
      <c r="E1157">
        <v>0.1</v>
      </c>
      <c r="F1157">
        <v>502.2</v>
      </c>
      <c r="G1157" t="str">
        <f>VLOOKUP(VLOOKUP(order_details[[#This Row],[ProductID]], products[], 4, FALSE), categories[], 2, FALSE)</f>
        <v>Seafood</v>
      </c>
      <c r="H1157">
        <f>VLOOKUP(order_details[[#This Row],[ProductID]], products[], 4, FALSE)</f>
        <v>8</v>
      </c>
      <c r="I1157" t="str">
        <f>VLOOKUP(order_details[[#This Row],[OrderID]], orders[[OrderID]:[ShipCountry]], 14, FALSE)</f>
        <v>Denmark</v>
      </c>
      <c r="J1157" s="1">
        <f>_xlfn.XLOOKUP(order_details[[#This Row],[OrderID]], orders[OrderID], orders[Month])</f>
        <v>11</v>
      </c>
    </row>
    <row r="1158" spans="1:10" x14ac:dyDescent="0.35">
      <c r="A1158">
        <v>10688</v>
      </c>
      <c r="B1158">
        <v>28</v>
      </c>
      <c r="C1158">
        <v>45.6</v>
      </c>
      <c r="D1158">
        <v>60</v>
      </c>
      <c r="E1158">
        <v>0.1</v>
      </c>
      <c r="F1158">
        <v>2462.4</v>
      </c>
      <c r="G1158" t="str">
        <f>VLOOKUP(VLOOKUP(order_details[[#This Row],[ProductID]], products[], 4, FALSE), categories[], 2, FALSE)</f>
        <v>Produce</v>
      </c>
      <c r="H1158">
        <f>VLOOKUP(order_details[[#This Row],[ProductID]], products[], 4, FALSE)</f>
        <v>7</v>
      </c>
      <c r="I1158" t="str">
        <f>VLOOKUP(order_details[[#This Row],[OrderID]], orders[[OrderID]:[ShipCountry]], 14, FALSE)</f>
        <v>Denmark</v>
      </c>
      <c r="J1158" s="1">
        <f>_xlfn.XLOOKUP(order_details[[#This Row],[OrderID]], orders[OrderID], orders[Month])</f>
        <v>11</v>
      </c>
    </row>
    <row r="1159" spans="1:10" x14ac:dyDescent="0.35">
      <c r="A1159">
        <v>10688</v>
      </c>
      <c r="B1159">
        <v>34</v>
      </c>
      <c r="C1159">
        <v>14</v>
      </c>
      <c r="D1159">
        <v>14</v>
      </c>
      <c r="E1159">
        <v>0</v>
      </c>
      <c r="F1159">
        <v>196</v>
      </c>
      <c r="G1159" t="str">
        <f>VLOOKUP(VLOOKUP(order_details[[#This Row],[ProductID]], products[], 4, FALSE), categories[], 2, FALSE)</f>
        <v>Beverages</v>
      </c>
      <c r="H1159">
        <f>VLOOKUP(order_details[[#This Row],[ProductID]], products[], 4, FALSE)</f>
        <v>1</v>
      </c>
      <c r="I1159" t="str">
        <f>VLOOKUP(order_details[[#This Row],[OrderID]], orders[[OrderID]:[ShipCountry]], 14, FALSE)</f>
        <v>Denmark</v>
      </c>
      <c r="J1159" s="1">
        <f>_xlfn.XLOOKUP(order_details[[#This Row],[OrderID]], orders[OrderID], orders[Month])</f>
        <v>11</v>
      </c>
    </row>
    <row r="1160" spans="1:10" x14ac:dyDescent="0.35">
      <c r="A1160">
        <v>10689</v>
      </c>
      <c r="B1160">
        <v>1</v>
      </c>
      <c r="C1160">
        <v>18</v>
      </c>
      <c r="D1160">
        <v>35</v>
      </c>
      <c r="E1160">
        <v>0.25</v>
      </c>
      <c r="F1160">
        <v>472.5</v>
      </c>
      <c r="G1160" t="str">
        <f>VLOOKUP(VLOOKUP(order_details[[#This Row],[ProductID]], products[], 4, FALSE), categories[], 2, FALSE)</f>
        <v>Beverages</v>
      </c>
      <c r="H1160">
        <f>VLOOKUP(order_details[[#This Row],[ProductID]], products[], 4, FALSE)</f>
        <v>1</v>
      </c>
      <c r="I1160" t="str">
        <f>VLOOKUP(order_details[[#This Row],[OrderID]], orders[[OrderID]:[ShipCountry]], 14, FALSE)</f>
        <v>Sweden</v>
      </c>
      <c r="J1160" s="1">
        <f>_xlfn.XLOOKUP(order_details[[#This Row],[OrderID]], orders[OrderID], orders[Month])</f>
        <v>11</v>
      </c>
    </row>
    <row r="1161" spans="1:10" x14ac:dyDescent="0.35">
      <c r="A1161">
        <v>10690</v>
      </c>
      <c r="B1161">
        <v>56</v>
      </c>
      <c r="C1161">
        <v>38</v>
      </c>
      <c r="D1161">
        <v>20</v>
      </c>
      <c r="E1161">
        <v>0.25</v>
      </c>
      <c r="F1161">
        <v>570</v>
      </c>
      <c r="G1161" t="str">
        <f>VLOOKUP(VLOOKUP(order_details[[#This Row],[ProductID]], products[], 4, FALSE), categories[], 2, FALSE)</f>
        <v>Grains/Cereals</v>
      </c>
      <c r="H1161">
        <f>VLOOKUP(order_details[[#This Row],[ProductID]], products[], 4, FALSE)</f>
        <v>5</v>
      </c>
      <c r="I1161" t="str">
        <f>VLOOKUP(order_details[[#This Row],[OrderID]], orders[[OrderID]:[ShipCountry]], 14, FALSE)</f>
        <v>Brazil</v>
      </c>
      <c r="J1161" s="1">
        <f>_xlfn.XLOOKUP(order_details[[#This Row],[OrderID]], orders[OrderID], orders[Month])</f>
        <v>11</v>
      </c>
    </row>
    <row r="1162" spans="1:10" x14ac:dyDescent="0.35">
      <c r="A1162">
        <v>10690</v>
      </c>
      <c r="B1162">
        <v>77</v>
      </c>
      <c r="C1162">
        <v>13</v>
      </c>
      <c r="D1162">
        <v>30</v>
      </c>
      <c r="E1162">
        <v>0.25</v>
      </c>
      <c r="F1162">
        <v>292.5</v>
      </c>
      <c r="G1162" t="str">
        <f>VLOOKUP(VLOOKUP(order_details[[#This Row],[ProductID]], products[], 4, FALSE), categories[], 2, FALSE)</f>
        <v>Condiments</v>
      </c>
      <c r="H1162">
        <f>VLOOKUP(order_details[[#This Row],[ProductID]], products[], 4, FALSE)</f>
        <v>2</v>
      </c>
      <c r="I1162" t="str">
        <f>VLOOKUP(order_details[[#This Row],[OrderID]], orders[[OrderID]:[ShipCountry]], 14, FALSE)</f>
        <v>Brazil</v>
      </c>
      <c r="J1162" s="1">
        <f>_xlfn.XLOOKUP(order_details[[#This Row],[OrderID]], orders[OrderID], orders[Month])</f>
        <v>11</v>
      </c>
    </row>
    <row r="1163" spans="1:10" x14ac:dyDescent="0.35">
      <c r="A1163">
        <v>10691</v>
      </c>
      <c r="B1163">
        <v>1</v>
      </c>
      <c r="C1163">
        <v>18</v>
      </c>
      <c r="D1163">
        <v>30</v>
      </c>
      <c r="E1163">
        <v>0</v>
      </c>
      <c r="F1163">
        <v>540</v>
      </c>
      <c r="G1163" t="str">
        <f>VLOOKUP(VLOOKUP(order_details[[#This Row],[ProductID]], products[], 4, FALSE), categories[], 2, FALSE)</f>
        <v>Beverages</v>
      </c>
      <c r="H1163">
        <f>VLOOKUP(order_details[[#This Row],[ProductID]], products[], 4, FALSE)</f>
        <v>1</v>
      </c>
      <c r="I1163" t="str">
        <f>VLOOKUP(order_details[[#This Row],[OrderID]], orders[[OrderID]:[ShipCountry]], 14, FALSE)</f>
        <v>Germany</v>
      </c>
      <c r="J1163" s="1">
        <f>_xlfn.XLOOKUP(order_details[[#This Row],[OrderID]], orders[OrderID], orders[Month])</f>
        <v>11</v>
      </c>
    </row>
    <row r="1164" spans="1:10" x14ac:dyDescent="0.35">
      <c r="A1164">
        <v>10691</v>
      </c>
      <c r="B1164">
        <v>29</v>
      </c>
      <c r="C1164">
        <v>123.79</v>
      </c>
      <c r="D1164">
        <v>40</v>
      </c>
      <c r="E1164">
        <v>0</v>
      </c>
      <c r="F1164">
        <v>4951.6000000000004</v>
      </c>
      <c r="G1164" t="str">
        <f>VLOOKUP(VLOOKUP(order_details[[#This Row],[ProductID]], products[], 4, FALSE), categories[], 2, FALSE)</f>
        <v>Meat/Poultry</v>
      </c>
      <c r="H1164">
        <f>VLOOKUP(order_details[[#This Row],[ProductID]], products[], 4, FALSE)</f>
        <v>6</v>
      </c>
      <c r="I1164" t="str">
        <f>VLOOKUP(order_details[[#This Row],[OrderID]], orders[[OrderID]:[ShipCountry]], 14, FALSE)</f>
        <v>Germany</v>
      </c>
      <c r="J1164" s="1">
        <f>_xlfn.XLOOKUP(order_details[[#This Row],[OrderID]], orders[OrderID], orders[Month])</f>
        <v>11</v>
      </c>
    </row>
    <row r="1165" spans="1:10" x14ac:dyDescent="0.35">
      <c r="A1165">
        <v>10691</v>
      </c>
      <c r="B1165">
        <v>43</v>
      </c>
      <c r="C1165">
        <v>46</v>
      </c>
      <c r="D1165">
        <v>40</v>
      </c>
      <c r="E1165">
        <v>0</v>
      </c>
      <c r="F1165">
        <v>1840</v>
      </c>
      <c r="G1165" t="str">
        <f>VLOOKUP(VLOOKUP(order_details[[#This Row],[ProductID]], products[], 4, FALSE), categories[], 2, FALSE)</f>
        <v>Beverages</v>
      </c>
      <c r="H1165">
        <f>VLOOKUP(order_details[[#This Row],[ProductID]], products[], 4, FALSE)</f>
        <v>1</v>
      </c>
      <c r="I1165" t="str">
        <f>VLOOKUP(order_details[[#This Row],[OrderID]], orders[[OrderID]:[ShipCountry]], 14, FALSE)</f>
        <v>Germany</v>
      </c>
      <c r="J1165" s="1">
        <f>_xlfn.XLOOKUP(order_details[[#This Row],[OrderID]], orders[OrderID], orders[Month])</f>
        <v>11</v>
      </c>
    </row>
    <row r="1166" spans="1:10" x14ac:dyDescent="0.35">
      <c r="A1166">
        <v>10691</v>
      </c>
      <c r="B1166">
        <v>44</v>
      </c>
      <c r="C1166">
        <v>19.45</v>
      </c>
      <c r="D1166">
        <v>24</v>
      </c>
      <c r="E1166">
        <v>0</v>
      </c>
      <c r="F1166">
        <v>466.79999999999995</v>
      </c>
      <c r="G1166" t="str">
        <f>VLOOKUP(VLOOKUP(order_details[[#This Row],[ProductID]], products[], 4, FALSE), categories[], 2, FALSE)</f>
        <v>Condiments</v>
      </c>
      <c r="H1166">
        <f>VLOOKUP(order_details[[#This Row],[ProductID]], products[], 4, FALSE)</f>
        <v>2</v>
      </c>
      <c r="I1166" t="str">
        <f>VLOOKUP(order_details[[#This Row],[OrderID]], orders[[OrderID]:[ShipCountry]], 14, FALSE)</f>
        <v>Germany</v>
      </c>
      <c r="J1166" s="1">
        <f>_xlfn.XLOOKUP(order_details[[#This Row],[OrderID]], orders[OrderID], orders[Month])</f>
        <v>11</v>
      </c>
    </row>
    <row r="1167" spans="1:10" x14ac:dyDescent="0.35">
      <c r="A1167">
        <v>10691</v>
      </c>
      <c r="B1167">
        <v>62</v>
      </c>
      <c r="C1167">
        <v>49.3</v>
      </c>
      <c r="D1167">
        <v>48</v>
      </c>
      <c r="E1167">
        <v>0</v>
      </c>
      <c r="F1167">
        <v>2366.3999999999996</v>
      </c>
      <c r="G1167" t="str">
        <f>VLOOKUP(VLOOKUP(order_details[[#This Row],[ProductID]], products[], 4, FALSE), categories[], 2, FALSE)</f>
        <v>Confections</v>
      </c>
      <c r="H1167">
        <f>VLOOKUP(order_details[[#This Row],[ProductID]], products[], 4, FALSE)</f>
        <v>3</v>
      </c>
      <c r="I1167" t="str">
        <f>VLOOKUP(order_details[[#This Row],[OrderID]], orders[[OrderID]:[ShipCountry]], 14, FALSE)</f>
        <v>Germany</v>
      </c>
      <c r="J1167" s="1">
        <f>_xlfn.XLOOKUP(order_details[[#This Row],[OrderID]], orders[OrderID], orders[Month])</f>
        <v>11</v>
      </c>
    </row>
    <row r="1168" spans="1:10" x14ac:dyDescent="0.35">
      <c r="A1168">
        <v>10692</v>
      </c>
      <c r="B1168">
        <v>63</v>
      </c>
      <c r="C1168">
        <v>43.9</v>
      </c>
      <c r="D1168">
        <v>20</v>
      </c>
      <c r="E1168">
        <v>0</v>
      </c>
      <c r="F1168">
        <v>878</v>
      </c>
      <c r="G1168" t="str">
        <f>VLOOKUP(VLOOKUP(order_details[[#This Row],[ProductID]], products[], 4, FALSE), categories[], 2, FALSE)</f>
        <v>Condiments</v>
      </c>
      <c r="H1168">
        <f>VLOOKUP(order_details[[#This Row],[ProductID]], products[], 4, FALSE)</f>
        <v>2</v>
      </c>
      <c r="I1168" t="str">
        <f>VLOOKUP(order_details[[#This Row],[OrderID]], orders[[OrderID]:[ShipCountry]], 14, FALSE)</f>
        <v>Germany</v>
      </c>
      <c r="J1168" s="1">
        <f>_xlfn.XLOOKUP(order_details[[#This Row],[OrderID]], orders[OrderID], orders[Month])</f>
        <v>11</v>
      </c>
    </row>
    <row r="1169" spans="1:10" x14ac:dyDescent="0.35">
      <c r="A1169">
        <v>10693</v>
      </c>
      <c r="B1169">
        <v>9</v>
      </c>
      <c r="C1169">
        <v>97</v>
      </c>
      <c r="D1169">
        <v>6</v>
      </c>
      <c r="E1169">
        <v>0</v>
      </c>
      <c r="F1169">
        <v>582</v>
      </c>
      <c r="G1169" t="str">
        <f>VLOOKUP(VLOOKUP(order_details[[#This Row],[ProductID]], products[], 4, FALSE), categories[], 2, FALSE)</f>
        <v>Meat/Poultry</v>
      </c>
      <c r="H1169">
        <f>VLOOKUP(order_details[[#This Row],[ProductID]], products[], 4, FALSE)</f>
        <v>6</v>
      </c>
      <c r="I1169" t="str">
        <f>VLOOKUP(order_details[[#This Row],[OrderID]], orders[[OrderID]:[ShipCountry]], 14, FALSE)</f>
        <v>USA</v>
      </c>
      <c r="J1169" s="1">
        <f>_xlfn.XLOOKUP(order_details[[#This Row],[OrderID]], orders[OrderID], orders[Month])</f>
        <v>11</v>
      </c>
    </row>
    <row r="1170" spans="1:10" x14ac:dyDescent="0.35">
      <c r="A1170">
        <v>10693</v>
      </c>
      <c r="B1170">
        <v>54</v>
      </c>
      <c r="C1170">
        <v>7.45</v>
      </c>
      <c r="D1170">
        <v>60</v>
      </c>
      <c r="E1170">
        <v>0.15</v>
      </c>
      <c r="F1170">
        <v>379.95</v>
      </c>
      <c r="G1170" t="str">
        <f>VLOOKUP(VLOOKUP(order_details[[#This Row],[ProductID]], products[], 4, FALSE), categories[], 2, FALSE)</f>
        <v>Meat/Poultry</v>
      </c>
      <c r="H1170">
        <f>VLOOKUP(order_details[[#This Row],[ProductID]], products[], 4, FALSE)</f>
        <v>6</v>
      </c>
      <c r="I1170" t="str">
        <f>VLOOKUP(order_details[[#This Row],[OrderID]], orders[[OrderID]:[ShipCountry]], 14, FALSE)</f>
        <v>USA</v>
      </c>
      <c r="J1170" s="1">
        <f>_xlfn.XLOOKUP(order_details[[#This Row],[OrderID]], orders[OrderID], orders[Month])</f>
        <v>11</v>
      </c>
    </row>
    <row r="1171" spans="1:10" x14ac:dyDescent="0.35">
      <c r="A1171">
        <v>10693</v>
      </c>
      <c r="B1171">
        <v>69</v>
      </c>
      <c r="C1171">
        <v>36</v>
      </c>
      <c r="D1171">
        <v>30</v>
      </c>
      <c r="E1171">
        <v>0.15</v>
      </c>
      <c r="F1171">
        <v>918</v>
      </c>
      <c r="G1171" t="str">
        <f>VLOOKUP(VLOOKUP(order_details[[#This Row],[ProductID]], products[], 4, FALSE), categories[], 2, FALSE)</f>
        <v>Dairy Products</v>
      </c>
      <c r="H1171">
        <f>VLOOKUP(order_details[[#This Row],[ProductID]], products[], 4, FALSE)</f>
        <v>4</v>
      </c>
      <c r="I1171" t="str">
        <f>VLOOKUP(order_details[[#This Row],[OrderID]], orders[[OrderID]:[ShipCountry]], 14, FALSE)</f>
        <v>USA</v>
      </c>
      <c r="J1171" s="1">
        <f>_xlfn.XLOOKUP(order_details[[#This Row],[OrderID]], orders[OrderID], orders[Month])</f>
        <v>11</v>
      </c>
    </row>
    <row r="1172" spans="1:10" x14ac:dyDescent="0.35">
      <c r="A1172">
        <v>10693</v>
      </c>
      <c r="B1172">
        <v>73</v>
      </c>
      <c r="C1172">
        <v>15</v>
      </c>
      <c r="D1172">
        <v>15</v>
      </c>
      <c r="E1172">
        <v>0.15</v>
      </c>
      <c r="F1172">
        <v>191.25</v>
      </c>
      <c r="G1172" t="str">
        <f>VLOOKUP(VLOOKUP(order_details[[#This Row],[ProductID]], products[], 4, FALSE), categories[], 2, FALSE)</f>
        <v>Seafood</v>
      </c>
      <c r="H1172">
        <f>VLOOKUP(order_details[[#This Row],[ProductID]], products[], 4, FALSE)</f>
        <v>8</v>
      </c>
      <c r="I1172" t="str">
        <f>VLOOKUP(order_details[[#This Row],[OrderID]], orders[[OrderID]:[ShipCountry]], 14, FALSE)</f>
        <v>USA</v>
      </c>
      <c r="J1172" s="1">
        <f>_xlfn.XLOOKUP(order_details[[#This Row],[OrderID]], orders[OrderID], orders[Month])</f>
        <v>11</v>
      </c>
    </row>
    <row r="1173" spans="1:10" x14ac:dyDescent="0.35">
      <c r="A1173">
        <v>10694</v>
      </c>
      <c r="B1173">
        <v>7</v>
      </c>
      <c r="C1173">
        <v>30</v>
      </c>
      <c r="D1173">
        <v>90</v>
      </c>
      <c r="E1173">
        <v>0</v>
      </c>
      <c r="F1173">
        <v>2700</v>
      </c>
      <c r="G1173" t="str">
        <f>VLOOKUP(VLOOKUP(order_details[[#This Row],[ProductID]], products[], 4, FALSE), categories[], 2, FALSE)</f>
        <v>Produce</v>
      </c>
      <c r="H1173">
        <f>VLOOKUP(order_details[[#This Row],[ProductID]], products[], 4, FALSE)</f>
        <v>7</v>
      </c>
      <c r="I1173" t="str">
        <f>VLOOKUP(order_details[[#This Row],[OrderID]], orders[[OrderID]:[ShipCountry]], 14, FALSE)</f>
        <v>Germany</v>
      </c>
      <c r="J1173" s="1">
        <f>_xlfn.XLOOKUP(order_details[[#This Row],[OrderID]], orders[OrderID], orders[Month])</f>
        <v>11</v>
      </c>
    </row>
    <row r="1174" spans="1:10" x14ac:dyDescent="0.35">
      <c r="A1174">
        <v>10694</v>
      </c>
      <c r="B1174">
        <v>59</v>
      </c>
      <c r="C1174">
        <v>55</v>
      </c>
      <c r="D1174">
        <v>25</v>
      </c>
      <c r="E1174">
        <v>0</v>
      </c>
      <c r="F1174">
        <v>1375</v>
      </c>
      <c r="G1174" t="str">
        <f>VLOOKUP(VLOOKUP(order_details[[#This Row],[ProductID]], products[], 4, FALSE), categories[], 2, FALSE)</f>
        <v>Dairy Products</v>
      </c>
      <c r="H1174">
        <f>VLOOKUP(order_details[[#This Row],[ProductID]], products[], 4, FALSE)</f>
        <v>4</v>
      </c>
      <c r="I1174" t="str">
        <f>VLOOKUP(order_details[[#This Row],[OrderID]], orders[[OrderID]:[ShipCountry]], 14, FALSE)</f>
        <v>Germany</v>
      </c>
      <c r="J1174" s="1">
        <f>_xlfn.XLOOKUP(order_details[[#This Row],[OrderID]], orders[OrderID], orders[Month])</f>
        <v>11</v>
      </c>
    </row>
    <row r="1175" spans="1:10" x14ac:dyDescent="0.35">
      <c r="A1175">
        <v>10694</v>
      </c>
      <c r="B1175">
        <v>70</v>
      </c>
      <c r="C1175">
        <v>15</v>
      </c>
      <c r="D1175">
        <v>50</v>
      </c>
      <c r="E1175">
        <v>0</v>
      </c>
      <c r="F1175">
        <v>750</v>
      </c>
      <c r="G1175" t="str">
        <f>VLOOKUP(VLOOKUP(order_details[[#This Row],[ProductID]], products[], 4, FALSE), categories[], 2, FALSE)</f>
        <v>Beverages</v>
      </c>
      <c r="H1175">
        <f>VLOOKUP(order_details[[#This Row],[ProductID]], products[], 4, FALSE)</f>
        <v>1</v>
      </c>
      <c r="I1175" t="str">
        <f>VLOOKUP(order_details[[#This Row],[OrderID]], orders[[OrderID]:[ShipCountry]], 14, FALSE)</f>
        <v>Germany</v>
      </c>
      <c r="J1175" s="1">
        <f>_xlfn.XLOOKUP(order_details[[#This Row],[OrderID]], orders[OrderID], orders[Month])</f>
        <v>11</v>
      </c>
    </row>
    <row r="1176" spans="1:10" x14ac:dyDescent="0.35">
      <c r="A1176">
        <v>10695</v>
      </c>
      <c r="B1176">
        <v>8</v>
      </c>
      <c r="C1176">
        <v>40</v>
      </c>
      <c r="D1176">
        <v>10</v>
      </c>
      <c r="E1176">
        <v>0</v>
      </c>
      <c r="F1176">
        <v>400</v>
      </c>
      <c r="G1176" t="str">
        <f>VLOOKUP(VLOOKUP(order_details[[#This Row],[ProductID]], products[], 4, FALSE), categories[], 2, FALSE)</f>
        <v>Condiments</v>
      </c>
      <c r="H1176">
        <f>VLOOKUP(order_details[[#This Row],[ProductID]], products[], 4, FALSE)</f>
        <v>2</v>
      </c>
      <c r="I1176" t="str">
        <f>VLOOKUP(order_details[[#This Row],[OrderID]], orders[[OrderID]:[ShipCountry]], 14, FALSE)</f>
        <v>Finland</v>
      </c>
      <c r="J1176" s="1">
        <f>_xlfn.XLOOKUP(order_details[[#This Row],[OrderID]], orders[OrderID], orders[Month])</f>
        <v>11</v>
      </c>
    </row>
    <row r="1177" spans="1:10" x14ac:dyDescent="0.35">
      <c r="A1177">
        <v>10695</v>
      </c>
      <c r="B1177">
        <v>12</v>
      </c>
      <c r="C1177">
        <v>38</v>
      </c>
      <c r="D1177">
        <v>4</v>
      </c>
      <c r="E1177">
        <v>0</v>
      </c>
      <c r="F1177">
        <v>152</v>
      </c>
      <c r="G1177" t="str">
        <f>VLOOKUP(VLOOKUP(order_details[[#This Row],[ProductID]], products[], 4, FALSE), categories[], 2, FALSE)</f>
        <v>Dairy Products</v>
      </c>
      <c r="H1177">
        <f>VLOOKUP(order_details[[#This Row],[ProductID]], products[], 4, FALSE)</f>
        <v>4</v>
      </c>
      <c r="I1177" t="str">
        <f>VLOOKUP(order_details[[#This Row],[OrderID]], orders[[OrderID]:[ShipCountry]], 14, FALSE)</f>
        <v>Finland</v>
      </c>
      <c r="J1177" s="1">
        <f>_xlfn.XLOOKUP(order_details[[#This Row],[OrderID]], orders[OrderID], orders[Month])</f>
        <v>11</v>
      </c>
    </row>
    <row r="1178" spans="1:10" x14ac:dyDescent="0.35">
      <c r="A1178">
        <v>10695</v>
      </c>
      <c r="B1178">
        <v>24</v>
      </c>
      <c r="C1178">
        <v>4.5</v>
      </c>
      <c r="D1178">
        <v>20</v>
      </c>
      <c r="E1178">
        <v>0</v>
      </c>
      <c r="F1178">
        <v>90</v>
      </c>
      <c r="G1178" t="str">
        <f>VLOOKUP(VLOOKUP(order_details[[#This Row],[ProductID]], products[], 4, FALSE), categories[], 2, FALSE)</f>
        <v>Beverages</v>
      </c>
      <c r="H1178">
        <f>VLOOKUP(order_details[[#This Row],[ProductID]], products[], 4, FALSE)</f>
        <v>1</v>
      </c>
      <c r="I1178" t="str">
        <f>VLOOKUP(order_details[[#This Row],[OrderID]], orders[[OrderID]:[ShipCountry]], 14, FALSE)</f>
        <v>Finland</v>
      </c>
      <c r="J1178" s="1">
        <f>_xlfn.XLOOKUP(order_details[[#This Row],[OrderID]], orders[OrderID], orders[Month])</f>
        <v>11</v>
      </c>
    </row>
    <row r="1179" spans="1:10" x14ac:dyDescent="0.35">
      <c r="A1179">
        <v>10696</v>
      </c>
      <c r="B1179">
        <v>17</v>
      </c>
      <c r="C1179">
        <v>39</v>
      </c>
      <c r="D1179">
        <v>20</v>
      </c>
      <c r="E1179">
        <v>0</v>
      </c>
      <c r="F1179">
        <v>780</v>
      </c>
      <c r="G1179" t="str">
        <f>VLOOKUP(VLOOKUP(order_details[[#This Row],[ProductID]], products[], 4, FALSE), categories[], 2, FALSE)</f>
        <v>Meat/Poultry</v>
      </c>
      <c r="H1179">
        <f>VLOOKUP(order_details[[#This Row],[ProductID]], products[], 4, FALSE)</f>
        <v>6</v>
      </c>
      <c r="I1179" t="str">
        <f>VLOOKUP(order_details[[#This Row],[OrderID]], orders[[OrderID]:[ShipCountry]], 14, FALSE)</f>
        <v>USA</v>
      </c>
      <c r="J1179" s="1">
        <f>_xlfn.XLOOKUP(order_details[[#This Row],[OrderID]], orders[OrderID], orders[Month])</f>
        <v>11</v>
      </c>
    </row>
    <row r="1180" spans="1:10" x14ac:dyDescent="0.35">
      <c r="A1180">
        <v>10696</v>
      </c>
      <c r="B1180">
        <v>46</v>
      </c>
      <c r="C1180">
        <v>12</v>
      </c>
      <c r="D1180">
        <v>18</v>
      </c>
      <c r="E1180">
        <v>0</v>
      </c>
      <c r="F1180">
        <v>216</v>
      </c>
      <c r="G1180" t="str">
        <f>VLOOKUP(VLOOKUP(order_details[[#This Row],[ProductID]], products[], 4, FALSE), categories[], 2, FALSE)</f>
        <v>Seafood</v>
      </c>
      <c r="H1180">
        <f>VLOOKUP(order_details[[#This Row],[ProductID]], products[], 4, FALSE)</f>
        <v>8</v>
      </c>
      <c r="I1180" t="str">
        <f>VLOOKUP(order_details[[#This Row],[OrderID]], orders[[OrderID]:[ShipCountry]], 14, FALSE)</f>
        <v>USA</v>
      </c>
      <c r="J1180" s="1">
        <f>_xlfn.XLOOKUP(order_details[[#This Row],[OrderID]], orders[OrderID], orders[Month])</f>
        <v>11</v>
      </c>
    </row>
    <row r="1181" spans="1:10" x14ac:dyDescent="0.35">
      <c r="A1181">
        <v>10697</v>
      </c>
      <c r="B1181">
        <v>19</v>
      </c>
      <c r="C1181">
        <v>9.1999999999999993</v>
      </c>
      <c r="D1181">
        <v>7</v>
      </c>
      <c r="E1181">
        <v>0.25</v>
      </c>
      <c r="F1181">
        <v>48.3</v>
      </c>
      <c r="G1181" t="str">
        <f>VLOOKUP(VLOOKUP(order_details[[#This Row],[ProductID]], products[], 4, FALSE), categories[], 2, FALSE)</f>
        <v>Confections</v>
      </c>
      <c r="H1181">
        <f>VLOOKUP(order_details[[#This Row],[ProductID]], products[], 4, FALSE)</f>
        <v>3</v>
      </c>
      <c r="I1181" t="str">
        <f>VLOOKUP(order_details[[#This Row],[OrderID]], orders[[OrderID]:[ShipCountry]], 14, FALSE)</f>
        <v>Venezuela</v>
      </c>
      <c r="J1181" s="1">
        <f>_xlfn.XLOOKUP(order_details[[#This Row],[OrderID]], orders[OrderID], orders[Month])</f>
        <v>11</v>
      </c>
    </row>
    <row r="1182" spans="1:10" x14ac:dyDescent="0.35">
      <c r="A1182">
        <v>10697</v>
      </c>
      <c r="B1182">
        <v>35</v>
      </c>
      <c r="C1182">
        <v>18</v>
      </c>
      <c r="D1182">
        <v>9</v>
      </c>
      <c r="E1182">
        <v>0.25</v>
      </c>
      <c r="F1182">
        <v>121.5</v>
      </c>
      <c r="G1182" t="str">
        <f>VLOOKUP(VLOOKUP(order_details[[#This Row],[ProductID]], products[], 4, FALSE), categories[], 2, FALSE)</f>
        <v>Beverages</v>
      </c>
      <c r="H1182">
        <f>VLOOKUP(order_details[[#This Row],[ProductID]], products[], 4, FALSE)</f>
        <v>1</v>
      </c>
      <c r="I1182" t="str">
        <f>VLOOKUP(order_details[[#This Row],[OrderID]], orders[[OrderID]:[ShipCountry]], 14, FALSE)</f>
        <v>Venezuela</v>
      </c>
      <c r="J1182" s="1">
        <f>_xlfn.XLOOKUP(order_details[[#This Row],[OrderID]], orders[OrderID], orders[Month])</f>
        <v>11</v>
      </c>
    </row>
    <row r="1183" spans="1:10" x14ac:dyDescent="0.35">
      <c r="A1183">
        <v>10697</v>
      </c>
      <c r="B1183">
        <v>58</v>
      </c>
      <c r="C1183">
        <v>13.25</v>
      </c>
      <c r="D1183">
        <v>30</v>
      </c>
      <c r="E1183">
        <v>0.25</v>
      </c>
      <c r="F1183">
        <v>298.125</v>
      </c>
      <c r="G1183" t="str">
        <f>VLOOKUP(VLOOKUP(order_details[[#This Row],[ProductID]], products[], 4, FALSE), categories[], 2, FALSE)</f>
        <v>Seafood</v>
      </c>
      <c r="H1183">
        <f>VLOOKUP(order_details[[#This Row],[ProductID]], products[], 4, FALSE)</f>
        <v>8</v>
      </c>
      <c r="I1183" t="str">
        <f>VLOOKUP(order_details[[#This Row],[OrderID]], orders[[OrderID]:[ShipCountry]], 14, FALSE)</f>
        <v>Venezuela</v>
      </c>
      <c r="J1183" s="1">
        <f>_xlfn.XLOOKUP(order_details[[#This Row],[OrderID]], orders[OrderID], orders[Month])</f>
        <v>11</v>
      </c>
    </row>
    <row r="1184" spans="1:10" x14ac:dyDescent="0.35">
      <c r="A1184">
        <v>10697</v>
      </c>
      <c r="B1184">
        <v>70</v>
      </c>
      <c r="C1184">
        <v>15</v>
      </c>
      <c r="D1184">
        <v>30</v>
      </c>
      <c r="E1184">
        <v>0.25</v>
      </c>
      <c r="F1184">
        <v>337.5</v>
      </c>
      <c r="G1184" t="str">
        <f>VLOOKUP(VLOOKUP(order_details[[#This Row],[ProductID]], products[], 4, FALSE), categories[], 2, FALSE)</f>
        <v>Beverages</v>
      </c>
      <c r="H1184">
        <f>VLOOKUP(order_details[[#This Row],[ProductID]], products[], 4, FALSE)</f>
        <v>1</v>
      </c>
      <c r="I1184" t="str">
        <f>VLOOKUP(order_details[[#This Row],[OrderID]], orders[[OrderID]:[ShipCountry]], 14, FALSE)</f>
        <v>Venezuela</v>
      </c>
      <c r="J1184" s="1">
        <f>_xlfn.XLOOKUP(order_details[[#This Row],[OrderID]], orders[OrderID], orders[Month])</f>
        <v>11</v>
      </c>
    </row>
    <row r="1185" spans="1:10" x14ac:dyDescent="0.35">
      <c r="A1185">
        <v>10698</v>
      </c>
      <c r="B1185">
        <v>11</v>
      </c>
      <c r="C1185">
        <v>21</v>
      </c>
      <c r="D1185">
        <v>15</v>
      </c>
      <c r="E1185">
        <v>0</v>
      </c>
      <c r="F1185">
        <v>315</v>
      </c>
      <c r="G1185" t="str">
        <f>VLOOKUP(VLOOKUP(order_details[[#This Row],[ProductID]], products[], 4, FALSE), categories[], 2, FALSE)</f>
        <v>Dairy Products</v>
      </c>
      <c r="H1185">
        <f>VLOOKUP(order_details[[#This Row],[ProductID]], products[], 4, FALSE)</f>
        <v>4</v>
      </c>
      <c r="I1185" t="str">
        <f>VLOOKUP(order_details[[#This Row],[OrderID]], orders[[OrderID]:[ShipCountry]], 14, FALSE)</f>
        <v>Austria</v>
      </c>
      <c r="J1185" s="1">
        <f>_xlfn.XLOOKUP(order_details[[#This Row],[OrderID]], orders[OrderID], orders[Month])</f>
        <v>11</v>
      </c>
    </row>
    <row r="1186" spans="1:10" x14ac:dyDescent="0.35">
      <c r="A1186">
        <v>10698</v>
      </c>
      <c r="B1186">
        <v>17</v>
      </c>
      <c r="C1186">
        <v>39</v>
      </c>
      <c r="D1186">
        <v>8</v>
      </c>
      <c r="E1186">
        <v>0.05</v>
      </c>
      <c r="F1186">
        <v>296.39999999999998</v>
      </c>
      <c r="G1186" t="str">
        <f>VLOOKUP(VLOOKUP(order_details[[#This Row],[ProductID]], products[], 4, FALSE), categories[], 2, FALSE)</f>
        <v>Meat/Poultry</v>
      </c>
      <c r="H1186">
        <f>VLOOKUP(order_details[[#This Row],[ProductID]], products[], 4, FALSE)</f>
        <v>6</v>
      </c>
      <c r="I1186" t="str">
        <f>VLOOKUP(order_details[[#This Row],[OrderID]], orders[[OrderID]:[ShipCountry]], 14, FALSE)</f>
        <v>Austria</v>
      </c>
      <c r="J1186" s="1">
        <f>_xlfn.XLOOKUP(order_details[[#This Row],[OrderID]], orders[OrderID], orders[Month])</f>
        <v>11</v>
      </c>
    </row>
    <row r="1187" spans="1:10" x14ac:dyDescent="0.35">
      <c r="A1187">
        <v>10698</v>
      </c>
      <c r="B1187">
        <v>29</v>
      </c>
      <c r="C1187">
        <v>123.79</v>
      </c>
      <c r="D1187">
        <v>12</v>
      </c>
      <c r="E1187">
        <v>0.05</v>
      </c>
      <c r="F1187">
        <v>1411.2059999999999</v>
      </c>
      <c r="G1187" t="str">
        <f>VLOOKUP(VLOOKUP(order_details[[#This Row],[ProductID]], products[], 4, FALSE), categories[], 2, FALSE)</f>
        <v>Meat/Poultry</v>
      </c>
      <c r="H1187">
        <f>VLOOKUP(order_details[[#This Row],[ProductID]], products[], 4, FALSE)</f>
        <v>6</v>
      </c>
      <c r="I1187" t="str">
        <f>VLOOKUP(order_details[[#This Row],[OrderID]], orders[[OrderID]:[ShipCountry]], 14, FALSE)</f>
        <v>Austria</v>
      </c>
      <c r="J1187" s="1">
        <f>_xlfn.XLOOKUP(order_details[[#This Row],[OrderID]], orders[OrderID], orders[Month])</f>
        <v>11</v>
      </c>
    </row>
    <row r="1188" spans="1:10" x14ac:dyDescent="0.35">
      <c r="A1188">
        <v>10698</v>
      </c>
      <c r="B1188">
        <v>65</v>
      </c>
      <c r="C1188">
        <v>21.05</v>
      </c>
      <c r="D1188">
        <v>65</v>
      </c>
      <c r="E1188">
        <v>0.05</v>
      </c>
      <c r="F1188">
        <v>1299.8374999999999</v>
      </c>
      <c r="G1188" t="str">
        <f>VLOOKUP(VLOOKUP(order_details[[#This Row],[ProductID]], products[], 4, FALSE), categories[], 2, FALSE)</f>
        <v>Condiments</v>
      </c>
      <c r="H1188">
        <f>VLOOKUP(order_details[[#This Row],[ProductID]], products[], 4, FALSE)</f>
        <v>2</v>
      </c>
      <c r="I1188" t="str">
        <f>VLOOKUP(order_details[[#This Row],[OrderID]], orders[[OrderID]:[ShipCountry]], 14, FALSE)</f>
        <v>Austria</v>
      </c>
      <c r="J1188" s="1">
        <f>_xlfn.XLOOKUP(order_details[[#This Row],[OrderID]], orders[OrderID], orders[Month])</f>
        <v>11</v>
      </c>
    </row>
    <row r="1189" spans="1:10" x14ac:dyDescent="0.35">
      <c r="A1189">
        <v>10698</v>
      </c>
      <c r="B1189">
        <v>70</v>
      </c>
      <c r="C1189">
        <v>15</v>
      </c>
      <c r="D1189">
        <v>8</v>
      </c>
      <c r="E1189">
        <v>0.05</v>
      </c>
      <c r="F1189">
        <v>114</v>
      </c>
      <c r="G1189" t="str">
        <f>VLOOKUP(VLOOKUP(order_details[[#This Row],[ProductID]], products[], 4, FALSE), categories[], 2, FALSE)</f>
        <v>Beverages</v>
      </c>
      <c r="H1189">
        <f>VLOOKUP(order_details[[#This Row],[ProductID]], products[], 4, FALSE)</f>
        <v>1</v>
      </c>
      <c r="I1189" t="str">
        <f>VLOOKUP(order_details[[#This Row],[OrderID]], orders[[OrderID]:[ShipCountry]], 14, FALSE)</f>
        <v>Austria</v>
      </c>
      <c r="J1189" s="1">
        <f>_xlfn.XLOOKUP(order_details[[#This Row],[OrderID]], orders[OrderID], orders[Month])</f>
        <v>11</v>
      </c>
    </row>
    <row r="1190" spans="1:10" x14ac:dyDescent="0.35">
      <c r="A1190">
        <v>10699</v>
      </c>
      <c r="B1190">
        <v>47</v>
      </c>
      <c r="C1190">
        <v>9.5</v>
      </c>
      <c r="D1190">
        <v>12</v>
      </c>
      <c r="E1190">
        <v>0</v>
      </c>
      <c r="F1190">
        <v>114</v>
      </c>
      <c r="G1190" t="str">
        <f>VLOOKUP(VLOOKUP(order_details[[#This Row],[ProductID]], products[], 4, FALSE), categories[], 2, FALSE)</f>
        <v>Confections</v>
      </c>
      <c r="H1190">
        <f>VLOOKUP(order_details[[#This Row],[ProductID]], products[], 4, FALSE)</f>
        <v>3</v>
      </c>
      <c r="I1190" t="str">
        <f>VLOOKUP(order_details[[#This Row],[OrderID]], orders[[OrderID]:[ShipCountry]], 14, FALSE)</f>
        <v>Germany</v>
      </c>
      <c r="J1190" s="1">
        <f>_xlfn.XLOOKUP(order_details[[#This Row],[OrderID]], orders[OrderID], orders[Month])</f>
        <v>11</v>
      </c>
    </row>
    <row r="1191" spans="1:10" x14ac:dyDescent="0.35">
      <c r="A1191">
        <v>10700</v>
      </c>
      <c r="B1191">
        <v>1</v>
      </c>
      <c r="C1191">
        <v>18</v>
      </c>
      <c r="D1191">
        <v>5</v>
      </c>
      <c r="E1191">
        <v>0.2</v>
      </c>
      <c r="F1191">
        <v>72</v>
      </c>
      <c r="G1191" t="str">
        <f>VLOOKUP(VLOOKUP(order_details[[#This Row],[ProductID]], products[], 4, FALSE), categories[], 2, FALSE)</f>
        <v>Beverages</v>
      </c>
      <c r="H1191">
        <f>VLOOKUP(order_details[[#This Row],[ProductID]], products[], 4, FALSE)</f>
        <v>1</v>
      </c>
      <c r="I1191" t="str">
        <f>VLOOKUP(order_details[[#This Row],[OrderID]], orders[[OrderID]:[ShipCountry]], 14, FALSE)</f>
        <v>USA</v>
      </c>
      <c r="J1191" s="1">
        <f>_xlfn.XLOOKUP(order_details[[#This Row],[OrderID]], orders[OrderID], orders[Month])</f>
        <v>11</v>
      </c>
    </row>
    <row r="1192" spans="1:10" x14ac:dyDescent="0.35">
      <c r="A1192">
        <v>10700</v>
      </c>
      <c r="B1192">
        <v>34</v>
      </c>
      <c r="C1192">
        <v>14</v>
      </c>
      <c r="D1192">
        <v>12</v>
      </c>
      <c r="E1192">
        <v>0.2</v>
      </c>
      <c r="F1192">
        <v>134.4</v>
      </c>
      <c r="G1192" t="str">
        <f>VLOOKUP(VLOOKUP(order_details[[#This Row],[ProductID]], products[], 4, FALSE), categories[], 2, FALSE)</f>
        <v>Beverages</v>
      </c>
      <c r="H1192">
        <f>VLOOKUP(order_details[[#This Row],[ProductID]], products[], 4, FALSE)</f>
        <v>1</v>
      </c>
      <c r="I1192" t="str">
        <f>VLOOKUP(order_details[[#This Row],[OrderID]], orders[[OrderID]:[ShipCountry]], 14, FALSE)</f>
        <v>USA</v>
      </c>
      <c r="J1192" s="1">
        <f>_xlfn.XLOOKUP(order_details[[#This Row],[OrderID]], orders[OrderID], orders[Month])</f>
        <v>11</v>
      </c>
    </row>
    <row r="1193" spans="1:10" x14ac:dyDescent="0.35">
      <c r="A1193">
        <v>10700</v>
      </c>
      <c r="B1193">
        <v>68</v>
      </c>
      <c r="C1193">
        <v>12.5</v>
      </c>
      <c r="D1193">
        <v>40</v>
      </c>
      <c r="E1193">
        <v>0.2</v>
      </c>
      <c r="F1193">
        <v>400</v>
      </c>
      <c r="G1193" t="str">
        <f>VLOOKUP(VLOOKUP(order_details[[#This Row],[ProductID]], products[], 4, FALSE), categories[], 2, FALSE)</f>
        <v>Confections</v>
      </c>
      <c r="H1193">
        <f>VLOOKUP(order_details[[#This Row],[ProductID]], products[], 4, FALSE)</f>
        <v>3</v>
      </c>
      <c r="I1193" t="str">
        <f>VLOOKUP(order_details[[#This Row],[OrderID]], orders[[OrderID]:[ShipCountry]], 14, FALSE)</f>
        <v>USA</v>
      </c>
      <c r="J1193" s="1">
        <f>_xlfn.XLOOKUP(order_details[[#This Row],[OrderID]], orders[OrderID], orders[Month])</f>
        <v>11</v>
      </c>
    </row>
    <row r="1194" spans="1:10" x14ac:dyDescent="0.35">
      <c r="A1194">
        <v>10700</v>
      </c>
      <c r="B1194">
        <v>71</v>
      </c>
      <c r="C1194">
        <v>21.5</v>
      </c>
      <c r="D1194">
        <v>60</v>
      </c>
      <c r="E1194">
        <v>0.2</v>
      </c>
      <c r="F1194">
        <v>1032</v>
      </c>
      <c r="G1194" t="str">
        <f>VLOOKUP(VLOOKUP(order_details[[#This Row],[ProductID]], products[], 4, FALSE), categories[], 2, FALSE)</f>
        <v>Dairy Products</v>
      </c>
      <c r="H1194">
        <f>VLOOKUP(order_details[[#This Row],[ProductID]], products[], 4, FALSE)</f>
        <v>4</v>
      </c>
      <c r="I1194" t="str">
        <f>VLOOKUP(order_details[[#This Row],[OrderID]], orders[[OrderID]:[ShipCountry]], 14, FALSE)</f>
        <v>USA</v>
      </c>
      <c r="J1194" s="1">
        <f>_xlfn.XLOOKUP(order_details[[#This Row],[OrderID]], orders[OrderID], orders[Month])</f>
        <v>11</v>
      </c>
    </row>
    <row r="1195" spans="1:10" x14ac:dyDescent="0.35">
      <c r="A1195">
        <v>10701</v>
      </c>
      <c r="B1195">
        <v>59</v>
      </c>
      <c r="C1195">
        <v>55</v>
      </c>
      <c r="D1195">
        <v>42</v>
      </c>
      <c r="E1195">
        <v>0.15</v>
      </c>
      <c r="F1195">
        <v>1963.5</v>
      </c>
      <c r="G1195" t="str">
        <f>VLOOKUP(VLOOKUP(order_details[[#This Row],[ProductID]], products[], 4, FALSE), categories[], 2, FALSE)</f>
        <v>Dairy Products</v>
      </c>
      <c r="H1195">
        <f>VLOOKUP(order_details[[#This Row],[ProductID]], products[], 4, FALSE)</f>
        <v>4</v>
      </c>
      <c r="I1195" t="str">
        <f>VLOOKUP(order_details[[#This Row],[OrderID]], orders[[OrderID]:[ShipCountry]], 14, FALSE)</f>
        <v>Ireland</v>
      </c>
      <c r="J1195" s="1">
        <f>_xlfn.XLOOKUP(order_details[[#This Row],[OrderID]], orders[OrderID], orders[Month])</f>
        <v>11</v>
      </c>
    </row>
    <row r="1196" spans="1:10" x14ac:dyDescent="0.35">
      <c r="A1196">
        <v>10701</v>
      </c>
      <c r="B1196">
        <v>71</v>
      </c>
      <c r="C1196">
        <v>21.5</v>
      </c>
      <c r="D1196">
        <v>20</v>
      </c>
      <c r="E1196">
        <v>0.15</v>
      </c>
      <c r="F1196">
        <v>365.5</v>
      </c>
      <c r="G1196" t="str">
        <f>VLOOKUP(VLOOKUP(order_details[[#This Row],[ProductID]], products[], 4, FALSE), categories[], 2, FALSE)</f>
        <v>Dairy Products</v>
      </c>
      <c r="H1196">
        <f>VLOOKUP(order_details[[#This Row],[ProductID]], products[], 4, FALSE)</f>
        <v>4</v>
      </c>
      <c r="I1196" t="str">
        <f>VLOOKUP(order_details[[#This Row],[OrderID]], orders[[OrderID]:[ShipCountry]], 14, FALSE)</f>
        <v>Ireland</v>
      </c>
      <c r="J1196" s="1">
        <f>_xlfn.XLOOKUP(order_details[[#This Row],[OrderID]], orders[OrderID], orders[Month])</f>
        <v>11</v>
      </c>
    </row>
    <row r="1197" spans="1:10" x14ac:dyDescent="0.35">
      <c r="A1197">
        <v>10701</v>
      </c>
      <c r="B1197">
        <v>76</v>
      </c>
      <c r="C1197">
        <v>18</v>
      </c>
      <c r="D1197">
        <v>35</v>
      </c>
      <c r="E1197">
        <v>0.15</v>
      </c>
      <c r="F1197">
        <v>535.5</v>
      </c>
      <c r="G1197" t="str">
        <f>VLOOKUP(VLOOKUP(order_details[[#This Row],[ProductID]], products[], 4, FALSE), categories[], 2, FALSE)</f>
        <v>Beverages</v>
      </c>
      <c r="H1197">
        <f>VLOOKUP(order_details[[#This Row],[ProductID]], products[], 4, FALSE)</f>
        <v>1</v>
      </c>
      <c r="I1197" t="str">
        <f>VLOOKUP(order_details[[#This Row],[OrderID]], orders[[OrderID]:[ShipCountry]], 14, FALSE)</f>
        <v>Ireland</v>
      </c>
      <c r="J1197" s="1">
        <f>_xlfn.XLOOKUP(order_details[[#This Row],[OrderID]], orders[OrderID], orders[Month])</f>
        <v>11</v>
      </c>
    </row>
    <row r="1198" spans="1:10" x14ac:dyDescent="0.35">
      <c r="A1198">
        <v>10702</v>
      </c>
      <c r="B1198">
        <v>3</v>
      </c>
      <c r="C1198">
        <v>10</v>
      </c>
      <c r="D1198">
        <v>6</v>
      </c>
      <c r="E1198">
        <v>0</v>
      </c>
      <c r="F1198">
        <v>60</v>
      </c>
      <c r="G1198" t="str">
        <f>VLOOKUP(VLOOKUP(order_details[[#This Row],[ProductID]], products[], 4, FALSE), categories[], 2, FALSE)</f>
        <v>Condiments</v>
      </c>
      <c r="H1198">
        <f>VLOOKUP(order_details[[#This Row],[ProductID]], products[], 4, FALSE)</f>
        <v>2</v>
      </c>
      <c r="I1198" t="str">
        <f>VLOOKUP(order_details[[#This Row],[OrderID]], orders[[OrderID]:[ShipCountry]], 14, FALSE)</f>
        <v>Germany</v>
      </c>
      <c r="J1198" s="1">
        <f>_xlfn.XLOOKUP(order_details[[#This Row],[OrderID]], orders[OrderID], orders[Month])</f>
        <v>11</v>
      </c>
    </row>
    <row r="1199" spans="1:10" x14ac:dyDescent="0.35">
      <c r="A1199">
        <v>10702</v>
      </c>
      <c r="B1199">
        <v>76</v>
      </c>
      <c r="C1199">
        <v>18</v>
      </c>
      <c r="D1199">
        <v>15</v>
      </c>
      <c r="E1199">
        <v>0</v>
      </c>
      <c r="F1199">
        <v>270</v>
      </c>
      <c r="G1199" t="str">
        <f>VLOOKUP(VLOOKUP(order_details[[#This Row],[ProductID]], products[], 4, FALSE), categories[], 2, FALSE)</f>
        <v>Beverages</v>
      </c>
      <c r="H1199">
        <f>VLOOKUP(order_details[[#This Row],[ProductID]], products[], 4, FALSE)</f>
        <v>1</v>
      </c>
      <c r="I1199" t="str">
        <f>VLOOKUP(order_details[[#This Row],[OrderID]], orders[[OrderID]:[ShipCountry]], 14, FALSE)</f>
        <v>Germany</v>
      </c>
      <c r="J1199" s="1">
        <f>_xlfn.XLOOKUP(order_details[[#This Row],[OrderID]], orders[OrderID], orders[Month])</f>
        <v>11</v>
      </c>
    </row>
    <row r="1200" spans="1:10" x14ac:dyDescent="0.35">
      <c r="A1200">
        <v>10703</v>
      </c>
      <c r="B1200">
        <v>2</v>
      </c>
      <c r="C1200">
        <v>19</v>
      </c>
      <c r="D1200">
        <v>5</v>
      </c>
      <c r="E1200">
        <v>0</v>
      </c>
      <c r="F1200">
        <v>95</v>
      </c>
      <c r="G1200" t="str">
        <f>VLOOKUP(VLOOKUP(order_details[[#This Row],[ProductID]], products[], 4, FALSE), categories[], 2, FALSE)</f>
        <v>Beverages</v>
      </c>
      <c r="H1200">
        <f>VLOOKUP(order_details[[#This Row],[ProductID]], products[], 4, FALSE)</f>
        <v>1</v>
      </c>
      <c r="I1200" t="str">
        <f>VLOOKUP(order_details[[#This Row],[OrderID]], orders[[OrderID]:[ShipCountry]], 14, FALSE)</f>
        <v>Sweden</v>
      </c>
      <c r="J1200" s="1">
        <f>_xlfn.XLOOKUP(order_details[[#This Row],[OrderID]], orders[OrderID], orders[Month])</f>
        <v>11</v>
      </c>
    </row>
    <row r="1201" spans="1:10" x14ac:dyDescent="0.35">
      <c r="A1201">
        <v>10703</v>
      </c>
      <c r="B1201">
        <v>59</v>
      </c>
      <c r="C1201">
        <v>55</v>
      </c>
      <c r="D1201">
        <v>35</v>
      </c>
      <c r="E1201">
        <v>0</v>
      </c>
      <c r="F1201">
        <v>1925</v>
      </c>
      <c r="G1201" t="str">
        <f>VLOOKUP(VLOOKUP(order_details[[#This Row],[ProductID]], products[], 4, FALSE), categories[], 2, FALSE)</f>
        <v>Dairy Products</v>
      </c>
      <c r="H1201">
        <f>VLOOKUP(order_details[[#This Row],[ProductID]], products[], 4, FALSE)</f>
        <v>4</v>
      </c>
      <c r="I1201" t="str">
        <f>VLOOKUP(order_details[[#This Row],[OrderID]], orders[[OrderID]:[ShipCountry]], 14, FALSE)</f>
        <v>Sweden</v>
      </c>
      <c r="J1201" s="1">
        <f>_xlfn.XLOOKUP(order_details[[#This Row],[OrderID]], orders[OrderID], orders[Month])</f>
        <v>11</v>
      </c>
    </row>
    <row r="1202" spans="1:10" x14ac:dyDescent="0.35">
      <c r="A1202">
        <v>10703</v>
      </c>
      <c r="B1202">
        <v>73</v>
      </c>
      <c r="C1202">
        <v>15</v>
      </c>
      <c r="D1202">
        <v>35</v>
      </c>
      <c r="E1202">
        <v>0</v>
      </c>
      <c r="F1202">
        <v>525</v>
      </c>
      <c r="G1202" t="str">
        <f>VLOOKUP(VLOOKUP(order_details[[#This Row],[ProductID]], products[], 4, FALSE), categories[], 2, FALSE)</f>
        <v>Seafood</v>
      </c>
      <c r="H1202">
        <f>VLOOKUP(order_details[[#This Row],[ProductID]], products[], 4, FALSE)</f>
        <v>8</v>
      </c>
      <c r="I1202" t="str">
        <f>VLOOKUP(order_details[[#This Row],[OrderID]], orders[[OrderID]:[ShipCountry]], 14, FALSE)</f>
        <v>Sweden</v>
      </c>
      <c r="J1202" s="1">
        <f>_xlfn.XLOOKUP(order_details[[#This Row],[OrderID]], orders[OrderID], orders[Month])</f>
        <v>11</v>
      </c>
    </row>
    <row r="1203" spans="1:10" x14ac:dyDescent="0.35">
      <c r="A1203">
        <v>10704</v>
      </c>
      <c r="B1203">
        <v>4</v>
      </c>
      <c r="C1203">
        <v>22</v>
      </c>
      <c r="D1203">
        <v>6</v>
      </c>
      <c r="E1203">
        <v>0</v>
      </c>
      <c r="F1203">
        <v>132</v>
      </c>
      <c r="G1203" t="str">
        <f>VLOOKUP(VLOOKUP(order_details[[#This Row],[ProductID]], products[], 4, FALSE), categories[], 2, FALSE)</f>
        <v>Condiments</v>
      </c>
      <c r="H1203">
        <f>VLOOKUP(order_details[[#This Row],[ProductID]], products[], 4, FALSE)</f>
        <v>2</v>
      </c>
      <c r="I1203" t="str">
        <f>VLOOKUP(order_details[[#This Row],[OrderID]], orders[[OrderID]:[ShipCountry]], 14, FALSE)</f>
        <v>Brazil</v>
      </c>
      <c r="J1203" s="1">
        <f>_xlfn.XLOOKUP(order_details[[#This Row],[OrderID]], orders[OrderID], orders[Month])</f>
        <v>11</v>
      </c>
    </row>
    <row r="1204" spans="1:10" x14ac:dyDescent="0.35">
      <c r="A1204">
        <v>10704</v>
      </c>
      <c r="B1204">
        <v>24</v>
      </c>
      <c r="C1204">
        <v>4.5</v>
      </c>
      <c r="D1204">
        <v>35</v>
      </c>
      <c r="E1204">
        <v>0</v>
      </c>
      <c r="F1204">
        <v>157.5</v>
      </c>
      <c r="G1204" t="str">
        <f>VLOOKUP(VLOOKUP(order_details[[#This Row],[ProductID]], products[], 4, FALSE), categories[], 2, FALSE)</f>
        <v>Beverages</v>
      </c>
      <c r="H1204">
        <f>VLOOKUP(order_details[[#This Row],[ProductID]], products[], 4, FALSE)</f>
        <v>1</v>
      </c>
      <c r="I1204" t="str">
        <f>VLOOKUP(order_details[[#This Row],[OrderID]], orders[[OrderID]:[ShipCountry]], 14, FALSE)</f>
        <v>Brazil</v>
      </c>
      <c r="J1204" s="1">
        <f>_xlfn.XLOOKUP(order_details[[#This Row],[OrderID]], orders[OrderID], orders[Month])</f>
        <v>11</v>
      </c>
    </row>
    <row r="1205" spans="1:10" x14ac:dyDescent="0.35">
      <c r="A1205">
        <v>10704</v>
      </c>
      <c r="B1205">
        <v>48</v>
      </c>
      <c r="C1205">
        <v>12.75</v>
      </c>
      <c r="D1205">
        <v>24</v>
      </c>
      <c r="E1205">
        <v>0</v>
      </c>
      <c r="F1205">
        <v>306</v>
      </c>
      <c r="G1205" t="str">
        <f>VLOOKUP(VLOOKUP(order_details[[#This Row],[ProductID]], products[], 4, FALSE), categories[], 2, FALSE)</f>
        <v>Confections</v>
      </c>
      <c r="H1205">
        <f>VLOOKUP(order_details[[#This Row],[ProductID]], products[], 4, FALSE)</f>
        <v>3</v>
      </c>
      <c r="I1205" t="str">
        <f>VLOOKUP(order_details[[#This Row],[OrderID]], orders[[OrderID]:[ShipCountry]], 14, FALSE)</f>
        <v>Brazil</v>
      </c>
      <c r="J1205" s="1">
        <f>_xlfn.XLOOKUP(order_details[[#This Row],[OrderID]], orders[OrderID], orders[Month])</f>
        <v>11</v>
      </c>
    </row>
    <row r="1206" spans="1:10" x14ac:dyDescent="0.35">
      <c r="A1206">
        <v>10705</v>
      </c>
      <c r="B1206">
        <v>31</v>
      </c>
      <c r="C1206">
        <v>12.5</v>
      </c>
      <c r="D1206">
        <v>20</v>
      </c>
      <c r="E1206">
        <v>0</v>
      </c>
      <c r="F1206">
        <v>250</v>
      </c>
      <c r="G1206" t="str">
        <f>VLOOKUP(VLOOKUP(order_details[[#This Row],[ProductID]], products[], 4, FALSE), categories[], 2, FALSE)</f>
        <v>Dairy Products</v>
      </c>
      <c r="H1206">
        <f>VLOOKUP(order_details[[#This Row],[ProductID]], products[], 4, FALSE)</f>
        <v>4</v>
      </c>
      <c r="I1206" t="str">
        <f>VLOOKUP(order_details[[#This Row],[OrderID]], orders[[OrderID]:[ShipCountry]], 14, FALSE)</f>
        <v>Venezuela</v>
      </c>
      <c r="J1206" s="1">
        <f>_xlfn.XLOOKUP(order_details[[#This Row],[OrderID]], orders[OrderID], orders[Month])</f>
        <v>11</v>
      </c>
    </row>
    <row r="1207" spans="1:10" x14ac:dyDescent="0.35">
      <c r="A1207">
        <v>10705</v>
      </c>
      <c r="B1207">
        <v>32</v>
      </c>
      <c r="C1207">
        <v>32</v>
      </c>
      <c r="D1207">
        <v>4</v>
      </c>
      <c r="E1207">
        <v>0</v>
      </c>
      <c r="F1207">
        <v>128</v>
      </c>
      <c r="G1207" t="str">
        <f>VLOOKUP(VLOOKUP(order_details[[#This Row],[ProductID]], products[], 4, FALSE), categories[], 2, FALSE)</f>
        <v>Dairy Products</v>
      </c>
      <c r="H1207">
        <f>VLOOKUP(order_details[[#This Row],[ProductID]], products[], 4, FALSE)</f>
        <v>4</v>
      </c>
      <c r="I1207" t="str">
        <f>VLOOKUP(order_details[[#This Row],[OrderID]], orders[[OrderID]:[ShipCountry]], 14, FALSE)</f>
        <v>Venezuela</v>
      </c>
      <c r="J1207" s="1">
        <f>_xlfn.XLOOKUP(order_details[[#This Row],[OrderID]], orders[OrderID], orders[Month])</f>
        <v>11</v>
      </c>
    </row>
    <row r="1208" spans="1:10" x14ac:dyDescent="0.35">
      <c r="A1208">
        <v>10706</v>
      </c>
      <c r="B1208">
        <v>16</v>
      </c>
      <c r="C1208">
        <v>17.45</v>
      </c>
      <c r="D1208">
        <v>20</v>
      </c>
      <c r="E1208">
        <v>0</v>
      </c>
      <c r="F1208">
        <v>349</v>
      </c>
      <c r="G1208" t="str">
        <f>VLOOKUP(VLOOKUP(order_details[[#This Row],[ProductID]], products[], 4, FALSE), categories[], 2, FALSE)</f>
        <v>Confections</v>
      </c>
      <c r="H1208">
        <f>VLOOKUP(order_details[[#This Row],[ProductID]], products[], 4, FALSE)</f>
        <v>3</v>
      </c>
      <c r="I1208" t="str">
        <f>VLOOKUP(order_details[[#This Row],[OrderID]], orders[[OrderID]:[ShipCountry]], 14, FALSE)</f>
        <v>USA</v>
      </c>
      <c r="J1208" s="1">
        <f>_xlfn.XLOOKUP(order_details[[#This Row],[OrderID]], orders[OrderID], orders[Month])</f>
        <v>11</v>
      </c>
    </row>
    <row r="1209" spans="1:10" x14ac:dyDescent="0.35">
      <c r="A1209">
        <v>10706</v>
      </c>
      <c r="B1209">
        <v>43</v>
      </c>
      <c r="C1209">
        <v>46</v>
      </c>
      <c r="D1209">
        <v>24</v>
      </c>
      <c r="E1209">
        <v>0</v>
      </c>
      <c r="F1209">
        <v>1104</v>
      </c>
      <c r="G1209" t="str">
        <f>VLOOKUP(VLOOKUP(order_details[[#This Row],[ProductID]], products[], 4, FALSE), categories[], 2, FALSE)</f>
        <v>Beverages</v>
      </c>
      <c r="H1209">
        <f>VLOOKUP(order_details[[#This Row],[ProductID]], products[], 4, FALSE)</f>
        <v>1</v>
      </c>
      <c r="I1209" t="str">
        <f>VLOOKUP(order_details[[#This Row],[OrderID]], orders[[OrderID]:[ShipCountry]], 14, FALSE)</f>
        <v>USA</v>
      </c>
      <c r="J1209" s="1">
        <f>_xlfn.XLOOKUP(order_details[[#This Row],[OrderID]], orders[OrderID], orders[Month])</f>
        <v>11</v>
      </c>
    </row>
    <row r="1210" spans="1:10" x14ac:dyDescent="0.35">
      <c r="A1210">
        <v>10706</v>
      </c>
      <c r="B1210">
        <v>59</v>
      </c>
      <c r="C1210">
        <v>55</v>
      </c>
      <c r="D1210">
        <v>8</v>
      </c>
      <c r="E1210">
        <v>0</v>
      </c>
      <c r="F1210">
        <v>440</v>
      </c>
      <c r="G1210" t="str">
        <f>VLOOKUP(VLOOKUP(order_details[[#This Row],[ProductID]], products[], 4, FALSE), categories[], 2, FALSE)</f>
        <v>Dairy Products</v>
      </c>
      <c r="H1210">
        <f>VLOOKUP(order_details[[#This Row],[ProductID]], products[], 4, FALSE)</f>
        <v>4</v>
      </c>
      <c r="I1210" t="str">
        <f>VLOOKUP(order_details[[#This Row],[OrderID]], orders[[OrderID]:[ShipCountry]], 14, FALSE)</f>
        <v>USA</v>
      </c>
      <c r="J1210" s="1">
        <f>_xlfn.XLOOKUP(order_details[[#This Row],[OrderID]], orders[OrderID], orders[Month])</f>
        <v>11</v>
      </c>
    </row>
    <row r="1211" spans="1:10" x14ac:dyDescent="0.35">
      <c r="A1211">
        <v>10707</v>
      </c>
      <c r="B1211">
        <v>55</v>
      </c>
      <c r="C1211">
        <v>24</v>
      </c>
      <c r="D1211">
        <v>21</v>
      </c>
      <c r="E1211">
        <v>0</v>
      </c>
      <c r="F1211">
        <v>504</v>
      </c>
      <c r="G1211" t="str">
        <f>VLOOKUP(VLOOKUP(order_details[[#This Row],[ProductID]], products[], 4, FALSE), categories[], 2, FALSE)</f>
        <v>Meat/Poultry</v>
      </c>
      <c r="H1211">
        <f>VLOOKUP(order_details[[#This Row],[ProductID]], products[], 4, FALSE)</f>
        <v>6</v>
      </c>
      <c r="I1211" t="str">
        <f>VLOOKUP(order_details[[#This Row],[OrderID]], orders[[OrderID]:[ShipCountry]], 14, FALSE)</f>
        <v>UK</v>
      </c>
      <c r="J1211" s="1">
        <f>_xlfn.XLOOKUP(order_details[[#This Row],[OrderID]], orders[OrderID], orders[Month])</f>
        <v>11</v>
      </c>
    </row>
    <row r="1212" spans="1:10" x14ac:dyDescent="0.35">
      <c r="A1212">
        <v>10707</v>
      </c>
      <c r="B1212">
        <v>57</v>
      </c>
      <c r="C1212">
        <v>19.5</v>
      </c>
      <c r="D1212">
        <v>40</v>
      </c>
      <c r="E1212">
        <v>0</v>
      </c>
      <c r="F1212">
        <v>780</v>
      </c>
      <c r="G1212" t="str">
        <f>VLOOKUP(VLOOKUP(order_details[[#This Row],[ProductID]], products[], 4, FALSE), categories[], 2, FALSE)</f>
        <v>Grains/Cereals</v>
      </c>
      <c r="H1212">
        <f>VLOOKUP(order_details[[#This Row],[ProductID]], products[], 4, FALSE)</f>
        <v>5</v>
      </c>
      <c r="I1212" t="str">
        <f>VLOOKUP(order_details[[#This Row],[OrderID]], orders[[OrderID]:[ShipCountry]], 14, FALSE)</f>
        <v>UK</v>
      </c>
      <c r="J1212" s="1">
        <f>_xlfn.XLOOKUP(order_details[[#This Row],[OrderID]], orders[OrderID], orders[Month])</f>
        <v>11</v>
      </c>
    </row>
    <row r="1213" spans="1:10" x14ac:dyDescent="0.35">
      <c r="A1213">
        <v>10707</v>
      </c>
      <c r="B1213">
        <v>70</v>
      </c>
      <c r="C1213">
        <v>15</v>
      </c>
      <c r="D1213">
        <v>28</v>
      </c>
      <c r="E1213">
        <v>0.15</v>
      </c>
      <c r="F1213">
        <v>357</v>
      </c>
      <c r="G1213" t="str">
        <f>VLOOKUP(VLOOKUP(order_details[[#This Row],[ProductID]], products[], 4, FALSE), categories[], 2, FALSE)</f>
        <v>Beverages</v>
      </c>
      <c r="H1213">
        <f>VLOOKUP(order_details[[#This Row],[ProductID]], products[], 4, FALSE)</f>
        <v>1</v>
      </c>
      <c r="I1213" t="str">
        <f>VLOOKUP(order_details[[#This Row],[OrderID]], orders[[OrderID]:[ShipCountry]], 14, FALSE)</f>
        <v>UK</v>
      </c>
      <c r="J1213" s="1">
        <f>_xlfn.XLOOKUP(order_details[[#This Row],[OrderID]], orders[OrderID], orders[Month])</f>
        <v>11</v>
      </c>
    </row>
    <row r="1214" spans="1:10" x14ac:dyDescent="0.35">
      <c r="A1214">
        <v>10708</v>
      </c>
      <c r="B1214">
        <v>5</v>
      </c>
      <c r="C1214">
        <v>21.35</v>
      </c>
      <c r="D1214">
        <v>4</v>
      </c>
      <c r="E1214">
        <v>0</v>
      </c>
      <c r="F1214">
        <v>85.4</v>
      </c>
      <c r="G1214" t="str">
        <f>VLOOKUP(VLOOKUP(order_details[[#This Row],[ProductID]], products[], 4, FALSE), categories[], 2, FALSE)</f>
        <v>Condiments</v>
      </c>
      <c r="H1214">
        <f>VLOOKUP(order_details[[#This Row],[ProductID]], products[], 4, FALSE)</f>
        <v>2</v>
      </c>
      <c r="I1214" t="str">
        <f>VLOOKUP(order_details[[#This Row],[OrderID]], orders[[OrderID]:[ShipCountry]], 14, FALSE)</f>
        <v>USA</v>
      </c>
      <c r="J1214" s="1">
        <f>_xlfn.XLOOKUP(order_details[[#This Row],[OrderID]], orders[OrderID], orders[Month])</f>
        <v>11</v>
      </c>
    </row>
    <row r="1215" spans="1:10" x14ac:dyDescent="0.35">
      <c r="A1215">
        <v>10708</v>
      </c>
      <c r="B1215">
        <v>36</v>
      </c>
      <c r="C1215">
        <v>19</v>
      </c>
      <c r="D1215">
        <v>5</v>
      </c>
      <c r="E1215">
        <v>0</v>
      </c>
      <c r="F1215">
        <v>95</v>
      </c>
      <c r="G1215" t="str">
        <f>VLOOKUP(VLOOKUP(order_details[[#This Row],[ProductID]], products[], 4, FALSE), categories[], 2, FALSE)</f>
        <v>Seafood</v>
      </c>
      <c r="H1215">
        <f>VLOOKUP(order_details[[#This Row],[ProductID]], products[], 4, FALSE)</f>
        <v>8</v>
      </c>
      <c r="I1215" t="str">
        <f>VLOOKUP(order_details[[#This Row],[OrderID]], orders[[OrderID]:[ShipCountry]], 14, FALSE)</f>
        <v>USA</v>
      </c>
      <c r="J1215" s="1">
        <f>_xlfn.XLOOKUP(order_details[[#This Row],[OrderID]], orders[OrderID], orders[Month])</f>
        <v>11</v>
      </c>
    </row>
    <row r="1216" spans="1:10" x14ac:dyDescent="0.35">
      <c r="A1216">
        <v>10709</v>
      </c>
      <c r="B1216">
        <v>8</v>
      </c>
      <c r="C1216">
        <v>40</v>
      </c>
      <c r="D1216">
        <v>40</v>
      </c>
      <c r="E1216">
        <v>0</v>
      </c>
      <c r="F1216">
        <v>1600</v>
      </c>
      <c r="G1216" t="str">
        <f>VLOOKUP(VLOOKUP(order_details[[#This Row],[ProductID]], products[], 4, FALSE), categories[], 2, FALSE)</f>
        <v>Condiments</v>
      </c>
      <c r="H1216">
        <f>VLOOKUP(order_details[[#This Row],[ProductID]], products[], 4, FALSE)</f>
        <v>2</v>
      </c>
      <c r="I1216" t="str">
        <f>VLOOKUP(order_details[[#This Row],[OrderID]], orders[[OrderID]:[ShipCountry]], 14, FALSE)</f>
        <v>Brazil</v>
      </c>
      <c r="J1216" s="1">
        <f>_xlfn.XLOOKUP(order_details[[#This Row],[OrderID]], orders[OrderID], orders[Month])</f>
        <v>11</v>
      </c>
    </row>
    <row r="1217" spans="1:10" x14ac:dyDescent="0.35">
      <c r="A1217">
        <v>10709</v>
      </c>
      <c r="B1217">
        <v>51</v>
      </c>
      <c r="C1217">
        <v>53</v>
      </c>
      <c r="D1217">
        <v>28</v>
      </c>
      <c r="E1217">
        <v>0</v>
      </c>
      <c r="F1217">
        <v>1484</v>
      </c>
      <c r="G1217" t="str">
        <f>VLOOKUP(VLOOKUP(order_details[[#This Row],[ProductID]], products[], 4, FALSE), categories[], 2, FALSE)</f>
        <v>Produce</v>
      </c>
      <c r="H1217">
        <f>VLOOKUP(order_details[[#This Row],[ProductID]], products[], 4, FALSE)</f>
        <v>7</v>
      </c>
      <c r="I1217" t="str">
        <f>VLOOKUP(order_details[[#This Row],[OrderID]], orders[[OrderID]:[ShipCountry]], 14, FALSE)</f>
        <v>Brazil</v>
      </c>
      <c r="J1217" s="1">
        <f>_xlfn.XLOOKUP(order_details[[#This Row],[OrderID]], orders[OrderID], orders[Month])</f>
        <v>11</v>
      </c>
    </row>
    <row r="1218" spans="1:10" x14ac:dyDescent="0.35">
      <c r="A1218">
        <v>10709</v>
      </c>
      <c r="B1218">
        <v>60</v>
      </c>
      <c r="C1218">
        <v>34</v>
      </c>
      <c r="D1218">
        <v>10</v>
      </c>
      <c r="E1218">
        <v>0</v>
      </c>
      <c r="F1218">
        <v>340</v>
      </c>
      <c r="G1218" t="str">
        <f>VLOOKUP(VLOOKUP(order_details[[#This Row],[ProductID]], products[], 4, FALSE), categories[], 2, FALSE)</f>
        <v>Dairy Products</v>
      </c>
      <c r="H1218">
        <f>VLOOKUP(order_details[[#This Row],[ProductID]], products[], 4, FALSE)</f>
        <v>4</v>
      </c>
      <c r="I1218" t="str">
        <f>VLOOKUP(order_details[[#This Row],[OrderID]], orders[[OrderID]:[ShipCountry]], 14, FALSE)</f>
        <v>Brazil</v>
      </c>
      <c r="J1218" s="1">
        <f>_xlfn.XLOOKUP(order_details[[#This Row],[OrderID]], orders[OrderID], orders[Month])</f>
        <v>11</v>
      </c>
    </row>
    <row r="1219" spans="1:10" x14ac:dyDescent="0.35">
      <c r="A1219">
        <v>10710</v>
      </c>
      <c r="B1219">
        <v>19</v>
      </c>
      <c r="C1219">
        <v>9.1999999999999993</v>
      </c>
      <c r="D1219">
        <v>5</v>
      </c>
      <c r="E1219">
        <v>0</v>
      </c>
      <c r="F1219">
        <v>46</v>
      </c>
      <c r="G1219" t="str">
        <f>VLOOKUP(VLOOKUP(order_details[[#This Row],[ProductID]], products[], 4, FALSE), categories[], 2, FALSE)</f>
        <v>Confections</v>
      </c>
      <c r="H1219">
        <f>VLOOKUP(order_details[[#This Row],[ProductID]], products[], 4, FALSE)</f>
        <v>3</v>
      </c>
      <c r="I1219" t="str">
        <f>VLOOKUP(order_details[[#This Row],[OrderID]], orders[[OrderID]:[ShipCountry]], 14, FALSE)</f>
        <v>Italy</v>
      </c>
      <c r="J1219" s="1">
        <f>_xlfn.XLOOKUP(order_details[[#This Row],[OrderID]], orders[OrderID], orders[Month])</f>
        <v>11</v>
      </c>
    </row>
    <row r="1220" spans="1:10" x14ac:dyDescent="0.35">
      <c r="A1220">
        <v>10710</v>
      </c>
      <c r="B1220">
        <v>47</v>
      </c>
      <c r="C1220">
        <v>9.5</v>
      </c>
      <c r="D1220">
        <v>5</v>
      </c>
      <c r="E1220">
        <v>0</v>
      </c>
      <c r="F1220">
        <v>47.5</v>
      </c>
      <c r="G1220" t="str">
        <f>VLOOKUP(VLOOKUP(order_details[[#This Row],[ProductID]], products[], 4, FALSE), categories[], 2, FALSE)</f>
        <v>Confections</v>
      </c>
      <c r="H1220">
        <f>VLOOKUP(order_details[[#This Row],[ProductID]], products[], 4, FALSE)</f>
        <v>3</v>
      </c>
      <c r="I1220" t="str">
        <f>VLOOKUP(order_details[[#This Row],[OrderID]], orders[[OrderID]:[ShipCountry]], 14, FALSE)</f>
        <v>Italy</v>
      </c>
      <c r="J1220" s="1">
        <f>_xlfn.XLOOKUP(order_details[[#This Row],[OrderID]], orders[OrderID], orders[Month])</f>
        <v>11</v>
      </c>
    </row>
    <row r="1221" spans="1:10" x14ac:dyDescent="0.35">
      <c r="A1221">
        <v>10711</v>
      </c>
      <c r="B1221">
        <v>19</v>
      </c>
      <c r="C1221">
        <v>9.1999999999999993</v>
      </c>
      <c r="D1221">
        <v>12</v>
      </c>
      <c r="E1221">
        <v>0</v>
      </c>
      <c r="F1221">
        <v>110.39999999999999</v>
      </c>
      <c r="G1221" t="str">
        <f>VLOOKUP(VLOOKUP(order_details[[#This Row],[ProductID]], products[], 4, FALSE), categories[], 2, FALSE)</f>
        <v>Confections</v>
      </c>
      <c r="H1221">
        <f>VLOOKUP(order_details[[#This Row],[ProductID]], products[], 4, FALSE)</f>
        <v>3</v>
      </c>
      <c r="I1221" t="str">
        <f>VLOOKUP(order_details[[#This Row],[OrderID]], orders[[OrderID]:[ShipCountry]], 14, FALSE)</f>
        <v>USA</v>
      </c>
      <c r="J1221" s="1">
        <f>_xlfn.XLOOKUP(order_details[[#This Row],[OrderID]], orders[OrderID], orders[Month])</f>
        <v>11</v>
      </c>
    </row>
    <row r="1222" spans="1:10" x14ac:dyDescent="0.35">
      <c r="A1222">
        <v>10711</v>
      </c>
      <c r="B1222">
        <v>41</v>
      </c>
      <c r="C1222">
        <v>9.65</v>
      </c>
      <c r="D1222">
        <v>42</v>
      </c>
      <c r="E1222">
        <v>0</v>
      </c>
      <c r="F1222">
        <v>405.3</v>
      </c>
      <c r="G1222" t="str">
        <f>VLOOKUP(VLOOKUP(order_details[[#This Row],[ProductID]], products[], 4, FALSE), categories[], 2, FALSE)</f>
        <v>Seafood</v>
      </c>
      <c r="H1222">
        <f>VLOOKUP(order_details[[#This Row],[ProductID]], products[], 4, FALSE)</f>
        <v>8</v>
      </c>
      <c r="I1222" t="str">
        <f>VLOOKUP(order_details[[#This Row],[OrderID]], orders[[OrderID]:[ShipCountry]], 14, FALSE)</f>
        <v>USA</v>
      </c>
      <c r="J1222" s="1">
        <f>_xlfn.XLOOKUP(order_details[[#This Row],[OrderID]], orders[OrderID], orders[Month])</f>
        <v>11</v>
      </c>
    </row>
    <row r="1223" spans="1:10" x14ac:dyDescent="0.35">
      <c r="A1223">
        <v>10711</v>
      </c>
      <c r="B1223">
        <v>53</v>
      </c>
      <c r="C1223">
        <v>32.799999999999997</v>
      </c>
      <c r="D1223">
        <v>120</v>
      </c>
      <c r="E1223">
        <v>0</v>
      </c>
      <c r="F1223">
        <v>3935.9999999999995</v>
      </c>
      <c r="G1223" t="str">
        <f>VLOOKUP(VLOOKUP(order_details[[#This Row],[ProductID]], products[], 4, FALSE), categories[], 2, FALSE)</f>
        <v>Meat/Poultry</v>
      </c>
      <c r="H1223">
        <f>VLOOKUP(order_details[[#This Row],[ProductID]], products[], 4, FALSE)</f>
        <v>6</v>
      </c>
      <c r="I1223" t="str">
        <f>VLOOKUP(order_details[[#This Row],[OrderID]], orders[[OrderID]:[ShipCountry]], 14, FALSE)</f>
        <v>USA</v>
      </c>
      <c r="J1223" s="1">
        <f>_xlfn.XLOOKUP(order_details[[#This Row],[OrderID]], orders[OrderID], orders[Month])</f>
        <v>11</v>
      </c>
    </row>
    <row r="1224" spans="1:10" x14ac:dyDescent="0.35">
      <c r="A1224">
        <v>10712</v>
      </c>
      <c r="B1224">
        <v>53</v>
      </c>
      <c r="C1224">
        <v>32.799999999999997</v>
      </c>
      <c r="D1224">
        <v>3</v>
      </c>
      <c r="E1224">
        <v>0.05</v>
      </c>
      <c r="F1224">
        <v>93.47999999999999</v>
      </c>
      <c r="G1224" t="str">
        <f>VLOOKUP(VLOOKUP(order_details[[#This Row],[ProductID]], products[], 4, FALSE), categories[], 2, FALSE)</f>
        <v>Meat/Poultry</v>
      </c>
      <c r="H1224">
        <f>VLOOKUP(order_details[[#This Row],[ProductID]], products[], 4, FALSE)</f>
        <v>6</v>
      </c>
      <c r="I1224" t="str">
        <f>VLOOKUP(order_details[[#This Row],[OrderID]], orders[[OrderID]:[ShipCountry]], 14, FALSE)</f>
        <v>Ireland</v>
      </c>
      <c r="J1224" s="1">
        <f>_xlfn.XLOOKUP(order_details[[#This Row],[OrderID]], orders[OrderID], orders[Month])</f>
        <v>11</v>
      </c>
    </row>
    <row r="1225" spans="1:10" x14ac:dyDescent="0.35">
      <c r="A1225">
        <v>10712</v>
      </c>
      <c r="B1225">
        <v>56</v>
      </c>
      <c r="C1225">
        <v>38</v>
      </c>
      <c r="D1225">
        <v>30</v>
      </c>
      <c r="E1225">
        <v>0</v>
      </c>
      <c r="F1225">
        <v>1140</v>
      </c>
      <c r="G1225" t="str">
        <f>VLOOKUP(VLOOKUP(order_details[[#This Row],[ProductID]], products[], 4, FALSE), categories[], 2, FALSE)</f>
        <v>Grains/Cereals</v>
      </c>
      <c r="H1225">
        <f>VLOOKUP(order_details[[#This Row],[ProductID]], products[], 4, FALSE)</f>
        <v>5</v>
      </c>
      <c r="I1225" t="str">
        <f>VLOOKUP(order_details[[#This Row],[OrderID]], orders[[OrderID]:[ShipCountry]], 14, FALSE)</f>
        <v>Ireland</v>
      </c>
      <c r="J1225" s="1">
        <f>_xlfn.XLOOKUP(order_details[[#This Row],[OrderID]], orders[OrderID], orders[Month])</f>
        <v>11</v>
      </c>
    </row>
    <row r="1226" spans="1:10" x14ac:dyDescent="0.35">
      <c r="A1226">
        <v>10713</v>
      </c>
      <c r="B1226">
        <v>10</v>
      </c>
      <c r="C1226">
        <v>31</v>
      </c>
      <c r="D1226">
        <v>18</v>
      </c>
      <c r="E1226">
        <v>0</v>
      </c>
      <c r="F1226">
        <v>558</v>
      </c>
      <c r="G1226" t="str">
        <f>VLOOKUP(VLOOKUP(order_details[[#This Row],[ProductID]], products[], 4, FALSE), categories[], 2, FALSE)</f>
        <v>Seafood</v>
      </c>
      <c r="H1226">
        <f>VLOOKUP(order_details[[#This Row],[ProductID]], products[], 4, FALSE)</f>
        <v>8</v>
      </c>
      <c r="I1226" t="str">
        <f>VLOOKUP(order_details[[#This Row],[OrderID]], orders[[OrderID]:[ShipCountry]], 14, FALSE)</f>
        <v>USA</v>
      </c>
      <c r="J1226" s="1">
        <f>_xlfn.XLOOKUP(order_details[[#This Row],[OrderID]], orders[OrderID], orders[Month])</f>
        <v>11</v>
      </c>
    </row>
    <row r="1227" spans="1:10" x14ac:dyDescent="0.35">
      <c r="A1227">
        <v>10713</v>
      </c>
      <c r="B1227">
        <v>26</v>
      </c>
      <c r="C1227">
        <v>31.23</v>
      </c>
      <c r="D1227">
        <v>30</v>
      </c>
      <c r="E1227">
        <v>0</v>
      </c>
      <c r="F1227">
        <v>936.9</v>
      </c>
      <c r="G1227" t="str">
        <f>VLOOKUP(VLOOKUP(order_details[[#This Row],[ProductID]], products[], 4, FALSE), categories[], 2, FALSE)</f>
        <v>Confections</v>
      </c>
      <c r="H1227">
        <f>VLOOKUP(order_details[[#This Row],[ProductID]], products[], 4, FALSE)</f>
        <v>3</v>
      </c>
      <c r="I1227" t="str">
        <f>VLOOKUP(order_details[[#This Row],[OrderID]], orders[[OrderID]:[ShipCountry]], 14, FALSE)</f>
        <v>USA</v>
      </c>
      <c r="J1227" s="1">
        <f>_xlfn.XLOOKUP(order_details[[#This Row],[OrderID]], orders[OrderID], orders[Month])</f>
        <v>11</v>
      </c>
    </row>
    <row r="1228" spans="1:10" x14ac:dyDescent="0.35">
      <c r="A1228">
        <v>10713</v>
      </c>
      <c r="B1228">
        <v>45</v>
      </c>
      <c r="C1228">
        <v>9.5</v>
      </c>
      <c r="D1228">
        <v>110</v>
      </c>
      <c r="E1228">
        <v>0</v>
      </c>
      <c r="F1228">
        <v>1045</v>
      </c>
      <c r="G1228" t="str">
        <f>VLOOKUP(VLOOKUP(order_details[[#This Row],[ProductID]], products[], 4, FALSE), categories[], 2, FALSE)</f>
        <v>Seafood</v>
      </c>
      <c r="H1228">
        <f>VLOOKUP(order_details[[#This Row],[ProductID]], products[], 4, FALSE)</f>
        <v>8</v>
      </c>
      <c r="I1228" t="str">
        <f>VLOOKUP(order_details[[#This Row],[OrderID]], orders[[OrderID]:[ShipCountry]], 14, FALSE)</f>
        <v>USA</v>
      </c>
      <c r="J1228" s="1">
        <f>_xlfn.XLOOKUP(order_details[[#This Row],[OrderID]], orders[OrderID], orders[Month])</f>
        <v>11</v>
      </c>
    </row>
    <row r="1229" spans="1:10" x14ac:dyDescent="0.35">
      <c r="A1229">
        <v>10713</v>
      </c>
      <c r="B1229">
        <v>46</v>
      </c>
      <c r="C1229">
        <v>12</v>
      </c>
      <c r="D1229">
        <v>24</v>
      </c>
      <c r="E1229">
        <v>0</v>
      </c>
      <c r="F1229">
        <v>288</v>
      </c>
      <c r="G1229" t="str">
        <f>VLOOKUP(VLOOKUP(order_details[[#This Row],[ProductID]], products[], 4, FALSE), categories[], 2, FALSE)</f>
        <v>Seafood</v>
      </c>
      <c r="H1229">
        <f>VLOOKUP(order_details[[#This Row],[ProductID]], products[], 4, FALSE)</f>
        <v>8</v>
      </c>
      <c r="I1229" t="str">
        <f>VLOOKUP(order_details[[#This Row],[OrderID]], orders[[OrderID]:[ShipCountry]], 14, FALSE)</f>
        <v>USA</v>
      </c>
      <c r="J1229" s="1">
        <f>_xlfn.XLOOKUP(order_details[[#This Row],[OrderID]], orders[OrderID], orders[Month])</f>
        <v>11</v>
      </c>
    </row>
    <row r="1230" spans="1:10" x14ac:dyDescent="0.35">
      <c r="A1230">
        <v>10714</v>
      </c>
      <c r="B1230">
        <v>2</v>
      </c>
      <c r="C1230">
        <v>19</v>
      </c>
      <c r="D1230">
        <v>30</v>
      </c>
      <c r="E1230">
        <v>0.25</v>
      </c>
      <c r="F1230">
        <v>427.5</v>
      </c>
      <c r="G1230" t="str">
        <f>VLOOKUP(VLOOKUP(order_details[[#This Row],[ProductID]], products[], 4, FALSE), categories[], 2, FALSE)</f>
        <v>Beverages</v>
      </c>
      <c r="H1230">
        <f>VLOOKUP(order_details[[#This Row],[ProductID]], products[], 4, FALSE)</f>
        <v>1</v>
      </c>
      <c r="I1230" t="str">
        <f>VLOOKUP(order_details[[#This Row],[OrderID]], orders[[OrderID]:[ShipCountry]], 14, FALSE)</f>
        <v>USA</v>
      </c>
      <c r="J1230" s="1">
        <f>_xlfn.XLOOKUP(order_details[[#This Row],[OrderID]], orders[OrderID], orders[Month])</f>
        <v>11</v>
      </c>
    </row>
    <row r="1231" spans="1:10" x14ac:dyDescent="0.35">
      <c r="A1231">
        <v>10714</v>
      </c>
      <c r="B1231">
        <v>17</v>
      </c>
      <c r="C1231">
        <v>39</v>
      </c>
      <c r="D1231">
        <v>27</v>
      </c>
      <c r="E1231">
        <v>0.25</v>
      </c>
      <c r="F1231">
        <v>789.75</v>
      </c>
      <c r="G1231" t="str">
        <f>VLOOKUP(VLOOKUP(order_details[[#This Row],[ProductID]], products[], 4, FALSE), categories[], 2, FALSE)</f>
        <v>Meat/Poultry</v>
      </c>
      <c r="H1231">
        <f>VLOOKUP(order_details[[#This Row],[ProductID]], products[], 4, FALSE)</f>
        <v>6</v>
      </c>
      <c r="I1231" t="str">
        <f>VLOOKUP(order_details[[#This Row],[OrderID]], orders[[OrderID]:[ShipCountry]], 14, FALSE)</f>
        <v>USA</v>
      </c>
      <c r="J1231" s="1">
        <f>_xlfn.XLOOKUP(order_details[[#This Row],[OrderID]], orders[OrderID], orders[Month])</f>
        <v>11</v>
      </c>
    </row>
    <row r="1232" spans="1:10" x14ac:dyDescent="0.35">
      <c r="A1232">
        <v>10714</v>
      </c>
      <c r="B1232">
        <v>47</v>
      </c>
      <c r="C1232">
        <v>9.5</v>
      </c>
      <c r="D1232">
        <v>50</v>
      </c>
      <c r="E1232">
        <v>0.25</v>
      </c>
      <c r="F1232">
        <v>356.25</v>
      </c>
      <c r="G1232" t="str">
        <f>VLOOKUP(VLOOKUP(order_details[[#This Row],[ProductID]], products[], 4, FALSE), categories[], 2, FALSE)</f>
        <v>Confections</v>
      </c>
      <c r="H1232">
        <f>VLOOKUP(order_details[[#This Row],[ProductID]], products[], 4, FALSE)</f>
        <v>3</v>
      </c>
      <c r="I1232" t="str">
        <f>VLOOKUP(order_details[[#This Row],[OrderID]], orders[[OrderID]:[ShipCountry]], 14, FALSE)</f>
        <v>USA</v>
      </c>
      <c r="J1232" s="1">
        <f>_xlfn.XLOOKUP(order_details[[#This Row],[OrderID]], orders[OrderID], orders[Month])</f>
        <v>11</v>
      </c>
    </row>
    <row r="1233" spans="1:10" x14ac:dyDescent="0.35">
      <c r="A1233">
        <v>10714</v>
      </c>
      <c r="B1233">
        <v>56</v>
      </c>
      <c r="C1233">
        <v>38</v>
      </c>
      <c r="D1233">
        <v>18</v>
      </c>
      <c r="E1233">
        <v>0.25</v>
      </c>
      <c r="F1233">
        <v>513</v>
      </c>
      <c r="G1233" t="str">
        <f>VLOOKUP(VLOOKUP(order_details[[#This Row],[ProductID]], products[], 4, FALSE), categories[], 2, FALSE)</f>
        <v>Grains/Cereals</v>
      </c>
      <c r="H1233">
        <f>VLOOKUP(order_details[[#This Row],[ProductID]], products[], 4, FALSE)</f>
        <v>5</v>
      </c>
      <c r="I1233" t="str">
        <f>VLOOKUP(order_details[[#This Row],[OrderID]], orders[[OrderID]:[ShipCountry]], 14, FALSE)</f>
        <v>USA</v>
      </c>
      <c r="J1233" s="1">
        <f>_xlfn.XLOOKUP(order_details[[#This Row],[OrderID]], orders[OrderID], orders[Month])</f>
        <v>11</v>
      </c>
    </row>
    <row r="1234" spans="1:10" x14ac:dyDescent="0.35">
      <c r="A1234">
        <v>10714</v>
      </c>
      <c r="B1234">
        <v>58</v>
      </c>
      <c r="C1234">
        <v>13.25</v>
      </c>
      <c r="D1234">
        <v>12</v>
      </c>
      <c r="E1234">
        <v>0.25</v>
      </c>
      <c r="F1234">
        <v>119.25</v>
      </c>
      <c r="G1234" t="str">
        <f>VLOOKUP(VLOOKUP(order_details[[#This Row],[ProductID]], products[], 4, FALSE), categories[], 2, FALSE)</f>
        <v>Seafood</v>
      </c>
      <c r="H1234">
        <f>VLOOKUP(order_details[[#This Row],[ProductID]], products[], 4, FALSE)</f>
        <v>8</v>
      </c>
      <c r="I1234" t="str">
        <f>VLOOKUP(order_details[[#This Row],[OrderID]], orders[[OrderID]:[ShipCountry]], 14, FALSE)</f>
        <v>USA</v>
      </c>
      <c r="J1234" s="1">
        <f>_xlfn.XLOOKUP(order_details[[#This Row],[OrderID]], orders[OrderID], orders[Month])</f>
        <v>11</v>
      </c>
    </row>
    <row r="1235" spans="1:10" x14ac:dyDescent="0.35">
      <c r="A1235">
        <v>10715</v>
      </c>
      <c r="B1235">
        <v>10</v>
      </c>
      <c r="C1235">
        <v>31</v>
      </c>
      <c r="D1235">
        <v>21</v>
      </c>
      <c r="E1235">
        <v>0</v>
      </c>
      <c r="F1235">
        <v>651</v>
      </c>
      <c r="G1235" t="str">
        <f>VLOOKUP(VLOOKUP(order_details[[#This Row],[ProductID]], products[], 4, FALSE), categories[], 2, FALSE)</f>
        <v>Seafood</v>
      </c>
      <c r="H1235">
        <f>VLOOKUP(order_details[[#This Row],[ProductID]], products[], 4, FALSE)</f>
        <v>8</v>
      </c>
      <c r="I1235" t="str">
        <f>VLOOKUP(order_details[[#This Row],[OrderID]], orders[[OrderID]:[ShipCountry]], 14, FALSE)</f>
        <v>France</v>
      </c>
      <c r="J1235" s="1">
        <f>_xlfn.XLOOKUP(order_details[[#This Row],[OrderID]], orders[OrderID], orders[Month])</f>
        <v>11</v>
      </c>
    </row>
    <row r="1236" spans="1:10" x14ac:dyDescent="0.35">
      <c r="A1236">
        <v>10715</v>
      </c>
      <c r="B1236">
        <v>71</v>
      </c>
      <c r="C1236">
        <v>21.5</v>
      </c>
      <c r="D1236">
        <v>30</v>
      </c>
      <c r="E1236">
        <v>0</v>
      </c>
      <c r="F1236">
        <v>645</v>
      </c>
      <c r="G1236" t="str">
        <f>VLOOKUP(VLOOKUP(order_details[[#This Row],[ProductID]], products[], 4, FALSE), categories[], 2, FALSE)</f>
        <v>Dairy Products</v>
      </c>
      <c r="H1236">
        <f>VLOOKUP(order_details[[#This Row],[ProductID]], products[], 4, FALSE)</f>
        <v>4</v>
      </c>
      <c r="I1236" t="str">
        <f>VLOOKUP(order_details[[#This Row],[OrderID]], orders[[OrderID]:[ShipCountry]], 14, FALSE)</f>
        <v>France</v>
      </c>
      <c r="J1236" s="1">
        <f>_xlfn.XLOOKUP(order_details[[#This Row],[OrderID]], orders[OrderID], orders[Month])</f>
        <v>11</v>
      </c>
    </row>
    <row r="1237" spans="1:10" x14ac:dyDescent="0.35">
      <c r="A1237">
        <v>10716</v>
      </c>
      <c r="B1237">
        <v>21</v>
      </c>
      <c r="C1237">
        <v>10</v>
      </c>
      <c r="D1237">
        <v>5</v>
      </c>
      <c r="E1237">
        <v>0</v>
      </c>
      <c r="F1237">
        <v>50</v>
      </c>
      <c r="G1237" t="str">
        <f>VLOOKUP(VLOOKUP(order_details[[#This Row],[ProductID]], products[], 4, FALSE), categories[], 2, FALSE)</f>
        <v>Confections</v>
      </c>
      <c r="H1237">
        <f>VLOOKUP(order_details[[#This Row],[ProductID]], products[], 4, FALSE)</f>
        <v>3</v>
      </c>
      <c r="I1237" t="str">
        <f>VLOOKUP(order_details[[#This Row],[OrderID]], orders[[OrderID]:[ShipCountry]], 14, FALSE)</f>
        <v>Argentina</v>
      </c>
      <c r="J1237" s="1">
        <f>_xlfn.XLOOKUP(order_details[[#This Row],[OrderID]], orders[OrderID], orders[Month])</f>
        <v>11</v>
      </c>
    </row>
    <row r="1238" spans="1:10" x14ac:dyDescent="0.35">
      <c r="A1238">
        <v>10716</v>
      </c>
      <c r="B1238">
        <v>51</v>
      </c>
      <c r="C1238">
        <v>53</v>
      </c>
      <c r="D1238">
        <v>7</v>
      </c>
      <c r="E1238">
        <v>0</v>
      </c>
      <c r="F1238">
        <v>371</v>
      </c>
      <c r="G1238" t="str">
        <f>VLOOKUP(VLOOKUP(order_details[[#This Row],[ProductID]], products[], 4, FALSE), categories[], 2, FALSE)</f>
        <v>Produce</v>
      </c>
      <c r="H1238">
        <f>VLOOKUP(order_details[[#This Row],[ProductID]], products[], 4, FALSE)</f>
        <v>7</v>
      </c>
      <c r="I1238" t="str">
        <f>VLOOKUP(order_details[[#This Row],[OrderID]], orders[[OrderID]:[ShipCountry]], 14, FALSE)</f>
        <v>Argentina</v>
      </c>
      <c r="J1238" s="1">
        <f>_xlfn.XLOOKUP(order_details[[#This Row],[OrderID]], orders[OrderID], orders[Month])</f>
        <v>11</v>
      </c>
    </row>
    <row r="1239" spans="1:10" x14ac:dyDescent="0.35">
      <c r="A1239">
        <v>10716</v>
      </c>
      <c r="B1239">
        <v>61</v>
      </c>
      <c r="C1239">
        <v>28.5</v>
      </c>
      <c r="D1239">
        <v>10</v>
      </c>
      <c r="E1239">
        <v>0</v>
      </c>
      <c r="F1239">
        <v>285</v>
      </c>
      <c r="G1239" t="str">
        <f>VLOOKUP(VLOOKUP(order_details[[#This Row],[ProductID]], products[], 4, FALSE), categories[], 2, FALSE)</f>
        <v>Condiments</v>
      </c>
      <c r="H1239">
        <f>VLOOKUP(order_details[[#This Row],[ProductID]], products[], 4, FALSE)</f>
        <v>2</v>
      </c>
      <c r="I1239" t="str">
        <f>VLOOKUP(order_details[[#This Row],[OrderID]], orders[[OrderID]:[ShipCountry]], 14, FALSE)</f>
        <v>Argentina</v>
      </c>
      <c r="J1239" s="1">
        <f>_xlfn.XLOOKUP(order_details[[#This Row],[OrderID]], orders[OrderID], orders[Month])</f>
        <v>11</v>
      </c>
    </row>
    <row r="1240" spans="1:10" x14ac:dyDescent="0.35">
      <c r="A1240">
        <v>10717</v>
      </c>
      <c r="B1240">
        <v>21</v>
      </c>
      <c r="C1240">
        <v>10</v>
      </c>
      <c r="D1240">
        <v>32</v>
      </c>
      <c r="E1240">
        <v>0.05</v>
      </c>
      <c r="F1240">
        <v>304</v>
      </c>
      <c r="G1240" t="str">
        <f>VLOOKUP(VLOOKUP(order_details[[#This Row],[ProductID]], products[], 4, FALSE), categories[], 2, FALSE)</f>
        <v>Confections</v>
      </c>
      <c r="H1240">
        <f>VLOOKUP(order_details[[#This Row],[ProductID]], products[], 4, FALSE)</f>
        <v>3</v>
      </c>
      <c r="I1240" t="str">
        <f>VLOOKUP(order_details[[#This Row],[OrderID]], orders[[OrderID]:[ShipCountry]], 14, FALSE)</f>
        <v>Germany</v>
      </c>
      <c r="J1240" s="1">
        <f>_xlfn.XLOOKUP(order_details[[#This Row],[OrderID]], orders[OrderID], orders[Month])</f>
        <v>11</v>
      </c>
    </row>
    <row r="1241" spans="1:10" x14ac:dyDescent="0.35">
      <c r="A1241">
        <v>10717</v>
      </c>
      <c r="B1241">
        <v>54</v>
      </c>
      <c r="C1241">
        <v>7.45</v>
      </c>
      <c r="D1241">
        <v>15</v>
      </c>
      <c r="E1241">
        <v>0</v>
      </c>
      <c r="F1241">
        <v>111.75</v>
      </c>
      <c r="G1241" t="str">
        <f>VLOOKUP(VLOOKUP(order_details[[#This Row],[ProductID]], products[], 4, FALSE), categories[], 2, FALSE)</f>
        <v>Meat/Poultry</v>
      </c>
      <c r="H1241">
        <f>VLOOKUP(order_details[[#This Row],[ProductID]], products[], 4, FALSE)</f>
        <v>6</v>
      </c>
      <c r="I1241" t="str">
        <f>VLOOKUP(order_details[[#This Row],[OrderID]], orders[[OrderID]:[ShipCountry]], 14, FALSE)</f>
        <v>Germany</v>
      </c>
      <c r="J1241" s="1">
        <f>_xlfn.XLOOKUP(order_details[[#This Row],[OrderID]], orders[OrderID], orders[Month])</f>
        <v>11</v>
      </c>
    </row>
    <row r="1242" spans="1:10" x14ac:dyDescent="0.35">
      <c r="A1242">
        <v>10717</v>
      </c>
      <c r="B1242">
        <v>69</v>
      </c>
      <c r="C1242">
        <v>36</v>
      </c>
      <c r="D1242">
        <v>25</v>
      </c>
      <c r="E1242">
        <v>0.05</v>
      </c>
      <c r="F1242">
        <v>855</v>
      </c>
      <c r="G1242" t="str">
        <f>VLOOKUP(VLOOKUP(order_details[[#This Row],[ProductID]], products[], 4, FALSE), categories[], 2, FALSE)</f>
        <v>Dairy Products</v>
      </c>
      <c r="H1242">
        <f>VLOOKUP(order_details[[#This Row],[ProductID]], products[], 4, FALSE)</f>
        <v>4</v>
      </c>
      <c r="I1242" t="str">
        <f>VLOOKUP(order_details[[#This Row],[OrderID]], orders[[OrderID]:[ShipCountry]], 14, FALSE)</f>
        <v>Germany</v>
      </c>
      <c r="J1242" s="1">
        <f>_xlfn.XLOOKUP(order_details[[#This Row],[OrderID]], orders[OrderID], orders[Month])</f>
        <v>11</v>
      </c>
    </row>
    <row r="1243" spans="1:10" x14ac:dyDescent="0.35">
      <c r="A1243">
        <v>10718</v>
      </c>
      <c r="B1243">
        <v>12</v>
      </c>
      <c r="C1243">
        <v>38</v>
      </c>
      <c r="D1243">
        <v>36</v>
      </c>
      <c r="E1243">
        <v>0</v>
      </c>
      <c r="F1243">
        <v>1368</v>
      </c>
      <c r="G1243" t="str">
        <f>VLOOKUP(VLOOKUP(order_details[[#This Row],[ProductID]], products[], 4, FALSE), categories[], 2, FALSE)</f>
        <v>Dairy Products</v>
      </c>
      <c r="H1243">
        <f>VLOOKUP(order_details[[#This Row],[ProductID]], products[], 4, FALSE)</f>
        <v>4</v>
      </c>
      <c r="I1243" t="str">
        <f>VLOOKUP(order_details[[#This Row],[OrderID]], orders[[OrderID]:[ShipCountry]], 14, FALSE)</f>
        <v>Germany</v>
      </c>
      <c r="J1243" s="1">
        <f>_xlfn.XLOOKUP(order_details[[#This Row],[OrderID]], orders[OrderID], orders[Month])</f>
        <v>11</v>
      </c>
    </row>
    <row r="1244" spans="1:10" x14ac:dyDescent="0.35">
      <c r="A1244">
        <v>10718</v>
      </c>
      <c r="B1244">
        <v>16</v>
      </c>
      <c r="C1244">
        <v>17.45</v>
      </c>
      <c r="D1244">
        <v>20</v>
      </c>
      <c r="E1244">
        <v>0</v>
      </c>
      <c r="F1244">
        <v>349</v>
      </c>
      <c r="G1244" t="str">
        <f>VLOOKUP(VLOOKUP(order_details[[#This Row],[ProductID]], products[], 4, FALSE), categories[], 2, FALSE)</f>
        <v>Confections</v>
      </c>
      <c r="H1244">
        <f>VLOOKUP(order_details[[#This Row],[ProductID]], products[], 4, FALSE)</f>
        <v>3</v>
      </c>
      <c r="I1244" t="str">
        <f>VLOOKUP(order_details[[#This Row],[OrderID]], orders[[OrderID]:[ShipCountry]], 14, FALSE)</f>
        <v>Germany</v>
      </c>
      <c r="J1244" s="1">
        <f>_xlfn.XLOOKUP(order_details[[#This Row],[OrderID]], orders[OrderID], orders[Month])</f>
        <v>11</v>
      </c>
    </row>
    <row r="1245" spans="1:10" x14ac:dyDescent="0.35">
      <c r="A1245">
        <v>10718</v>
      </c>
      <c r="B1245">
        <v>36</v>
      </c>
      <c r="C1245">
        <v>19</v>
      </c>
      <c r="D1245">
        <v>40</v>
      </c>
      <c r="E1245">
        <v>0</v>
      </c>
      <c r="F1245">
        <v>760</v>
      </c>
      <c r="G1245" t="str">
        <f>VLOOKUP(VLOOKUP(order_details[[#This Row],[ProductID]], products[], 4, FALSE), categories[], 2, FALSE)</f>
        <v>Seafood</v>
      </c>
      <c r="H1245">
        <f>VLOOKUP(order_details[[#This Row],[ProductID]], products[], 4, FALSE)</f>
        <v>8</v>
      </c>
      <c r="I1245" t="str">
        <f>VLOOKUP(order_details[[#This Row],[OrderID]], orders[[OrderID]:[ShipCountry]], 14, FALSE)</f>
        <v>Germany</v>
      </c>
      <c r="J1245" s="1">
        <f>_xlfn.XLOOKUP(order_details[[#This Row],[OrderID]], orders[OrderID], orders[Month])</f>
        <v>11</v>
      </c>
    </row>
    <row r="1246" spans="1:10" x14ac:dyDescent="0.35">
      <c r="A1246">
        <v>10718</v>
      </c>
      <c r="B1246">
        <v>62</v>
      </c>
      <c r="C1246">
        <v>49.3</v>
      </c>
      <c r="D1246">
        <v>20</v>
      </c>
      <c r="E1246">
        <v>0</v>
      </c>
      <c r="F1246">
        <v>986</v>
      </c>
      <c r="G1246" t="str">
        <f>VLOOKUP(VLOOKUP(order_details[[#This Row],[ProductID]], products[], 4, FALSE), categories[], 2, FALSE)</f>
        <v>Confections</v>
      </c>
      <c r="H1246">
        <f>VLOOKUP(order_details[[#This Row],[ProductID]], products[], 4, FALSE)</f>
        <v>3</v>
      </c>
      <c r="I1246" t="str">
        <f>VLOOKUP(order_details[[#This Row],[OrderID]], orders[[OrderID]:[ShipCountry]], 14, FALSE)</f>
        <v>Germany</v>
      </c>
      <c r="J1246" s="1">
        <f>_xlfn.XLOOKUP(order_details[[#This Row],[OrderID]], orders[OrderID], orders[Month])</f>
        <v>11</v>
      </c>
    </row>
    <row r="1247" spans="1:10" x14ac:dyDescent="0.35">
      <c r="A1247">
        <v>10719</v>
      </c>
      <c r="B1247">
        <v>18</v>
      </c>
      <c r="C1247">
        <v>62.5</v>
      </c>
      <c r="D1247">
        <v>12</v>
      </c>
      <c r="E1247">
        <v>0.25</v>
      </c>
      <c r="F1247">
        <v>562.5</v>
      </c>
      <c r="G1247" t="str">
        <f>VLOOKUP(VLOOKUP(order_details[[#This Row],[ProductID]], products[], 4, FALSE), categories[], 2, FALSE)</f>
        <v>Seafood</v>
      </c>
      <c r="H1247">
        <f>VLOOKUP(order_details[[#This Row],[ProductID]], products[], 4, FALSE)</f>
        <v>8</v>
      </c>
      <c r="I1247" t="str">
        <f>VLOOKUP(order_details[[#This Row],[OrderID]], orders[[OrderID]:[ShipCountry]], 14, FALSE)</f>
        <v>USA</v>
      </c>
      <c r="J1247" s="1">
        <f>_xlfn.XLOOKUP(order_details[[#This Row],[OrderID]], orders[OrderID], orders[Month])</f>
        <v>11</v>
      </c>
    </row>
    <row r="1248" spans="1:10" x14ac:dyDescent="0.35">
      <c r="A1248">
        <v>10719</v>
      </c>
      <c r="B1248">
        <v>30</v>
      </c>
      <c r="C1248">
        <v>25.89</v>
      </c>
      <c r="D1248">
        <v>3</v>
      </c>
      <c r="E1248">
        <v>0.25</v>
      </c>
      <c r="F1248">
        <v>58.252499999999998</v>
      </c>
      <c r="G1248" t="str">
        <f>VLOOKUP(VLOOKUP(order_details[[#This Row],[ProductID]], products[], 4, FALSE), categories[], 2, FALSE)</f>
        <v>Seafood</v>
      </c>
      <c r="H1248">
        <f>VLOOKUP(order_details[[#This Row],[ProductID]], products[], 4, FALSE)</f>
        <v>8</v>
      </c>
      <c r="I1248" t="str">
        <f>VLOOKUP(order_details[[#This Row],[OrderID]], orders[[OrderID]:[ShipCountry]], 14, FALSE)</f>
        <v>USA</v>
      </c>
      <c r="J1248" s="1">
        <f>_xlfn.XLOOKUP(order_details[[#This Row],[OrderID]], orders[OrderID], orders[Month])</f>
        <v>11</v>
      </c>
    </row>
    <row r="1249" spans="1:10" x14ac:dyDescent="0.35">
      <c r="A1249">
        <v>10719</v>
      </c>
      <c r="B1249">
        <v>54</v>
      </c>
      <c r="C1249">
        <v>7.45</v>
      </c>
      <c r="D1249">
        <v>40</v>
      </c>
      <c r="E1249">
        <v>0.25</v>
      </c>
      <c r="F1249">
        <v>223.5</v>
      </c>
      <c r="G1249" t="str">
        <f>VLOOKUP(VLOOKUP(order_details[[#This Row],[ProductID]], products[], 4, FALSE), categories[], 2, FALSE)</f>
        <v>Meat/Poultry</v>
      </c>
      <c r="H1249">
        <f>VLOOKUP(order_details[[#This Row],[ProductID]], products[], 4, FALSE)</f>
        <v>6</v>
      </c>
      <c r="I1249" t="str">
        <f>VLOOKUP(order_details[[#This Row],[OrderID]], orders[[OrderID]:[ShipCountry]], 14, FALSE)</f>
        <v>USA</v>
      </c>
      <c r="J1249" s="1">
        <f>_xlfn.XLOOKUP(order_details[[#This Row],[OrderID]], orders[OrderID], orders[Month])</f>
        <v>11</v>
      </c>
    </row>
    <row r="1250" spans="1:10" x14ac:dyDescent="0.35">
      <c r="A1250">
        <v>10720</v>
      </c>
      <c r="B1250">
        <v>35</v>
      </c>
      <c r="C1250">
        <v>18</v>
      </c>
      <c r="D1250">
        <v>21</v>
      </c>
      <c r="E1250">
        <v>0</v>
      </c>
      <c r="F1250">
        <v>378</v>
      </c>
      <c r="G1250" t="str">
        <f>VLOOKUP(VLOOKUP(order_details[[#This Row],[ProductID]], products[], 4, FALSE), categories[], 2, FALSE)</f>
        <v>Beverages</v>
      </c>
      <c r="H1250">
        <f>VLOOKUP(order_details[[#This Row],[ProductID]], products[], 4, FALSE)</f>
        <v>1</v>
      </c>
      <c r="I1250" t="str">
        <f>VLOOKUP(order_details[[#This Row],[OrderID]], orders[[OrderID]:[ShipCountry]], 14, FALSE)</f>
        <v>Brazil</v>
      </c>
      <c r="J1250" s="1">
        <f>_xlfn.XLOOKUP(order_details[[#This Row],[OrderID]], orders[OrderID], orders[Month])</f>
        <v>11</v>
      </c>
    </row>
    <row r="1251" spans="1:10" x14ac:dyDescent="0.35">
      <c r="A1251">
        <v>10720</v>
      </c>
      <c r="B1251">
        <v>71</v>
      </c>
      <c r="C1251">
        <v>21.5</v>
      </c>
      <c r="D1251">
        <v>8</v>
      </c>
      <c r="E1251">
        <v>0</v>
      </c>
      <c r="F1251">
        <v>172</v>
      </c>
      <c r="G1251" t="str">
        <f>VLOOKUP(VLOOKUP(order_details[[#This Row],[ProductID]], products[], 4, FALSE), categories[], 2, FALSE)</f>
        <v>Dairy Products</v>
      </c>
      <c r="H1251">
        <f>VLOOKUP(order_details[[#This Row],[ProductID]], products[], 4, FALSE)</f>
        <v>4</v>
      </c>
      <c r="I1251" t="str">
        <f>VLOOKUP(order_details[[#This Row],[OrderID]], orders[[OrderID]:[ShipCountry]], 14, FALSE)</f>
        <v>Brazil</v>
      </c>
      <c r="J1251" s="1">
        <f>_xlfn.XLOOKUP(order_details[[#This Row],[OrderID]], orders[OrderID], orders[Month])</f>
        <v>11</v>
      </c>
    </row>
    <row r="1252" spans="1:10" x14ac:dyDescent="0.35">
      <c r="A1252">
        <v>10721</v>
      </c>
      <c r="B1252">
        <v>44</v>
      </c>
      <c r="C1252">
        <v>19.45</v>
      </c>
      <c r="D1252">
        <v>50</v>
      </c>
      <c r="E1252">
        <v>0.05</v>
      </c>
      <c r="F1252">
        <v>923.875</v>
      </c>
      <c r="G1252" t="str">
        <f>VLOOKUP(VLOOKUP(order_details[[#This Row],[ProductID]], products[], 4, FALSE), categories[], 2, FALSE)</f>
        <v>Condiments</v>
      </c>
      <c r="H1252">
        <f>VLOOKUP(order_details[[#This Row],[ProductID]], products[], 4, FALSE)</f>
        <v>2</v>
      </c>
      <c r="I1252" t="str">
        <f>VLOOKUP(order_details[[#This Row],[OrderID]], orders[[OrderID]:[ShipCountry]], 14, FALSE)</f>
        <v>Germany</v>
      </c>
      <c r="J1252" s="1">
        <f>_xlfn.XLOOKUP(order_details[[#This Row],[OrderID]], orders[OrderID], orders[Month])</f>
        <v>11</v>
      </c>
    </row>
    <row r="1253" spans="1:10" x14ac:dyDescent="0.35">
      <c r="A1253">
        <v>10722</v>
      </c>
      <c r="B1253">
        <v>2</v>
      </c>
      <c r="C1253">
        <v>19</v>
      </c>
      <c r="D1253">
        <v>3</v>
      </c>
      <c r="E1253">
        <v>0</v>
      </c>
      <c r="F1253">
        <v>57</v>
      </c>
      <c r="G1253" t="str">
        <f>VLOOKUP(VLOOKUP(order_details[[#This Row],[ProductID]], products[], 4, FALSE), categories[], 2, FALSE)</f>
        <v>Beverages</v>
      </c>
      <c r="H1253">
        <f>VLOOKUP(order_details[[#This Row],[ProductID]], products[], 4, FALSE)</f>
        <v>1</v>
      </c>
      <c r="I1253" t="str">
        <f>VLOOKUP(order_details[[#This Row],[OrderID]], orders[[OrderID]:[ShipCountry]], 14, FALSE)</f>
        <v>USA</v>
      </c>
      <c r="J1253" s="1">
        <f>_xlfn.XLOOKUP(order_details[[#This Row],[OrderID]], orders[OrderID], orders[Month])</f>
        <v>11</v>
      </c>
    </row>
    <row r="1254" spans="1:10" x14ac:dyDescent="0.35">
      <c r="A1254">
        <v>10722</v>
      </c>
      <c r="B1254">
        <v>31</v>
      </c>
      <c r="C1254">
        <v>12.5</v>
      </c>
      <c r="D1254">
        <v>50</v>
      </c>
      <c r="E1254">
        <v>0</v>
      </c>
      <c r="F1254">
        <v>625</v>
      </c>
      <c r="G1254" t="str">
        <f>VLOOKUP(VLOOKUP(order_details[[#This Row],[ProductID]], products[], 4, FALSE), categories[], 2, FALSE)</f>
        <v>Dairy Products</v>
      </c>
      <c r="H1254">
        <f>VLOOKUP(order_details[[#This Row],[ProductID]], products[], 4, FALSE)</f>
        <v>4</v>
      </c>
      <c r="I1254" t="str">
        <f>VLOOKUP(order_details[[#This Row],[OrderID]], orders[[OrderID]:[ShipCountry]], 14, FALSE)</f>
        <v>USA</v>
      </c>
      <c r="J1254" s="1">
        <f>_xlfn.XLOOKUP(order_details[[#This Row],[OrderID]], orders[OrderID], orders[Month])</f>
        <v>11</v>
      </c>
    </row>
    <row r="1255" spans="1:10" x14ac:dyDescent="0.35">
      <c r="A1255">
        <v>10722</v>
      </c>
      <c r="B1255">
        <v>68</v>
      </c>
      <c r="C1255">
        <v>12.5</v>
      </c>
      <c r="D1255">
        <v>45</v>
      </c>
      <c r="E1255">
        <v>0</v>
      </c>
      <c r="F1255">
        <v>562.5</v>
      </c>
      <c r="G1255" t="str">
        <f>VLOOKUP(VLOOKUP(order_details[[#This Row],[ProductID]], products[], 4, FALSE), categories[], 2, FALSE)</f>
        <v>Confections</v>
      </c>
      <c r="H1255">
        <f>VLOOKUP(order_details[[#This Row],[ProductID]], products[], 4, FALSE)</f>
        <v>3</v>
      </c>
      <c r="I1255" t="str">
        <f>VLOOKUP(order_details[[#This Row],[OrderID]], orders[[OrderID]:[ShipCountry]], 14, FALSE)</f>
        <v>USA</v>
      </c>
      <c r="J1255" s="1">
        <f>_xlfn.XLOOKUP(order_details[[#This Row],[OrderID]], orders[OrderID], orders[Month])</f>
        <v>11</v>
      </c>
    </row>
    <row r="1256" spans="1:10" x14ac:dyDescent="0.35">
      <c r="A1256">
        <v>10722</v>
      </c>
      <c r="B1256">
        <v>75</v>
      </c>
      <c r="C1256">
        <v>7.75</v>
      </c>
      <c r="D1256">
        <v>42</v>
      </c>
      <c r="E1256">
        <v>0</v>
      </c>
      <c r="F1256">
        <v>325.5</v>
      </c>
      <c r="G1256" t="str">
        <f>VLOOKUP(VLOOKUP(order_details[[#This Row],[ProductID]], products[], 4, FALSE), categories[], 2, FALSE)</f>
        <v>Beverages</v>
      </c>
      <c r="H1256">
        <f>VLOOKUP(order_details[[#This Row],[ProductID]], products[], 4, FALSE)</f>
        <v>1</v>
      </c>
      <c r="I1256" t="str">
        <f>VLOOKUP(order_details[[#This Row],[OrderID]], orders[[OrderID]:[ShipCountry]], 14, FALSE)</f>
        <v>USA</v>
      </c>
      <c r="J1256" s="1">
        <f>_xlfn.XLOOKUP(order_details[[#This Row],[OrderID]], orders[OrderID], orders[Month])</f>
        <v>11</v>
      </c>
    </row>
    <row r="1257" spans="1:10" x14ac:dyDescent="0.35">
      <c r="A1257">
        <v>10723</v>
      </c>
      <c r="B1257">
        <v>26</v>
      </c>
      <c r="C1257">
        <v>31.23</v>
      </c>
      <c r="D1257">
        <v>15</v>
      </c>
      <c r="E1257">
        <v>0</v>
      </c>
      <c r="F1257">
        <v>468.45</v>
      </c>
      <c r="G1257" t="str">
        <f>VLOOKUP(VLOOKUP(order_details[[#This Row],[ProductID]], products[], 4, FALSE), categories[], 2, FALSE)</f>
        <v>Confections</v>
      </c>
      <c r="H1257">
        <f>VLOOKUP(order_details[[#This Row],[ProductID]], products[], 4, FALSE)</f>
        <v>3</v>
      </c>
      <c r="I1257" t="str">
        <f>VLOOKUP(order_details[[#This Row],[OrderID]], orders[[OrderID]:[ShipCountry]], 14, FALSE)</f>
        <v>USA</v>
      </c>
      <c r="J1257" s="1">
        <f>_xlfn.XLOOKUP(order_details[[#This Row],[OrderID]], orders[OrderID], orders[Month])</f>
        <v>11</v>
      </c>
    </row>
    <row r="1258" spans="1:10" x14ac:dyDescent="0.35">
      <c r="A1258">
        <v>10724</v>
      </c>
      <c r="B1258">
        <v>10</v>
      </c>
      <c r="C1258">
        <v>31</v>
      </c>
      <c r="D1258">
        <v>16</v>
      </c>
      <c r="E1258">
        <v>0</v>
      </c>
      <c r="F1258">
        <v>496</v>
      </c>
      <c r="G1258" t="str">
        <f>VLOOKUP(VLOOKUP(order_details[[#This Row],[ProductID]], products[], 4, FALSE), categories[], 2, FALSE)</f>
        <v>Seafood</v>
      </c>
      <c r="H1258">
        <f>VLOOKUP(order_details[[#This Row],[ProductID]], products[], 4, FALSE)</f>
        <v>8</v>
      </c>
      <c r="I1258" t="str">
        <f>VLOOKUP(order_details[[#This Row],[OrderID]], orders[[OrderID]:[ShipCountry]], 14, FALSE)</f>
        <v>Canada</v>
      </c>
      <c r="J1258" s="1">
        <f>_xlfn.XLOOKUP(order_details[[#This Row],[OrderID]], orders[OrderID], orders[Month])</f>
        <v>11</v>
      </c>
    </row>
    <row r="1259" spans="1:10" x14ac:dyDescent="0.35">
      <c r="A1259">
        <v>10724</v>
      </c>
      <c r="B1259">
        <v>61</v>
      </c>
      <c r="C1259">
        <v>28.5</v>
      </c>
      <c r="D1259">
        <v>5</v>
      </c>
      <c r="E1259">
        <v>0</v>
      </c>
      <c r="F1259">
        <v>142.5</v>
      </c>
      <c r="G1259" t="str">
        <f>VLOOKUP(VLOOKUP(order_details[[#This Row],[ProductID]], products[], 4, FALSE), categories[], 2, FALSE)</f>
        <v>Condiments</v>
      </c>
      <c r="H1259">
        <f>VLOOKUP(order_details[[#This Row],[ProductID]], products[], 4, FALSE)</f>
        <v>2</v>
      </c>
      <c r="I1259" t="str">
        <f>VLOOKUP(order_details[[#This Row],[OrderID]], orders[[OrderID]:[ShipCountry]], 14, FALSE)</f>
        <v>Canada</v>
      </c>
      <c r="J1259" s="1">
        <f>_xlfn.XLOOKUP(order_details[[#This Row],[OrderID]], orders[OrderID], orders[Month])</f>
        <v>11</v>
      </c>
    </row>
    <row r="1260" spans="1:10" x14ac:dyDescent="0.35">
      <c r="A1260">
        <v>10725</v>
      </c>
      <c r="B1260">
        <v>41</v>
      </c>
      <c r="C1260">
        <v>9.65</v>
      </c>
      <c r="D1260">
        <v>12</v>
      </c>
      <c r="E1260">
        <v>0</v>
      </c>
      <c r="F1260">
        <v>115.80000000000001</v>
      </c>
      <c r="G1260" t="str">
        <f>VLOOKUP(VLOOKUP(order_details[[#This Row],[ProductID]], products[], 4, FALSE), categories[], 2, FALSE)</f>
        <v>Seafood</v>
      </c>
      <c r="H1260">
        <f>VLOOKUP(order_details[[#This Row],[ProductID]], products[], 4, FALSE)</f>
        <v>8</v>
      </c>
      <c r="I1260" t="str">
        <f>VLOOKUP(order_details[[#This Row],[OrderID]], orders[[OrderID]:[ShipCountry]], 14, FALSE)</f>
        <v>Brazil</v>
      </c>
      <c r="J1260" s="1">
        <f>_xlfn.XLOOKUP(order_details[[#This Row],[OrderID]], orders[OrderID], orders[Month])</f>
        <v>12</v>
      </c>
    </row>
    <row r="1261" spans="1:10" x14ac:dyDescent="0.35">
      <c r="A1261">
        <v>10725</v>
      </c>
      <c r="B1261">
        <v>52</v>
      </c>
      <c r="C1261">
        <v>7</v>
      </c>
      <c r="D1261">
        <v>4</v>
      </c>
      <c r="E1261">
        <v>0</v>
      </c>
      <c r="F1261">
        <v>28</v>
      </c>
      <c r="G1261" t="str">
        <f>VLOOKUP(VLOOKUP(order_details[[#This Row],[ProductID]], products[], 4, FALSE), categories[], 2, FALSE)</f>
        <v>Grains/Cereals</v>
      </c>
      <c r="H1261">
        <f>VLOOKUP(order_details[[#This Row],[ProductID]], products[], 4, FALSE)</f>
        <v>5</v>
      </c>
      <c r="I1261" t="str">
        <f>VLOOKUP(order_details[[#This Row],[OrderID]], orders[[OrderID]:[ShipCountry]], 14, FALSE)</f>
        <v>Brazil</v>
      </c>
      <c r="J1261" s="1">
        <f>_xlfn.XLOOKUP(order_details[[#This Row],[OrderID]], orders[OrderID], orders[Month])</f>
        <v>12</v>
      </c>
    </row>
    <row r="1262" spans="1:10" x14ac:dyDescent="0.35">
      <c r="A1262">
        <v>10725</v>
      </c>
      <c r="B1262">
        <v>55</v>
      </c>
      <c r="C1262">
        <v>24</v>
      </c>
      <c r="D1262">
        <v>6</v>
      </c>
      <c r="E1262">
        <v>0</v>
      </c>
      <c r="F1262">
        <v>144</v>
      </c>
      <c r="G1262" t="str">
        <f>VLOOKUP(VLOOKUP(order_details[[#This Row],[ProductID]], products[], 4, FALSE), categories[], 2, FALSE)</f>
        <v>Meat/Poultry</v>
      </c>
      <c r="H1262">
        <f>VLOOKUP(order_details[[#This Row],[ProductID]], products[], 4, FALSE)</f>
        <v>6</v>
      </c>
      <c r="I1262" t="str">
        <f>VLOOKUP(order_details[[#This Row],[OrderID]], orders[[OrderID]:[ShipCountry]], 14, FALSE)</f>
        <v>Brazil</v>
      </c>
      <c r="J1262" s="1">
        <f>_xlfn.XLOOKUP(order_details[[#This Row],[OrderID]], orders[OrderID], orders[Month])</f>
        <v>12</v>
      </c>
    </row>
    <row r="1263" spans="1:10" x14ac:dyDescent="0.35">
      <c r="A1263">
        <v>10726</v>
      </c>
      <c r="B1263">
        <v>4</v>
      </c>
      <c r="C1263">
        <v>22</v>
      </c>
      <c r="D1263">
        <v>25</v>
      </c>
      <c r="E1263">
        <v>0</v>
      </c>
      <c r="F1263">
        <v>550</v>
      </c>
      <c r="G1263" t="str">
        <f>VLOOKUP(VLOOKUP(order_details[[#This Row],[ProductID]], products[], 4, FALSE), categories[], 2, FALSE)</f>
        <v>Condiments</v>
      </c>
      <c r="H1263">
        <f>VLOOKUP(order_details[[#This Row],[ProductID]], products[], 4, FALSE)</f>
        <v>2</v>
      </c>
      <c r="I1263" t="str">
        <f>VLOOKUP(order_details[[#This Row],[OrderID]], orders[[OrderID]:[ShipCountry]], 14, FALSE)</f>
        <v>UK</v>
      </c>
      <c r="J1263" s="1">
        <f>_xlfn.XLOOKUP(order_details[[#This Row],[OrderID]], orders[OrderID], orders[Month])</f>
        <v>12</v>
      </c>
    </row>
    <row r="1264" spans="1:10" x14ac:dyDescent="0.35">
      <c r="A1264">
        <v>10726</v>
      </c>
      <c r="B1264">
        <v>11</v>
      </c>
      <c r="C1264">
        <v>21</v>
      </c>
      <c r="D1264">
        <v>5</v>
      </c>
      <c r="E1264">
        <v>0</v>
      </c>
      <c r="F1264">
        <v>105</v>
      </c>
      <c r="G1264" t="str">
        <f>VLOOKUP(VLOOKUP(order_details[[#This Row],[ProductID]], products[], 4, FALSE), categories[], 2, FALSE)</f>
        <v>Dairy Products</v>
      </c>
      <c r="H1264">
        <f>VLOOKUP(order_details[[#This Row],[ProductID]], products[], 4, FALSE)</f>
        <v>4</v>
      </c>
      <c r="I1264" t="str">
        <f>VLOOKUP(order_details[[#This Row],[OrderID]], orders[[OrderID]:[ShipCountry]], 14, FALSE)</f>
        <v>UK</v>
      </c>
      <c r="J1264" s="1">
        <f>_xlfn.XLOOKUP(order_details[[#This Row],[OrderID]], orders[OrderID], orders[Month])</f>
        <v>12</v>
      </c>
    </row>
    <row r="1265" spans="1:10" x14ac:dyDescent="0.35">
      <c r="A1265">
        <v>10727</v>
      </c>
      <c r="B1265">
        <v>17</v>
      </c>
      <c r="C1265">
        <v>39</v>
      </c>
      <c r="D1265">
        <v>20</v>
      </c>
      <c r="E1265">
        <v>0.05</v>
      </c>
      <c r="F1265">
        <v>741</v>
      </c>
      <c r="G1265" t="str">
        <f>VLOOKUP(VLOOKUP(order_details[[#This Row],[ProductID]], products[], 4, FALSE), categories[], 2, FALSE)</f>
        <v>Meat/Poultry</v>
      </c>
      <c r="H1265">
        <f>VLOOKUP(order_details[[#This Row],[ProductID]], products[], 4, FALSE)</f>
        <v>6</v>
      </c>
      <c r="I1265" t="str">
        <f>VLOOKUP(order_details[[#This Row],[OrderID]], orders[[OrderID]:[ShipCountry]], 14, FALSE)</f>
        <v>Italy</v>
      </c>
      <c r="J1265" s="1">
        <f>_xlfn.XLOOKUP(order_details[[#This Row],[OrderID]], orders[OrderID], orders[Month])</f>
        <v>12</v>
      </c>
    </row>
    <row r="1266" spans="1:10" x14ac:dyDescent="0.35">
      <c r="A1266">
        <v>10727</v>
      </c>
      <c r="B1266">
        <v>56</v>
      </c>
      <c r="C1266">
        <v>38</v>
      </c>
      <c r="D1266">
        <v>10</v>
      </c>
      <c r="E1266">
        <v>0.05</v>
      </c>
      <c r="F1266">
        <v>361</v>
      </c>
      <c r="G1266" t="str">
        <f>VLOOKUP(VLOOKUP(order_details[[#This Row],[ProductID]], products[], 4, FALSE), categories[], 2, FALSE)</f>
        <v>Grains/Cereals</v>
      </c>
      <c r="H1266">
        <f>VLOOKUP(order_details[[#This Row],[ProductID]], products[], 4, FALSE)</f>
        <v>5</v>
      </c>
      <c r="I1266" t="str">
        <f>VLOOKUP(order_details[[#This Row],[OrderID]], orders[[OrderID]:[ShipCountry]], 14, FALSE)</f>
        <v>Italy</v>
      </c>
      <c r="J1266" s="1">
        <f>_xlfn.XLOOKUP(order_details[[#This Row],[OrderID]], orders[OrderID], orders[Month])</f>
        <v>12</v>
      </c>
    </row>
    <row r="1267" spans="1:10" x14ac:dyDescent="0.35">
      <c r="A1267">
        <v>10727</v>
      </c>
      <c r="B1267">
        <v>59</v>
      </c>
      <c r="C1267">
        <v>55</v>
      </c>
      <c r="D1267">
        <v>10</v>
      </c>
      <c r="E1267">
        <v>0.05</v>
      </c>
      <c r="F1267">
        <v>522.5</v>
      </c>
      <c r="G1267" t="str">
        <f>VLOOKUP(VLOOKUP(order_details[[#This Row],[ProductID]], products[], 4, FALSE), categories[], 2, FALSE)</f>
        <v>Dairy Products</v>
      </c>
      <c r="H1267">
        <f>VLOOKUP(order_details[[#This Row],[ProductID]], products[], 4, FALSE)</f>
        <v>4</v>
      </c>
      <c r="I1267" t="str">
        <f>VLOOKUP(order_details[[#This Row],[OrderID]], orders[[OrderID]:[ShipCountry]], 14, FALSE)</f>
        <v>Italy</v>
      </c>
      <c r="J1267" s="1">
        <f>_xlfn.XLOOKUP(order_details[[#This Row],[OrderID]], orders[OrderID], orders[Month])</f>
        <v>12</v>
      </c>
    </row>
    <row r="1268" spans="1:10" x14ac:dyDescent="0.35">
      <c r="A1268">
        <v>10728</v>
      </c>
      <c r="B1268">
        <v>30</v>
      </c>
      <c r="C1268">
        <v>25.89</v>
      </c>
      <c r="D1268">
        <v>15</v>
      </c>
      <c r="E1268">
        <v>0</v>
      </c>
      <c r="F1268">
        <v>388.35</v>
      </c>
      <c r="G1268" t="str">
        <f>VLOOKUP(VLOOKUP(order_details[[#This Row],[ProductID]], products[], 4, FALSE), categories[], 2, FALSE)</f>
        <v>Seafood</v>
      </c>
      <c r="H1268">
        <f>VLOOKUP(order_details[[#This Row],[ProductID]], products[], 4, FALSE)</f>
        <v>8</v>
      </c>
      <c r="I1268" t="str">
        <f>VLOOKUP(order_details[[#This Row],[OrderID]], orders[[OrderID]:[ShipCountry]], 14, FALSE)</f>
        <v>Brazil</v>
      </c>
      <c r="J1268" s="1">
        <f>_xlfn.XLOOKUP(order_details[[#This Row],[OrderID]], orders[OrderID], orders[Month])</f>
        <v>12</v>
      </c>
    </row>
    <row r="1269" spans="1:10" x14ac:dyDescent="0.35">
      <c r="A1269">
        <v>10728</v>
      </c>
      <c r="B1269">
        <v>40</v>
      </c>
      <c r="C1269">
        <v>18.399999999999999</v>
      </c>
      <c r="D1269">
        <v>6</v>
      </c>
      <c r="E1269">
        <v>0</v>
      </c>
      <c r="F1269">
        <v>110.39999999999999</v>
      </c>
      <c r="G1269" t="str">
        <f>VLOOKUP(VLOOKUP(order_details[[#This Row],[ProductID]], products[], 4, FALSE), categories[], 2, FALSE)</f>
        <v>Seafood</v>
      </c>
      <c r="H1269">
        <f>VLOOKUP(order_details[[#This Row],[ProductID]], products[], 4, FALSE)</f>
        <v>8</v>
      </c>
      <c r="I1269" t="str">
        <f>VLOOKUP(order_details[[#This Row],[OrderID]], orders[[OrderID]:[ShipCountry]], 14, FALSE)</f>
        <v>Brazil</v>
      </c>
      <c r="J1269" s="1">
        <f>_xlfn.XLOOKUP(order_details[[#This Row],[OrderID]], orders[OrderID], orders[Month])</f>
        <v>12</v>
      </c>
    </row>
    <row r="1270" spans="1:10" x14ac:dyDescent="0.35">
      <c r="A1270">
        <v>10728</v>
      </c>
      <c r="B1270">
        <v>55</v>
      </c>
      <c r="C1270">
        <v>24</v>
      </c>
      <c r="D1270">
        <v>12</v>
      </c>
      <c r="E1270">
        <v>0</v>
      </c>
      <c r="F1270">
        <v>288</v>
      </c>
      <c r="G1270" t="str">
        <f>VLOOKUP(VLOOKUP(order_details[[#This Row],[ProductID]], products[], 4, FALSE), categories[], 2, FALSE)</f>
        <v>Meat/Poultry</v>
      </c>
      <c r="H1270">
        <f>VLOOKUP(order_details[[#This Row],[ProductID]], products[], 4, FALSE)</f>
        <v>6</v>
      </c>
      <c r="I1270" t="str">
        <f>VLOOKUP(order_details[[#This Row],[OrderID]], orders[[OrderID]:[ShipCountry]], 14, FALSE)</f>
        <v>Brazil</v>
      </c>
      <c r="J1270" s="1">
        <f>_xlfn.XLOOKUP(order_details[[#This Row],[OrderID]], orders[OrderID], orders[Month])</f>
        <v>12</v>
      </c>
    </row>
    <row r="1271" spans="1:10" x14ac:dyDescent="0.35">
      <c r="A1271">
        <v>10728</v>
      </c>
      <c r="B1271">
        <v>60</v>
      </c>
      <c r="C1271">
        <v>34</v>
      </c>
      <c r="D1271">
        <v>15</v>
      </c>
      <c r="E1271">
        <v>0</v>
      </c>
      <c r="F1271">
        <v>510</v>
      </c>
      <c r="G1271" t="str">
        <f>VLOOKUP(VLOOKUP(order_details[[#This Row],[ProductID]], products[], 4, FALSE), categories[], 2, FALSE)</f>
        <v>Dairy Products</v>
      </c>
      <c r="H1271">
        <f>VLOOKUP(order_details[[#This Row],[ProductID]], products[], 4, FALSE)</f>
        <v>4</v>
      </c>
      <c r="I1271" t="str">
        <f>VLOOKUP(order_details[[#This Row],[OrderID]], orders[[OrderID]:[ShipCountry]], 14, FALSE)</f>
        <v>Brazil</v>
      </c>
      <c r="J1271" s="1">
        <f>_xlfn.XLOOKUP(order_details[[#This Row],[OrderID]], orders[OrderID], orders[Month])</f>
        <v>12</v>
      </c>
    </row>
    <row r="1272" spans="1:10" x14ac:dyDescent="0.35">
      <c r="A1272">
        <v>10729</v>
      </c>
      <c r="B1272">
        <v>1</v>
      </c>
      <c r="C1272">
        <v>18</v>
      </c>
      <c r="D1272">
        <v>50</v>
      </c>
      <c r="E1272">
        <v>0</v>
      </c>
      <c r="F1272">
        <v>900</v>
      </c>
      <c r="G1272" t="str">
        <f>VLOOKUP(VLOOKUP(order_details[[#This Row],[ProductID]], products[], 4, FALSE), categories[], 2, FALSE)</f>
        <v>Beverages</v>
      </c>
      <c r="H1272">
        <f>VLOOKUP(order_details[[#This Row],[ProductID]], products[], 4, FALSE)</f>
        <v>1</v>
      </c>
      <c r="I1272" t="str">
        <f>VLOOKUP(order_details[[#This Row],[OrderID]], orders[[OrderID]:[ShipCountry]], 14, FALSE)</f>
        <v>Venezuela</v>
      </c>
      <c r="J1272" s="1">
        <f>_xlfn.XLOOKUP(order_details[[#This Row],[OrderID]], orders[OrderID], orders[Month])</f>
        <v>12</v>
      </c>
    </row>
    <row r="1273" spans="1:10" x14ac:dyDescent="0.35">
      <c r="A1273">
        <v>10729</v>
      </c>
      <c r="B1273">
        <v>21</v>
      </c>
      <c r="C1273">
        <v>10</v>
      </c>
      <c r="D1273">
        <v>30</v>
      </c>
      <c r="E1273">
        <v>0</v>
      </c>
      <c r="F1273">
        <v>300</v>
      </c>
      <c r="G1273" t="str">
        <f>VLOOKUP(VLOOKUP(order_details[[#This Row],[ProductID]], products[], 4, FALSE), categories[], 2, FALSE)</f>
        <v>Confections</v>
      </c>
      <c r="H1273">
        <f>VLOOKUP(order_details[[#This Row],[ProductID]], products[], 4, FALSE)</f>
        <v>3</v>
      </c>
      <c r="I1273" t="str">
        <f>VLOOKUP(order_details[[#This Row],[OrderID]], orders[[OrderID]:[ShipCountry]], 14, FALSE)</f>
        <v>Venezuela</v>
      </c>
      <c r="J1273" s="1">
        <f>_xlfn.XLOOKUP(order_details[[#This Row],[OrderID]], orders[OrderID], orders[Month])</f>
        <v>12</v>
      </c>
    </row>
    <row r="1274" spans="1:10" x14ac:dyDescent="0.35">
      <c r="A1274">
        <v>10729</v>
      </c>
      <c r="B1274">
        <v>50</v>
      </c>
      <c r="C1274">
        <v>16.25</v>
      </c>
      <c r="D1274">
        <v>40</v>
      </c>
      <c r="E1274">
        <v>0</v>
      </c>
      <c r="F1274">
        <v>650</v>
      </c>
      <c r="G1274" t="str">
        <f>VLOOKUP(VLOOKUP(order_details[[#This Row],[ProductID]], products[], 4, FALSE), categories[], 2, FALSE)</f>
        <v>Confections</v>
      </c>
      <c r="H1274">
        <f>VLOOKUP(order_details[[#This Row],[ProductID]], products[], 4, FALSE)</f>
        <v>3</v>
      </c>
      <c r="I1274" t="str">
        <f>VLOOKUP(order_details[[#This Row],[OrderID]], orders[[OrderID]:[ShipCountry]], 14, FALSE)</f>
        <v>Venezuela</v>
      </c>
      <c r="J1274" s="1">
        <f>_xlfn.XLOOKUP(order_details[[#This Row],[OrderID]], orders[OrderID], orders[Month])</f>
        <v>12</v>
      </c>
    </row>
    <row r="1275" spans="1:10" x14ac:dyDescent="0.35">
      <c r="A1275">
        <v>10730</v>
      </c>
      <c r="B1275">
        <v>16</v>
      </c>
      <c r="C1275">
        <v>17.45</v>
      </c>
      <c r="D1275">
        <v>15</v>
      </c>
      <c r="E1275">
        <v>0.05</v>
      </c>
      <c r="F1275">
        <v>248.66249999999999</v>
      </c>
      <c r="G1275" t="str">
        <f>VLOOKUP(VLOOKUP(order_details[[#This Row],[ProductID]], products[], 4, FALSE), categories[], 2, FALSE)</f>
        <v>Confections</v>
      </c>
      <c r="H1275">
        <f>VLOOKUP(order_details[[#This Row],[ProductID]], products[], 4, FALSE)</f>
        <v>3</v>
      </c>
      <c r="I1275" t="str">
        <f>VLOOKUP(order_details[[#This Row],[OrderID]], orders[[OrderID]:[ShipCountry]], 14, FALSE)</f>
        <v>France</v>
      </c>
      <c r="J1275" s="1">
        <f>_xlfn.XLOOKUP(order_details[[#This Row],[OrderID]], orders[OrderID], orders[Month])</f>
        <v>12</v>
      </c>
    </row>
    <row r="1276" spans="1:10" x14ac:dyDescent="0.35">
      <c r="A1276">
        <v>10730</v>
      </c>
      <c r="B1276">
        <v>31</v>
      </c>
      <c r="C1276">
        <v>12.5</v>
      </c>
      <c r="D1276">
        <v>3</v>
      </c>
      <c r="E1276">
        <v>0.05</v>
      </c>
      <c r="F1276">
        <v>35.625</v>
      </c>
      <c r="G1276" t="str">
        <f>VLOOKUP(VLOOKUP(order_details[[#This Row],[ProductID]], products[], 4, FALSE), categories[], 2, FALSE)</f>
        <v>Dairy Products</v>
      </c>
      <c r="H1276">
        <f>VLOOKUP(order_details[[#This Row],[ProductID]], products[], 4, FALSE)</f>
        <v>4</v>
      </c>
      <c r="I1276" t="str">
        <f>VLOOKUP(order_details[[#This Row],[OrderID]], orders[[OrderID]:[ShipCountry]], 14, FALSE)</f>
        <v>France</v>
      </c>
      <c r="J1276" s="1">
        <f>_xlfn.XLOOKUP(order_details[[#This Row],[OrderID]], orders[OrderID], orders[Month])</f>
        <v>12</v>
      </c>
    </row>
    <row r="1277" spans="1:10" x14ac:dyDescent="0.35">
      <c r="A1277">
        <v>10730</v>
      </c>
      <c r="B1277">
        <v>65</v>
      </c>
      <c r="C1277">
        <v>21.05</v>
      </c>
      <c r="D1277">
        <v>10</v>
      </c>
      <c r="E1277">
        <v>0.05</v>
      </c>
      <c r="F1277">
        <v>199.97499999999999</v>
      </c>
      <c r="G1277" t="str">
        <f>VLOOKUP(VLOOKUP(order_details[[#This Row],[ProductID]], products[], 4, FALSE), categories[], 2, FALSE)</f>
        <v>Condiments</v>
      </c>
      <c r="H1277">
        <f>VLOOKUP(order_details[[#This Row],[ProductID]], products[], 4, FALSE)</f>
        <v>2</v>
      </c>
      <c r="I1277" t="str">
        <f>VLOOKUP(order_details[[#This Row],[OrderID]], orders[[OrderID]:[ShipCountry]], 14, FALSE)</f>
        <v>France</v>
      </c>
      <c r="J1277" s="1">
        <f>_xlfn.XLOOKUP(order_details[[#This Row],[OrderID]], orders[OrderID], orders[Month])</f>
        <v>12</v>
      </c>
    </row>
    <row r="1278" spans="1:10" x14ac:dyDescent="0.35">
      <c r="A1278">
        <v>10731</v>
      </c>
      <c r="B1278">
        <v>21</v>
      </c>
      <c r="C1278">
        <v>10</v>
      </c>
      <c r="D1278">
        <v>40</v>
      </c>
      <c r="E1278">
        <v>0.05</v>
      </c>
      <c r="F1278">
        <v>380</v>
      </c>
      <c r="G1278" t="str">
        <f>VLOOKUP(VLOOKUP(order_details[[#This Row],[ProductID]], products[], 4, FALSE), categories[], 2, FALSE)</f>
        <v>Confections</v>
      </c>
      <c r="H1278">
        <f>VLOOKUP(order_details[[#This Row],[ProductID]], products[], 4, FALSE)</f>
        <v>3</v>
      </c>
      <c r="I1278" t="str">
        <f>VLOOKUP(order_details[[#This Row],[OrderID]], orders[[OrderID]:[ShipCountry]], 14, FALSE)</f>
        <v>Switzerland</v>
      </c>
      <c r="J1278" s="1">
        <f>_xlfn.XLOOKUP(order_details[[#This Row],[OrderID]], orders[OrderID], orders[Month])</f>
        <v>12</v>
      </c>
    </row>
    <row r="1279" spans="1:10" x14ac:dyDescent="0.35">
      <c r="A1279">
        <v>10731</v>
      </c>
      <c r="B1279">
        <v>51</v>
      </c>
      <c r="C1279">
        <v>53</v>
      </c>
      <c r="D1279">
        <v>30</v>
      </c>
      <c r="E1279">
        <v>0.05</v>
      </c>
      <c r="F1279">
        <v>1510.5</v>
      </c>
      <c r="G1279" t="str">
        <f>VLOOKUP(VLOOKUP(order_details[[#This Row],[ProductID]], products[], 4, FALSE), categories[], 2, FALSE)</f>
        <v>Produce</v>
      </c>
      <c r="H1279">
        <f>VLOOKUP(order_details[[#This Row],[ProductID]], products[], 4, FALSE)</f>
        <v>7</v>
      </c>
      <c r="I1279" t="str">
        <f>VLOOKUP(order_details[[#This Row],[OrderID]], orders[[OrderID]:[ShipCountry]], 14, FALSE)</f>
        <v>Switzerland</v>
      </c>
      <c r="J1279" s="1">
        <f>_xlfn.XLOOKUP(order_details[[#This Row],[OrderID]], orders[OrderID], orders[Month])</f>
        <v>12</v>
      </c>
    </row>
    <row r="1280" spans="1:10" x14ac:dyDescent="0.35">
      <c r="A1280">
        <v>10732</v>
      </c>
      <c r="B1280">
        <v>76</v>
      </c>
      <c r="C1280">
        <v>18</v>
      </c>
      <c r="D1280">
        <v>20</v>
      </c>
      <c r="E1280">
        <v>0</v>
      </c>
      <c r="F1280">
        <v>360</v>
      </c>
      <c r="G1280" t="str">
        <f>VLOOKUP(VLOOKUP(order_details[[#This Row],[ProductID]], products[], 4, FALSE), categories[], 2, FALSE)</f>
        <v>Beverages</v>
      </c>
      <c r="H1280">
        <f>VLOOKUP(order_details[[#This Row],[ProductID]], products[], 4, FALSE)</f>
        <v>1</v>
      </c>
      <c r="I1280" t="str">
        <f>VLOOKUP(order_details[[#This Row],[OrderID]], orders[[OrderID]:[ShipCountry]], 14, FALSE)</f>
        <v>France</v>
      </c>
      <c r="J1280" s="1">
        <f>_xlfn.XLOOKUP(order_details[[#This Row],[OrderID]], orders[OrderID], orders[Month])</f>
        <v>12</v>
      </c>
    </row>
    <row r="1281" spans="1:10" x14ac:dyDescent="0.35">
      <c r="A1281">
        <v>10733</v>
      </c>
      <c r="B1281">
        <v>14</v>
      </c>
      <c r="C1281">
        <v>23.25</v>
      </c>
      <c r="D1281">
        <v>16</v>
      </c>
      <c r="E1281">
        <v>0</v>
      </c>
      <c r="F1281">
        <v>372</v>
      </c>
      <c r="G1281" t="str">
        <f>VLOOKUP(VLOOKUP(order_details[[#This Row],[ProductID]], products[], 4, FALSE), categories[], 2, FALSE)</f>
        <v>Produce</v>
      </c>
      <c r="H1281">
        <f>VLOOKUP(order_details[[#This Row],[ProductID]], products[], 4, FALSE)</f>
        <v>7</v>
      </c>
      <c r="I1281" t="str">
        <f>VLOOKUP(order_details[[#This Row],[OrderID]], orders[[OrderID]:[ShipCountry]], 14, FALSE)</f>
        <v>Sweden</v>
      </c>
      <c r="J1281" s="1">
        <f>_xlfn.XLOOKUP(order_details[[#This Row],[OrderID]], orders[OrderID], orders[Month])</f>
        <v>12</v>
      </c>
    </row>
    <row r="1282" spans="1:10" x14ac:dyDescent="0.35">
      <c r="A1282">
        <v>10733</v>
      </c>
      <c r="B1282">
        <v>28</v>
      </c>
      <c r="C1282">
        <v>45.6</v>
      </c>
      <c r="D1282">
        <v>20</v>
      </c>
      <c r="E1282">
        <v>0</v>
      </c>
      <c r="F1282">
        <v>912</v>
      </c>
      <c r="G1282" t="str">
        <f>VLOOKUP(VLOOKUP(order_details[[#This Row],[ProductID]], products[], 4, FALSE), categories[], 2, FALSE)</f>
        <v>Produce</v>
      </c>
      <c r="H1282">
        <f>VLOOKUP(order_details[[#This Row],[ProductID]], products[], 4, FALSE)</f>
        <v>7</v>
      </c>
      <c r="I1282" t="str">
        <f>VLOOKUP(order_details[[#This Row],[OrderID]], orders[[OrderID]:[ShipCountry]], 14, FALSE)</f>
        <v>Sweden</v>
      </c>
      <c r="J1282" s="1">
        <f>_xlfn.XLOOKUP(order_details[[#This Row],[OrderID]], orders[OrderID], orders[Month])</f>
        <v>12</v>
      </c>
    </row>
    <row r="1283" spans="1:10" x14ac:dyDescent="0.35">
      <c r="A1283">
        <v>10733</v>
      </c>
      <c r="B1283">
        <v>52</v>
      </c>
      <c r="C1283">
        <v>7</v>
      </c>
      <c r="D1283">
        <v>25</v>
      </c>
      <c r="E1283">
        <v>0</v>
      </c>
      <c r="F1283">
        <v>175</v>
      </c>
      <c r="G1283" t="str">
        <f>VLOOKUP(VLOOKUP(order_details[[#This Row],[ProductID]], products[], 4, FALSE), categories[], 2, FALSE)</f>
        <v>Grains/Cereals</v>
      </c>
      <c r="H1283">
        <f>VLOOKUP(order_details[[#This Row],[ProductID]], products[], 4, FALSE)</f>
        <v>5</v>
      </c>
      <c r="I1283" t="str">
        <f>VLOOKUP(order_details[[#This Row],[OrderID]], orders[[OrderID]:[ShipCountry]], 14, FALSE)</f>
        <v>Sweden</v>
      </c>
      <c r="J1283" s="1">
        <f>_xlfn.XLOOKUP(order_details[[#This Row],[OrderID]], orders[OrderID], orders[Month])</f>
        <v>12</v>
      </c>
    </row>
    <row r="1284" spans="1:10" x14ac:dyDescent="0.35">
      <c r="A1284">
        <v>10734</v>
      </c>
      <c r="B1284">
        <v>6</v>
      </c>
      <c r="C1284">
        <v>25</v>
      </c>
      <c r="D1284">
        <v>30</v>
      </c>
      <c r="E1284">
        <v>0</v>
      </c>
      <c r="F1284">
        <v>750</v>
      </c>
      <c r="G1284" t="str">
        <f>VLOOKUP(VLOOKUP(order_details[[#This Row],[ProductID]], products[], 4, FALSE), categories[], 2, FALSE)</f>
        <v>Condiments</v>
      </c>
      <c r="H1284">
        <f>VLOOKUP(order_details[[#This Row],[ProductID]], products[], 4, FALSE)</f>
        <v>2</v>
      </c>
      <c r="I1284" t="str">
        <f>VLOOKUP(order_details[[#This Row],[OrderID]], orders[[OrderID]:[ShipCountry]], 14, FALSE)</f>
        <v>Brazil</v>
      </c>
      <c r="J1284" s="1">
        <f>_xlfn.XLOOKUP(order_details[[#This Row],[OrderID]], orders[OrderID], orders[Month])</f>
        <v>12</v>
      </c>
    </row>
    <row r="1285" spans="1:10" x14ac:dyDescent="0.35">
      <c r="A1285">
        <v>10734</v>
      </c>
      <c r="B1285">
        <v>30</v>
      </c>
      <c r="C1285">
        <v>25.89</v>
      </c>
      <c r="D1285">
        <v>15</v>
      </c>
      <c r="E1285">
        <v>0</v>
      </c>
      <c r="F1285">
        <v>388.35</v>
      </c>
      <c r="G1285" t="str">
        <f>VLOOKUP(VLOOKUP(order_details[[#This Row],[ProductID]], products[], 4, FALSE), categories[], 2, FALSE)</f>
        <v>Seafood</v>
      </c>
      <c r="H1285">
        <f>VLOOKUP(order_details[[#This Row],[ProductID]], products[], 4, FALSE)</f>
        <v>8</v>
      </c>
      <c r="I1285" t="str">
        <f>VLOOKUP(order_details[[#This Row],[OrderID]], orders[[OrderID]:[ShipCountry]], 14, FALSE)</f>
        <v>Brazil</v>
      </c>
      <c r="J1285" s="1">
        <f>_xlfn.XLOOKUP(order_details[[#This Row],[OrderID]], orders[OrderID], orders[Month])</f>
        <v>12</v>
      </c>
    </row>
    <row r="1286" spans="1:10" x14ac:dyDescent="0.35">
      <c r="A1286">
        <v>10734</v>
      </c>
      <c r="B1286">
        <v>76</v>
      </c>
      <c r="C1286">
        <v>18</v>
      </c>
      <c r="D1286">
        <v>20</v>
      </c>
      <c r="E1286">
        <v>0</v>
      </c>
      <c r="F1286">
        <v>360</v>
      </c>
      <c r="G1286" t="str">
        <f>VLOOKUP(VLOOKUP(order_details[[#This Row],[ProductID]], products[], 4, FALSE), categories[], 2, FALSE)</f>
        <v>Beverages</v>
      </c>
      <c r="H1286">
        <f>VLOOKUP(order_details[[#This Row],[ProductID]], products[], 4, FALSE)</f>
        <v>1</v>
      </c>
      <c r="I1286" t="str">
        <f>VLOOKUP(order_details[[#This Row],[OrderID]], orders[[OrderID]:[ShipCountry]], 14, FALSE)</f>
        <v>Brazil</v>
      </c>
      <c r="J1286" s="1">
        <f>_xlfn.XLOOKUP(order_details[[#This Row],[OrderID]], orders[OrderID], orders[Month])</f>
        <v>12</v>
      </c>
    </row>
    <row r="1287" spans="1:10" x14ac:dyDescent="0.35">
      <c r="A1287">
        <v>10735</v>
      </c>
      <c r="B1287">
        <v>61</v>
      </c>
      <c r="C1287">
        <v>28.5</v>
      </c>
      <c r="D1287">
        <v>20</v>
      </c>
      <c r="E1287">
        <v>0.1</v>
      </c>
      <c r="F1287">
        <v>513</v>
      </c>
      <c r="G1287" t="str">
        <f>VLOOKUP(VLOOKUP(order_details[[#This Row],[ProductID]], products[], 4, FALSE), categories[], 2, FALSE)</f>
        <v>Condiments</v>
      </c>
      <c r="H1287">
        <f>VLOOKUP(order_details[[#This Row],[ProductID]], products[], 4, FALSE)</f>
        <v>2</v>
      </c>
      <c r="I1287" t="str">
        <f>VLOOKUP(order_details[[#This Row],[OrderID]], orders[[OrderID]:[ShipCountry]], 14, FALSE)</f>
        <v>USA</v>
      </c>
      <c r="J1287" s="1">
        <f>_xlfn.XLOOKUP(order_details[[#This Row],[OrderID]], orders[OrderID], orders[Month])</f>
        <v>12</v>
      </c>
    </row>
    <row r="1288" spans="1:10" x14ac:dyDescent="0.35">
      <c r="A1288">
        <v>10735</v>
      </c>
      <c r="B1288">
        <v>77</v>
      </c>
      <c r="C1288">
        <v>13</v>
      </c>
      <c r="D1288">
        <v>2</v>
      </c>
      <c r="E1288">
        <v>0.1</v>
      </c>
      <c r="F1288">
        <v>23.400000000000002</v>
      </c>
      <c r="G1288" t="str">
        <f>VLOOKUP(VLOOKUP(order_details[[#This Row],[ProductID]], products[], 4, FALSE), categories[], 2, FALSE)</f>
        <v>Condiments</v>
      </c>
      <c r="H1288">
        <f>VLOOKUP(order_details[[#This Row],[ProductID]], products[], 4, FALSE)</f>
        <v>2</v>
      </c>
      <c r="I1288" t="str">
        <f>VLOOKUP(order_details[[#This Row],[OrderID]], orders[[OrderID]:[ShipCountry]], 14, FALSE)</f>
        <v>USA</v>
      </c>
      <c r="J1288" s="1">
        <f>_xlfn.XLOOKUP(order_details[[#This Row],[OrderID]], orders[OrderID], orders[Month])</f>
        <v>12</v>
      </c>
    </row>
    <row r="1289" spans="1:10" x14ac:dyDescent="0.35">
      <c r="A1289">
        <v>10736</v>
      </c>
      <c r="B1289">
        <v>65</v>
      </c>
      <c r="C1289">
        <v>21.05</v>
      </c>
      <c r="D1289">
        <v>40</v>
      </c>
      <c r="E1289">
        <v>0</v>
      </c>
      <c r="F1289">
        <v>842</v>
      </c>
      <c r="G1289" t="str">
        <f>VLOOKUP(VLOOKUP(order_details[[#This Row],[ProductID]], products[], 4, FALSE), categories[], 2, FALSE)</f>
        <v>Condiments</v>
      </c>
      <c r="H1289">
        <f>VLOOKUP(order_details[[#This Row],[ProductID]], products[], 4, FALSE)</f>
        <v>2</v>
      </c>
      <c r="I1289" t="str">
        <f>VLOOKUP(order_details[[#This Row],[OrderID]], orders[[OrderID]:[ShipCountry]], 14, FALSE)</f>
        <v>Ireland</v>
      </c>
      <c r="J1289" s="1">
        <f>_xlfn.XLOOKUP(order_details[[#This Row],[OrderID]], orders[OrderID], orders[Month])</f>
        <v>12</v>
      </c>
    </row>
    <row r="1290" spans="1:10" x14ac:dyDescent="0.35">
      <c r="A1290">
        <v>10736</v>
      </c>
      <c r="B1290">
        <v>75</v>
      </c>
      <c r="C1290">
        <v>7.75</v>
      </c>
      <c r="D1290">
        <v>20</v>
      </c>
      <c r="E1290">
        <v>0</v>
      </c>
      <c r="F1290">
        <v>155</v>
      </c>
      <c r="G1290" t="str">
        <f>VLOOKUP(VLOOKUP(order_details[[#This Row],[ProductID]], products[], 4, FALSE), categories[], 2, FALSE)</f>
        <v>Beverages</v>
      </c>
      <c r="H1290">
        <f>VLOOKUP(order_details[[#This Row],[ProductID]], products[], 4, FALSE)</f>
        <v>1</v>
      </c>
      <c r="I1290" t="str">
        <f>VLOOKUP(order_details[[#This Row],[OrderID]], orders[[OrderID]:[ShipCountry]], 14, FALSE)</f>
        <v>Ireland</v>
      </c>
      <c r="J1290" s="1">
        <f>_xlfn.XLOOKUP(order_details[[#This Row],[OrderID]], orders[OrderID], orders[Month])</f>
        <v>12</v>
      </c>
    </row>
    <row r="1291" spans="1:10" x14ac:dyDescent="0.35">
      <c r="A1291">
        <v>10737</v>
      </c>
      <c r="B1291">
        <v>13</v>
      </c>
      <c r="C1291">
        <v>6</v>
      </c>
      <c r="D1291">
        <v>4</v>
      </c>
      <c r="E1291">
        <v>0</v>
      </c>
      <c r="F1291">
        <v>24</v>
      </c>
      <c r="G1291" t="str">
        <f>VLOOKUP(VLOOKUP(order_details[[#This Row],[ProductID]], products[], 4, FALSE), categories[], 2, FALSE)</f>
        <v>Seafood</v>
      </c>
      <c r="H1291">
        <f>VLOOKUP(order_details[[#This Row],[ProductID]], products[], 4, FALSE)</f>
        <v>8</v>
      </c>
      <c r="I1291" t="str">
        <f>VLOOKUP(order_details[[#This Row],[OrderID]], orders[[OrderID]:[ShipCountry]], 14, FALSE)</f>
        <v>France</v>
      </c>
      <c r="J1291" s="1">
        <f>_xlfn.XLOOKUP(order_details[[#This Row],[OrderID]], orders[OrderID], orders[Month])</f>
        <v>12</v>
      </c>
    </row>
    <row r="1292" spans="1:10" x14ac:dyDescent="0.35">
      <c r="A1292">
        <v>10737</v>
      </c>
      <c r="B1292">
        <v>41</v>
      </c>
      <c r="C1292">
        <v>9.65</v>
      </c>
      <c r="D1292">
        <v>12</v>
      </c>
      <c r="E1292">
        <v>0</v>
      </c>
      <c r="F1292">
        <v>115.80000000000001</v>
      </c>
      <c r="G1292" t="str">
        <f>VLOOKUP(VLOOKUP(order_details[[#This Row],[ProductID]], products[], 4, FALSE), categories[], 2, FALSE)</f>
        <v>Seafood</v>
      </c>
      <c r="H1292">
        <f>VLOOKUP(order_details[[#This Row],[ProductID]], products[], 4, FALSE)</f>
        <v>8</v>
      </c>
      <c r="I1292" t="str">
        <f>VLOOKUP(order_details[[#This Row],[OrderID]], orders[[OrderID]:[ShipCountry]], 14, FALSE)</f>
        <v>France</v>
      </c>
      <c r="J1292" s="1">
        <f>_xlfn.XLOOKUP(order_details[[#This Row],[OrderID]], orders[OrderID], orders[Month])</f>
        <v>12</v>
      </c>
    </row>
    <row r="1293" spans="1:10" x14ac:dyDescent="0.35">
      <c r="A1293">
        <v>10738</v>
      </c>
      <c r="B1293">
        <v>16</v>
      </c>
      <c r="C1293">
        <v>17.45</v>
      </c>
      <c r="D1293">
        <v>3</v>
      </c>
      <c r="E1293">
        <v>0</v>
      </c>
      <c r="F1293">
        <v>52.349999999999994</v>
      </c>
      <c r="G1293" t="str">
        <f>VLOOKUP(VLOOKUP(order_details[[#This Row],[ProductID]], products[], 4, FALSE), categories[], 2, FALSE)</f>
        <v>Confections</v>
      </c>
      <c r="H1293">
        <f>VLOOKUP(order_details[[#This Row],[ProductID]], products[], 4, FALSE)</f>
        <v>3</v>
      </c>
      <c r="I1293" t="str">
        <f>VLOOKUP(order_details[[#This Row],[OrderID]], orders[[OrderID]:[ShipCountry]], 14, FALSE)</f>
        <v>France</v>
      </c>
      <c r="J1293" s="1">
        <f>_xlfn.XLOOKUP(order_details[[#This Row],[OrderID]], orders[OrderID], orders[Month])</f>
        <v>12</v>
      </c>
    </row>
    <row r="1294" spans="1:10" x14ac:dyDescent="0.35">
      <c r="A1294">
        <v>10739</v>
      </c>
      <c r="B1294">
        <v>36</v>
      </c>
      <c r="C1294">
        <v>19</v>
      </c>
      <c r="D1294">
        <v>6</v>
      </c>
      <c r="E1294">
        <v>0</v>
      </c>
      <c r="F1294">
        <v>114</v>
      </c>
      <c r="G1294" t="str">
        <f>VLOOKUP(VLOOKUP(order_details[[#This Row],[ProductID]], products[], 4, FALSE), categories[], 2, FALSE)</f>
        <v>Seafood</v>
      </c>
      <c r="H1294">
        <f>VLOOKUP(order_details[[#This Row],[ProductID]], products[], 4, FALSE)</f>
        <v>8</v>
      </c>
      <c r="I1294" t="str">
        <f>VLOOKUP(order_details[[#This Row],[OrderID]], orders[[OrderID]:[ShipCountry]], 14, FALSE)</f>
        <v>France</v>
      </c>
      <c r="J1294" s="1">
        <f>_xlfn.XLOOKUP(order_details[[#This Row],[OrderID]], orders[OrderID], orders[Month])</f>
        <v>12</v>
      </c>
    </row>
    <row r="1295" spans="1:10" x14ac:dyDescent="0.35">
      <c r="A1295">
        <v>10739</v>
      </c>
      <c r="B1295">
        <v>52</v>
      </c>
      <c r="C1295">
        <v>7</v>
      </c>
      <c r="D1295">
        <v>18</v>
      </c>
      <c r="E1295">
        <v>0</v>
      </c>
      <c r="F1295">
        <v>126</v>
      </c>
      <c r="G1295" t="str">
        <f>VLOOKUP(VLOOKUP(order_details[[#This Row],[ProductID]], products[], 4, FALSE), categories[], 2, FALSE)</f>
        <v>Grains/Cereals</v>
      </c>
      <c r="H1295">
        <f>VLOOKUP(order_details[[#This Row],[ProductID]], products[], 4, FALSE)</f>
        <v>5</v>
      </c>
      <c r="I1295" t="str">
        <f>VLOOKUP(order_details[[#This Row],[OrderID]], orders[[OrderID]:[ShipCountry]], 14, FALSE)</f>
        <v>France</v>
      </c>
      <c r="J1295" s="1">
        <f>_xlfn.XLOOKUP(order_details[[#This Row],[OrderID]], orders[OrderID], orders[Month])</f>
        <v>12</v>
      </c>
    </row>
    <row r="1296" spans="1:10" x14ac:dyDescent="0.35">
      <c r="A1296">
        <v>10740</v>
      </c>
      <c r="B1296">
        <v>28</v>
      </c>
      <c r="C1296">
        <v>45.6</v>
      </c>
      <c r="D1296">
        <v>5</v>
      </c>
      <c r="E1296">
        <v>0.2</v>
      </c>
      <c r="F1296">
        <v>182.4</v>
      </c>
      <c r="G1296" t="str">
        <f>VLOOKUP(VLOOKUP(order_details[[#This Row],[ProductID]], products[], 4, FALSE), categories[], 2, FALSE)</f>
        <v>Produce</v>
      </c>
      <c r="H1296">
        <f>VLOOKUP(order_details[[#This Row],[ProductID]], products[], 4, FALSE)</f>
        <v>7</v>
      </c>
      <c r="I1296" t="str">
        <f>VLOOKUP(order_details[[#This Row],[OrderID]], orders[[OrderID]:[ShipCountry]], 14, FALSE)</f>
        <v>USA</v>
      </c>
      <c r="J1296" s="1">
        <f>_xlfn.XLOOKUP(order_details[[#This Row],[OrderID]], orders[OrderID], orders[Month])</f>
        <v>12</v>
      </c>
    </row>
    <row r="1297" spans="1:10" x14ac:dyDescent="0.35">
      <c r="A1297">
        <v>10740</v>
      </c>
      <c r="B1297">
        <v>35</v>
      </c>
      <c r="C1297">
        <v>18</v>
      </c>
      <c r="D1297">
        <v>35</v>
      </c>
      <c r="E1297">
        <v>0.2</v>
      </c>
      <c r="F1297">
        <v>504</v>
      </c>
      <c r="G1297" t="str">
        <f>VLOOKUP(VLOOKUP(order_details[[#This Row],[ProductID]], products[], 4, FALSE), categories[], 2, FALSE)</f>
        <v>Beverages</v>
      </c>
      <c r="H1297">
        <f>VLOOKUP(order_details[[#This Row],[ProductID]], products[], 4, FALSE)</f>
        <v>1</v>
      </c>
      <c r="I1297" t="str">
        <f>VLOOKUP(order_details[[#This Row],[OrderID]], orders[[OrderID]:[ShipCountry]], 14, FALSE)</f>
        <v>USA</v>
      </c>
      <c r="J1297" s="1">
        <f>_xlfn.XLOOKUP(order_details[[#This Row],[OrderID]], orders[OrderID], orders[Month])</f>
        <v>12</v>
      </c>
    </row>
    <row r="1298" spans="1:10" x14ac:dyDescent="0.35">
      <c r="A1298">
        <v>10740</v>
      </c>
      <c r="B1298">
        <v>45</v>
      </c>
      <c r="C1298">
        <v>9.5</v>
      </c>
      <c r="D1298">
        <v>40</v>
      </c>
      <c r="E1298">
        <v>0.2</v>
      </c>
      <c r="F1298">
        <v>304</v>
      </c>
      <c r="G1298" t="str">
        <f>VLOOKUP(VLOOKUP(order_details[[#This Row],[ProductID]], products[], 4, FALSE), categories[], 2, FALSE)</f>
        <v>Seafood</v>
      </c>
      <c r="H1298">
        <f>VLOOKUP(order_details[[#This Row],[ProductID]], products[], 4, FALSE)</f>
        <v>8</v>
      </c>
      <c r="I1298" t="str">
        <f>VLOOKUP(order_details[[#This Row],[OrderID]], orders[[OrderID]:[ShipCountry]], 14, FALSE)</f>
        <v>USA</v>
      </c>
      <c r="J1298" s="1">
        <f>_xlfn.XLOOKUP(order_details[[#This Row],[OrderID]], orders[OrderID], orders[Month])</f>
        <v>12</v>
      </c>
    </row>
    <row r="1299" spans="1:10" x14ac:dyDescent="0.35">
      <c r="A1299">
        <v>10740</v>
      </c>
      <c r="B1299">
        <v>56</v>
      </c>
      <c r="C1299">
        <v>38</v>
      </c>
      <c r="D1299">
        <v>14</v>
      </c>
      <c r="E1299">
        <v>0.2</v>
      </c>
      <c r="F1299">
        <v>425.6</v>
      </c>
      <c r="G1299" t="str">
        <f>VLOOKUP(VLOOKUP(order_details[[#This Row],[ProductID]], products[], 4, FALSE), categories[], 2, FALSE)</f>
        <v>Grains/Cereals</v>
      </c>
      <c r="H1299">
        <f>VLOOKUP(order_details[[#This Row],[ProductID]], products[], 4, FALSE)</f>
        <v>5</v>
      </c>
      <c r="I1299" t="str">
        <f>VLOOKUP(order_details[[#This Row],[OrderID]], orders[[OrderID]:[ShipCountry]], 14, FALSE)</f>
        <v>USA</v>
      </c>
      <c r="J1299" s="1">
        <f>_xlfn.XLOOKUP(order_details[[#This Row],[OrderID]], orders[OrderID], orders[Month])</f>
        <v>12</v>
      </c>
    </row>
    <row r="1300" spans="1:10" x14ac:dyDescent="0.35">
      <c r="A1300">
        <v>10741</v>
      </c>
      <c r="B1300">
        <v>2</v>
      </c>
      <c r="C1300">
        <v>19</v>
      </c>
      <c r="D1300">
        <v>15</v>
      </c>
      <c r="E1300">
        <v>0.2</v>
      </c>
      <c r="F1300">
        <v>228</v>
      </c>
      <c r="G1300" t="str">
        <f>VLOOKUP(VLOOKUP(order_details[[#This Row],[ProductID]], products[], 4, FALSE), categories[], 2, FALSE)</f>
        <v>Beverages</v>
      </c>
      <c r="H1300">
        <f>VLOOKUP(order_details[[#This Row],[ProductID]], products[], 4, FALSE)</f>
        <v>1</v>
      </c>
      <c r="I1300" t="str">
        <f>VLOOKUP(order_details[[#This Row],[OrderID]], orders[[OrderID]:[ShipCountry]], 14, FALSE)</f>
        <v>UK</v>
      </c>
      <c r="J1300" s="1">
        <f>_xlfn.XLOOKUP(order_details[[#This Row],[OrderID]], orders[OrderID], orders[Month])</f>
        <v>12</v>
      </c>
    </row>
    <row r="1301" spans="1:10" x14ac:dyDescent="0.35">
      <c r="A1301">
        <v>10742</v>
      </c>
      <c r="B1301">
        <v>3</v>
      </c>
      <c r="C1301">
        <v>10</v>
      </c>
      <c r="D1301">
        <v>20</v>
      </c>
      <c r="E1301">
        <v>0</v>
      </c>
      <c r="F1301">
        <v>200</v>
      </c>
      <c r="G1301" t="str">
        <f>VLOOKUP(VLOOKUP(order_details[[#This Row],[ProductID]], products[], 4, FALSE), categories[], 2, FALSE)</f>
        <v>Condiments</v>
      </c>
      <c r="H1301">
        <f>VLOOKUP(order_details[[#This Row],[ProductID]], products[], 4, FALSE)</f>
        <v>2</v>
      </c>
      <c r="I1301" t="str">
        <f>VLOOKUP(order_details[[#This Row],[OrderID]], orders[[OrderID]:[ShipCountry]], 14, FALSE)</f>
        <v>Canada</v>
      </c>
      <c r="J1301" s="1">
        <f>_xlfn.XLOOKUP(order_details[[#This Row],[OrderID]], orders[OrderID], orders[Month])</f>
        <v>12</v>
      </c>
    </row>
    <row r="1302" spans="1:10" x14ac:dyDescent="0.35">
      <c r="A1302">
        <v>10742</v>
      </c>
      <c r="B1302">
        <v>60</v>
      </c>
      <c r="C1302">
        <v>34</v>
      </c>
      <c r="D1302">
        <v>50</v>
      </c>
      <c r="E1302">
        <v>0</v>
      </c>
      <c r="F1302">
        <v>1700</v>
      </c>
      <c r="G1302" t="str">
        <f>VLOOKUP(VLOOKUP(order_details[[#This Row],[ProductID]], products[], 4, FALSE), categories[], 2, FALSE)</f>
        <v>Dairy Products</v>
      </c>
      <c r="H1302">
        <f>VLOOKUP(order_details[[#This Row],[ProductID]], products[], 4, FALSE)</f>
        <v>4</v>
      </c>
      <c r="I1302" t="str">
        <f>VLOOKUP(order_details[[#This Row],[OrderID]], orders[[OrderID]:[ShipCountry]], 14, FALSE)</f>
        <v>Canada</v>
      </c>
      <c r="J1302" s="1">
        <f>_xlfn.XLOOKUP(order_details[[#This Row],[OrderID]], orders[OrderID], orders[Month])</f>
        <v>12</v>
      </c>
    </row>
    <row r="1303" spans="1:10" x14ac:dyDescent="0.35">
      <c r="A1303">
        <v>10742</v>
      </c>
      <c r="B1303">
        <v>72</v>
      </c>
      <c r="C1303">
        <v>34.799999999999997</v>
      </c>
      <c r="D1303">
        <v>35</v>
      </c>
      <c r="E1303">
        <v>0</v>
      </c>
      <c r="F1303">
        <v>1218</v>
      </c>
      <c r="G1303" t="str">
        <f>VLOOKUP(VLOOKUP(order_details[[#This Row],[ProductID]], products[], 4, FALSE), categories[], 2, FALSE)</f>
        <v>Dairy Products</v>
      </c>
      <c r="H1303">
        <f>VLOOKUP(order_details[[#This Row],[ProductID]], products[], 4, FALSE)</f>
        <v>4</v>
      </c>
      <c r="I1303" t="str">
        <f>VLOOKUP(order_details[[#This Row],[OrderID]], orders[[OrderID]:[ShipCountry]], 14, FALSE)</f>
        <v>Canada</v>
      </c>
      <c r="J1303" s="1">
        <f>_xlfn.XLOOKUP(order_details[[#This Row],[OrderID]], orders[OrderID], orders[Month])</f>
        <v>12</v>
      </c>
    </row>
    <row r="1304" spans="1:10" x14ac:dyDescent="0.35">
      <c r="A1304">
        <v>10743</v>
      </c>
      <c r="B1304">
        <v>46</v>
      </c>
      <c r="C1304">
        <v>12</v>
      </c>
      <c r="D1304">
        <v>28</v>
      </c>
      <c r="E1304">
        <v>0.05</v>
      </c>
      <c r="F1304">
        <v>319.2</v>
      </c>
      <c r="G1304" t="str">
        <f>VLOOKUP(VLOOKUP(order_details[[#This Row],[ProductID]], products[], 4, FALSE), categories[], 2, FALSE)</f>
        <v>Seafood</v>
      </c>
      <c r="H1304">
        <f>VLOOKUP(order_details[[#This Row],[ProductID]], products[], 4, FALSE)</f>
        <v>8</v>
      </c>
      <c r="I1304" t="str">
        <f>VLOOKUP(order_details[[#This Row],[OrderID]], orders[[OrderID]:[ShipCountry]], 14, FALSE)</f>
        <v>UK</v>
      </c>
      <c r="J1304" s="1">
        <f>_xlfn.XLOOKUP(order_details[[#This Row],[OrderID]], orders[OrderID], orders[Month])</f>
        <v>12</v>
      </c>
    </row>
    <row r="1305" spans="1:10" x14ac:dyDescent="0.35">
      <c r="A1305">
        <v>10744</v>
      </c>
      <c r="B1305">
        <v>40</v>
      </c>
      <c r="C1305">
        <v>18.399999999999999</v>
      </c>
      <c r="D1305">
        <v>50</v>
      </c>
      <c r="E1305">
        <v>0.2</v>
      </c>
      <c r="F1305">
        <v>736</v>
      </c>
      <c r="G1305" t="str">
        <f>VLOOKUP(VLOOKUP(order_details[[#This Row],[ProductID]], products[], 4, FALSE), categories[], 2, FALSE)</f>
        <v>Seafood</v>
      </c>
      <c r="H1305">
        <f>VLOOKUP(order_details[[#This Row],[ProductID]], products[], 4, FALSE)</f>
        <v>8</v>
      </c>
      <c r="I1305" t="str">
        <f>VLOOKUP(order_details[[#This Row],[OrderID]], orders[[OrderID]:[ShipCountry]], 14, FALSE)</f>
        <v>Denmark</v>
      </c>
      <c r="J1305" s="1">
        <f>_xlfn.XLOOKUP(order_details[[#This Row],[OrderID]], orders[OrderID], orders[Month])</f>
        <v>12</v>
      </c>
    </row>
    <row r="1306" spans="1:10" x14ac:dyDescent="0.35">
      <c r="A1306">
        <v>10745</v>
      </c>
      <c r="B1306">
        <v>18</v>
      </c>
      <c r="C1306">
        <v>62.5</v>
      </c>
      <c r="D1306">
        <v>24</v>
      </c>
      <c r="E1306">
        <v>0</v>
      </c>
      <c r="F1306">
        <v>1500</v>
      </c>
      <c r="G1306" t="str">
        <f>VLOOKUP(VLOOKUP(order_details[[#This Row],[ProductID]], products[], 4, FALSE), categories[], 2, FALSE)</f>
        <v>Seafood</v>
      </c>
      <c r="H1306">
        <f>VLOOKUP(order_details[[#This Row],[ProductID]], products[], 4, FALSE)</f>
        <v>8</v>
      </c>
      <c r="I1306" t="str">
        <f>VLOOKUP(order_details[[#This Row],[OrderID]], orders[[OrderID]:[ShipCountry]], 14, FALSE)</f>
        <v>Germany</v>
      </c>
      <c r="J1306" s="1">
        <f>_xlfn.XLOOKUP(order_details[[#This Row],[OrderID]], orders[OrderID], orders[Month])</f>
        <v>12</v>
      </c>
    </row>
    <row r="1307" spans="1:10" x14ac:dyDescent="0.35">
      <c r="A1307">
        <v>10745</v>
      </c>
      <c r="B1307">
        <v>44</v>
      </c>
      <c r="C1307">
        <v>19.45</v>
      </c>
      <c r="D1307">
        <v>16</v>
      </c>
      <c r="E1307">
        <v>0</v>
      </c>
      <c r="F1307">
        <v>311.2</v>
      </c>
      <c r="G1307" t="str">
        <f>VLOOKUP(VLOOKUP(order_details[[#This Row],[ProductID]], products[], 4, FALSE), categories[], 2, FALSE)</f>
        <v>Condiments</v>
      </c>
      <c r="H1307">
        <f>VLOOKUP(order_details[[#This Row],[ProductID]], products[], 4, FALSE)</f>
        <v>2</v>
      </c>
      <c r="I1307" t="str">
        <f>VLOOKUP(order_details[[#This Row],[OrderID]], orders[[OrderID]:[ShipCountry]], 14, FALSE)</f>
        <v>Germany</v>
      </c>
      <c r="J1307" s="1">
        <f>_xlfn.XLOOKUP(order_details[[#This Row],[OrderID]], orders[OrderID], orders[Month])</f>
        <v>12</v>
      </c>
    </row>
    <row r="1308" spans="1:10" x14ac:dyDescent="0.35">
      <c r="A1308">
        <v>10745</v>
      </c>
      <c r="B1308">
        <v>59</v>
      </c>
      <c r="C1308">
        <v>55</v>
      </c>
      <c r="D1308">
        <v>45</v>
      </c>
      <c r="E1308">
        <v>0</v>
      </c>
      <c r="F1308">
        <v>2475</v>
      </c>
      <c r="G1308" t="str">
        <f>VLOOKUP(VLOOKUP(order_details[[#This Row],[ProductID]], products[], 4, FALSE), categories[], 2, FALSE)</f>
        <v>Dairy Products</v>
      </c>
      <c r="H1308">
        <f>VLOOKUP(order_details[[#This Row],[ProductID]], products[], 4, FALSE)</f>
        <v>4</v>
      </c>
      <c r="I1308" t="str">
        <f>VLOOKUP(order_details[[#This Row],[OrderID]], orders[[OrderID]:[ShipCountry]], 14, FALSE)</f>
        <v>Germany</v>
      </c>
      <c r="J1308" s="1">
        <f>_xlfn.XLOOKUP(order_details[[#This Row],[OrderID]], orders[OrderID], orders[Month])</f>
        <v>12</v>
      </c>
    </row>
    <row r="1309" spans="1:10" x14ac:dyDescent="0.35">
      <c r="A1309">
        <v>10745</v>
      </c>
      <c r="B1309">
        <v>72</v>
      </c>
      <c r="C1309">
        <v>34.799999999999997</v>
      </c>
      <c r="D1309">
        <v>7</v>
      </c>
      <c r="E1309">
        <v>0</v>
      </c>
      <c r="F1309">
        <v>243.59999999999997</v>
      </c>
      <c r="G1309" t="str">
        <f>VLOOKUP(VLOOKUP(order_details[[#This Row],[ProductID]], products[], 4, FALSE), categories[], 2, FALSE)</f>
        <v>Dairy Products</v>
      </c>
      <c r="H1309">
        <f>VLOOKUP(order_details[[#This Row],[ProductID]], products[], 4, FALSE)</f>
        <v>4</v>
      </c>
      <c r="I1309" t="str">
        <f>VLOOKUP(order_details[[#This Row],[OrderID]], orders[[OrderID]:[ShipCountry]], 14, FALSE)</f>
        <v>Germany</v>
      </c>
      <c r="J1309" s="1">
        <f>_xlfn.XLOOKUP(order_details[[#This Row],[OrderID]], orders[OrderID], orders[Month])</f>
        <v>12</v>
      </c>
    </row>
    <row r="1310" spans="1:10" x14ac:dyDescent="0.35">
      <c r="A1310">
        <v>10746</v>
      </c>
      <c r="B1310">
        <v>13</v>
      </c>
      <c r="C1310">
        <v>6</v>
      </c>
      <c r="D1310">
        <v>6</v>
      </c>
      <c r="E1310">
        <v>0</v>
      </c>
      <c r="F1310">
        <v>36</v>
      </c>
      <c r="G1310" t="str">
        <f>VLOOKUP(VLOOKUP(order_details[[#This Row],[ProductID]], products[], 4, FALSE), categories[], 2, FALSE)</f>
        <v>Seafood</v>
      </c>
      <c r="H1310">
        <f>VLOOKUP(order_details[[#This Row],[ProductID]], products[], 4, FALSE)</f>
        <v>8</v>
      </c>
      <c r="I1310" t="str">
        <f>VLOOKUP(order_details[[#This Row],[OrderID]], orders[[OrderID]:[ShipCountry]], 14, FALSE)</f>
        <v>Switzerland</v>
      </c>
      <c r="J1310" s="1">
        <f>_xlfn.XLOOKUP(order_details[[#This Row],[OrderID]], orders[OrderID], orders[Month])</f>
        <v>12</v>
      </c>
    </row>
    <row r="1311" spans="1:10" x14ac:dyDescent="0.35">
      <c r="A1311">
        <v>10746</v>
      </c>
      <c r="B1311">
        <v>42</v>
      </c>
      <c r="C1311">
        <v>14</v>
      </c>
      <c r="D1311">
        <v>28</v>
      </c>
      <c r="E1311">
        <v>0</v>
      </c>
      <c r="F1311">
        <v>392</v>
      </c>
      <c r="G1311" t="str">
        <f>VLOOKUP(VLOOKUP(order_details[[#This Row],[ProductID]], products[], 4, FALSE), categories[], 2, FALSE)</f>
        <v>Grains/Cereals</v>
      </c>
      <c r="H1311">
        <f>VLOOKUP(order_details[[#This Row],[ProductID]], products[], 4, FALSE)</f>
        <v>5</v>
      </c>
      <c r="I1311" t="str">
        <f>VLOOKUP(order_details[[#This Row],[OrderID]], orders[[OrderID]:[ShipCountry]], 14, FALSE)</f>
        <v>Switzerland</v>
      </c>
      <c r="J1311" s="1">
        <f>_xlfn.XLOOKUP(order_details[[#This Row],[OrderID]], orders[OrderID], orders[Month])</f>
        <v>12</v>
      </c>
    </row>
    <row r="1312" spans="1:10" x14ac:dyDescent="0.35">
      <c r="A1312">
        <v>10746</v>
      </c>
      <c r="B1312">
        <v>62</v>
      </c>
      <c r="C1312">
        <v>49.3</v>
      </c>
      <c r="D1312">
        <v>9</v>
      </c>
      <c r="E1312">
        <v>0</v>
      </c>
      <c r="F1312">
        <v>443.7</v>
      </c>
      <c r="G1312" t="str">
        <f>VLOOKUP(VLOOKUP(order_details[[#This Row],[ProductID]], products[], 4, FALSE), categories[], 2, FALSE)</f>
        <v>Confections</v>
      </c>
      <c r="H1312">
        <f>VLOOKUP(order_details[[#This Row],[ProductID]], products[], 4, FALSE)</f>
        <v>3</v>
      </c>
      <c r="I1312" t="str">
        <f>VLOOKUP(order_details[[#This Row],[OrderID]], orders[[OrderID]:[ShipCountry]], 14, FALSE)</f>
        <v>Switzerland</v>
      </c>
      <c r="J1312" s="1">
        <f>_xlfn.XLOOKUP(order_details[[#This Row],[OrderID]], orders[OrderID], orders[Month])</f>
        <v>12</v>
      </c>
    </row>
    <row r="1313" spans="1:10" x14ac:dyDescent="0.35">
      <c r="A1313">
        <v>10746</v>
      </c>
      <c r="B1313">
        <v>69</v>
      </c>
      <c r="C1313">
        <v>36</v>
      </c>
      <c r="D1313">
        <v>40</v>
      </c>
      <c r="E1313">
        <v>0</v>
      </c>
      <c r="F1313">
        <v>1440</v>
      </c>
      <c r="G1313" t="str">
        <f>VLOOKUP(VLOOKUP(order_details[[#This Row],[ProductID]], products[], 4, FALSE), categories[], 2, FALSE)</f>
        <v>Dairy Products</v>
      </c>
      <c r="H1313">
        <f>VLOOKUP(order_details[[#This Row],[ProductID]], products[], 4, FALSE)</f>
        <v>4</v>
      </c>
      <c r="I1313" t="str">
        <f>VLOOKUP(order_details[[#This Row],[OrderID]], orders[[OrderID]:[ShipCountry]], 14, FALSE)</f>
        <v>Switzerland</v>
      </c>
      <c r="J1313" s="1">
        <f>_xlfn.XLOOKUP(order_details[[#This Row],[OrderID]], orders[OrderID], orders[Month])</f>
        <v>12</v>
      </c>
    </row>
    <row r="1314" spans="1:10" x14ac:dyDescent="0.35">
      <c r="A1314">
        <v>10747</v>
      </c>
      <c r="B1314">
        <v>31</v>
      </c>
      <c r="C1314">
        <v>12.5</v>
      </c>
      <c r="D1314">
        <v>8</v>
      </c>
      <c r="E1314">
        <v>0</v>
      </c>
      <c r="F1314">
        <v>100</v>
      </c>
      <c r="G1314" t="str">
        <f>VLOOKUP(VLOOKUP(order_details[[#This Row],[ProductID]], products[], 4, FALSE), categories[], 2, FALSE)</f>
        <v>Dairy Products</v>
      </c>
      <c r="H1314">
        <f>VLOOKUP(order_details[[#This Row],[ProductID]], products[], 4, FALSE)</f>
        <v>4</v>
      </c>
      <c r="I1314" t="str">
        <f>VLOOKUP(order_details[[#This Row],[OrderID]], orders[[OrderID]:[ShipCountry]], 14, FALSE)</f>
        <v>Austria</v>
      </c>
      <c r="J1314" s="1">
        <f>_xlfn.XLOOKUP(order_details[[#This Row],[OrderID]], orders[OrderID], orders[Month])</f>
        <v>12</v>
      </c>
    </row>
    <row r="1315" spans="1:10" x14ac:dyDescent="0.35">
      <c r="A1315">
        <v>10747</v>
      </c>
      <c r="B1315">
        <v>41</v>
      </c>
      <c r="C1315">
        <v>9.65</v>
      </c>
      <c r="D1315">
        <v>35</v>
      </c>
      <c r="E1315">
        <v>0</v>
      </c>
      <c r="F1315">
        <v>337.75</v>
      </c>
      <c r="G1315" t="str">
        <f>VLOOKUP(VLOOKUP(order_details[[#This Row],[ProductID]], products[], 4, FALSE), categories[], 2, FALSE)</f>
        <v>Seafood</v>
      </c>
      <c r="H1315">
        <f>VLOOKUP(order_details[[#This Row],[ProductID]], products[], 4, FALSE)</f>
        <v>8</v>
      </c>
      <c r="I1315" t="str">
        <f>VLOOKUP(order_details[[#This Row],[OrderID]], orders[[OrderID]:[ShipCountry]], 14, FALSE)</f>
        <v>Austria</v>
      </c>
      <c r="J1315" s="1">
        <f>_xlfn.XLOOKUP(order_details[[#This Row],[OrderID]], orders[OrderID], orders[Month])</f>
        <v>12</v>
      </c>
    </row>
    <row r="1316" spans="1:10" x14ac:dyDescent="0.35">
      <c r="A1316">
        <v>10747</v>
      </c>
      <c r="B1316">
        <v>63</v>
      </c>
      <c r="C1316">
        <v>43.9</v>
      </c>
      <c r="D1316">
        <v>9</v>
      </c>
      <c r="E1316">
        <v>0</v>
      </c>
      <c r="F1316">
        <v>395.09999999999997</v>
      </c>
      <c r="G1316" t="str">
        <f>VLOOKUP(VLOOKUP(order_details[[#This Row],[ProductID]], products[], 4, FALSE), categories[], 2, FALSE)</f>
        <v>Condiments</v>
      </c>
      <c r="H1316">
        <f>VLOOKUP(order_details[[#This Row],[ProductID]], products[], 4, FALSE)</f>
        <v>2</v>
      </c>
      <c r="I1316" t="str">
        <f>VLOOKUP(order_details[[#This Row],[OrderID]], orders[[OrderID]:[ShipCountry]], 14, FALSE)</f>
        <v>Austria</v>
      </c>
      <c r="J1316" s="1">
        <f>_xlfn.XLOOKUP(order_details[[#This Row],[OrderID]], orders[OrderID], orders[Month])</f>
        <v>12</v>
      </c>
    </row>
    <row r="1317" spans="1:10" x14ac:dyDescent="0.35">
      <c r="A1317">
        <v>10747</v>
      </c>
      <c r="B1317">
        <v>69</v>
      </c>
      <c r="C1317">
        <v>36</v>
      </c>
      <c r="D1317">
        <v>30</v>
      </c>
      <c r="E1317">
        <v>0</v>
      </c>
      <c r="F1317">
        <v>1080</v>
      </c>
      <c r="G1317" t="str">
        <f>VLOOKUP(VLOOKUP(order_details[[#This Row],[ProductID]], products[], 4, FALSE), categories[], 2, FALSE)</f>
        <v>Dairy Products</v>
      </c>
      <c r="H1317">
        <f>VLOOKUP(order_details[[#This Row],[ProductID]], products[], 4, FALSE)</f>
        <v>4</v>
      </c>
      <c r="I1317" t="str">
        <f>VLOOKUP(order_details[[#This Row],[OrderID]], orders[[OrderID]:[ShipCountry]], 14, FALSE)</f>
        <v>Austria</v>
      </c>
      <c r="J1317" s="1">
        <f>_xlfn.XLOOKUP(order_details[[#This Row],[OrderID]], orders[OrderID], orders[Month])</f>
        <v>12</v>
      </c>
    </row>
    <row r="1318" spans="1:10" x14ac:dyDescent="0.35">
      <c r="A1318">
        <v>10748</v>
      </c>
      <c r="B1318">
        <v>23</v>
      </c>
      <c r="C1318">
        <v>9</v>
      </c>
      <c r="D1318">
        <v>44</v>
      </c>
      <c r="E1318">
        <v>0</v>
      </c>
      <c r="F1318">
        <v>396</v>
      </c>
      <c r="G1318" t="str">
        <f>VLOOKUP(VLOOKUP(order_details[[#This Row],[ProductID]], products[], 4, FALSE), categories[], 2, FALSE)</f>
        <v>Grains/Cereals</v>
      </c>
      <c r="H1318">
        <f>VLOOKUP(order_details[[#This Row],[ProductID]], products[], 4, FALSE)</f>
        <v>5</v>
      </c>
      <c r="I1318" t="str">
        <f>VLOOKUP(order_details[[#This Row],[OrderID]], orders[[OrderID]:[ShipCountry]], 14, FALSE)</f>
        <v>USA</v>
      </c>
      <c r="J1318" s="1">
        <f>_xlfn.XLOOKUP(order_details[[#This Row],[OrderID]], orders[OrderID], orders[Month])</f>
        <v>12</v>
      </c>
    </row>
    <row r="1319" spans="1:10" x14ac:dyDescent="0.35">
      <c r="A1319">
        <v>10748</v>
      </c>
      <c r="B1319">
        <v>40</v>
      </c>
      <c r="C1319">
        <v>18.399999999999999</v>
      </c>
      <c r="D1319">
        <v>40</v>
      </c>
      <c r="E1319">
        <v>0</v>
      </c>
      <c r="F1319">
        <v>736</v>
      </c>
      <c r="G1319" t="str">
        <f>VLOOKUP(VLOOKUP(order_details[[#This Row],[ProductID]], products[], 4, FALSE), categories[], 2, FALSE)</f>
        <v>Seafood</v>
      </c>
      <c r="H1319">
        <f>VLOOKUP(order_details[[#This Row],[ProductID]], products[], 4, FALSE)</f>
        <v>8</v>
      </c>
      <c r="I1319" t="str">
        <f>VLOOKUP(order_details[[#This Row],[OrderID]], orders[[OrderID]:[ShipCountry]], 14, FALSE)</f>
        <v>USA</v>
      </c>
      <c r="J1319" s="1">
        <f>_xlfn.XLOOKUP(order_details[[#This Row],[OrderID]], orders[OrderID], orders[Month])</f>
        <v>12</v>
      </c>
    </row>
    <row r="1320" spans="1:10" x14ac:dyDescent="0.35">
      <c r="A1320">
        <v>10748</v>
      </c>
      <c r="B1320">
        <v>56</v>
      </c>
      <c r="C1320">
        <v>38</v>
      </c>
      <c r="D1320">
        <v>28</v>
      </c>
      <c r="E1320">
        <v>0</v>
      </c>
      <c r="F1320">
        <v>1064</v>
      </c>
      <c r="G1320" t="str">
        <f>VLOOKUP(VLOOKUP(order_details[[#This Row],[ProductID]], products[], 4, FALSE), categories[], 2, FALSE)</f>
        <v>Grains/Cereals</v>
      </c>
      <c r="H1320">
        <f>VLOOKUP(order_details[[#This Row],[ProductID]], products[], 4, FALSE)</f>
        <v>5</v>
      </c>
      <c r="I1320" t="str">
        <f>VLOOKUP(order_details[[#This Row],[OrderID]], orders[[OrderID]:[ShipCountry]], 14, FALSE)</f>
        <v>USA</v>
      </c>
      <c r="J1320" s="1">
        <f>_xlfn.XLOOKUP(order_details[[#This Row],[OrderID]], orders[OrderID], orders[Month])</f>
        <v>12</v>
      </c>
    </row>
    <row r="1321" spans="1:10" x14ac:dyDescent="0.35">
      <c r="A1321">
        <v>10749</v>
      </c>
      <c r="B1321">
        <v>56</v>
      </c>
      <c r="C1321">
        <v>38</v>
      </c>
      <c r="D1321">
        <v>15</v>
      </c>
      <c r="E1321">
        <v>0</v>
      </c>
      <c r="F1321">
        <v>570</v>
      </c>
      <c r="G1321" t="str">
        <f>VLOOKUP(VLOOKUP(order_details[[#This Row],[ProductID]], products[], 4, FALSE), categories[], 2, FALSE)</f>
        <v>Grains/Cereals</v>
      </c>
      <c r="H1321">
        <f>VLOOKUP(order_details[[#This Row],[ProductID]], products[], 4, FALSE)</f>
        <v>5</v>
      </c>
      <c r="I1321" t="str">
        <f>VLOOKUP(order_details[[#This Row],[OrderID]], orders[[OrderID]:[ShipCountry]], 14, FALSE)</f>
        <v>UK</v>
      </c>
      <c r="J1321" s="1">
        <f>_xlfn.XLOOKUP(order_details[[#This Row],[OrderID]], orders[OrderID], orders[Month])</f>
        <v>12</v>
      </c>
    </row>
    <row r="1322" spans="1:10" x14ac:dyDescent="0.35">
      <c r="A1322">
        <v>10749</v>
      </c>
      <c r="B1322">
        <v>59</v>
      </c>
      <c r="C1322">
        <v>55</v>
      </c>
      <c r="D1322">
        <v>6</v>
      </c>
      <c r="E1322">
        <v>0</v>
      </c>
      <c r="F1322">
        <v>330</v>
      </c>
      <c r="G1322" t="str">
        <f>VLOOKUP(VLOOKUP(order_details[[#This Row],[ProductID]], products[], 4, FALSE), categories[], 2, FALSE)</f>
        <v>Dairy Products</v>
      </c>
      <c r="H1322">
        <f>VLOOKUP(order_details[[#This Row],[ProductID]], products[], 4, FALSE)</f>
        <v>4</v>
      </c>
      <c r="I1322" t="str">
        <f>VLOOKUP(order_details[[#This Row],[OrderID]], orders[[OrderID]:[ShipCountry]], 14, FALSE)</f>
        <v>UK</v>
      </c>
      <c r="J1322" s="1">
        <f>_xlfn.XLOOKUP(order_details[[#This Row],[OrderID]], orders[OrderID], orders[Month])</f>
        <v>12</v>
      </c>
    </row>
    <row r="1323" spans="1:10" x14ac:dyDescent="0.35">
      <c r="A1323">
        <v>10749</v>
      </c>
      <c r="B1323">
        <v>76</v>
      </c>
      <c r="C1323">
        <v>18</v>
      </c>
      <c r="D1323">
        <v>10</v>
      </c>
      <c r="E1323">
        <v>0</v>
      </c>
      <c r="F1323">
        <v>180</v>
      </c>
      <c r="G1323" t="str">
        <f>VLOOKUP(VLOOKUP(order_details[[#This Row],[ProductID]], products[], 4, FALSE), categories[], 2, FALSE)</f>
        <v>Beverages</v>
      </c>
      <c r="H1323">
        <f>VLOOKUP(order_details[[#This Row],[ProductID]], products[], 4, FALSE)</f>
        <v>1</v>
      </c>
      <c r="I1323" t="str">
        <f>VLOOKUP(order_details[[#This Row],[OrderID]], orders[[OrderID]:[ShipCountry]], 14, FALSE)</f>
        <v>UK</v>
      </c>
      <c r="J1323" s="1">
        <f>_xlfn.XLOOKUP(order_details[[#This Row],[OrderID]], orders[OrderID], orders[Month])</f>
        <v>12</v>
      </c>
    </row>
    <row r="1324" spans="1:10" x14ac:dyDescent="0.35">
      <c r="A1324">
        <v>10750</v>
      </c>
      <c r="B1324">
        <v>14</v>
      </c>
      <c r="C1324">
        <v>23.25</v>
      </c>
      <c r="D1324">
        <v>5</v>
      </c>
      <c r="E1324">
        <v>0.15</v>
      </c>
      <c r="F1324">
        <v>98.8125</v>
      </c>
      <c r="G1324" t="str">
        <f>VLOOKUP(VLOOKUP(order_details[[#This Row],[ProductID]], products[], 4, FALSE), categories[], 2, FALSE)</f>
        <v>Produce</v>
      </c>
      <c r="H1324">
        <f>VLOOKUP(order_details[[#This Row],[ProductID]], products[], 4, FALSE)</f>
        <v>7</v>
      </c>
      <c r="I1324" t="str">
        <f>VLOOKUP(order_details[[#This Row],[OrderID]], orders[[OrderID]:[ShipCountry]], 14, FALSE)</f>
        <v>Finland</v>
      </c>
      <c r="J1324" s="1">
        <f>_xlfn.XLOOKUP(order_details[[#This Row],[OrderID]], orders[OrderID], orders[Month])</f>
        <v>12</v>
      </c>
    </row>
    <row r="1325" spans="1:10" x14ac:dyDescent="0.35">
      <c r="A1325">
        <v>10750</v>
      </c>
      <c r="B1325">
        <v>45</v>
      </c>
      <c r="C1325">
        <v>9.5</v>
      </c>
      <c r="D1325">
        <v>40</v>
      </c>
      <c r="E1325">
        <v>0.15</v>
      </c>
      <c r="F1325">
        <v>323</v>
      </c>
      <c r="G1325" t="str">
        <f>VLOOKUP(VLOOKUP(order_details[[#This Row],[ProductID]], products[], 4, FALSE), categories[], 2, FALSE)</f>
        <v>Seafood</v>
      </c>
      <c r="H1325">
        <f>VLOOKUP(order_details[[#This Row],[ProductID]], products[], 4, FALSE)</f>
        <v>8</v>
      </c>
      <c r="I1325" t="str">
        <f>VLOOKUP(order_details[[#This Row],[OrderID]], orders[[OrderID]:[ShipCountry]], 14, FALSE)</f>
        <v>Finland</v>
      </c>
      <c r="J1325" s="1">
        <f>_xlfn.XLOOKUP(order_details[[#This Row],[OrderID]], orders[OrderID], orders[Month])</f>
        <v>12</v>
      </c>
    </row>
    <row r="1326" spans="1:10" x14ac:dyDescent="0.35">
      <c r="A1326">
        <v>10750</v>
      </c>
      <c r="B1326">
        <v>59</v>
      </c>
      <c r="C1326">
        <v>55</v>
      </c>
      <c r="D1326">
        <v>25</v>
      </c>
      <c r="E1326">
        <v>0.15</v>
      </c>
      <c r="F1326">
        <v>1168.75</v>
      </c>
      <c r="G1326" t="str">
        <f>VLOOKUP(VLOOKUP(order_details[[#This Row],[ProductID]], products[], 4, FALSE), categories[], 2, FALSE)</f>
        <v>Dairy Products</v>
      </c>
      <c r="H1326">
        <f>VLOOKUP(order_details[[#This Row],[ProductID]], products[], 4, FALSE)</f>
        <v>4</v>
      </c>
      <c r="I1326" t="str">
        <f>VLOOKUP(order_details[[#This Row],[OrderID]], orders[[OrderID]:[ShipCountry]], 14, FALSE)</f>
        <v>Finland</v>
      </c>
      <c r="J1326" s="1">
        <f>_xlfn.XLOOKUP(order_details[[#This Row],[OrderID]], orders[OrderID], orders[Month])</f>
        <v>12</v>
      </c>
    </row>
    <row r="1327" spans="1:10" x14ac:dyDescent="0.35">
      <c r="A1327">
        <v>10751</v>
      </c>
      <c r="B1327">
        <v>26</v>
      </c>
      <c r="C1327">
        <v>31.23</v>
      </c>
      <c r="D1327">
        <v>12</v>
      </c>
      <c r="E1327">
        <v>0.1</v>
      </c>
      <c r="F1327">
        <v>337.28399999999999</v>
      </c>
      <c r="G1327" t="str">
        <f>VLOOKUP(VLOOKUP(order_details[[#This Row],[ProductID]], products[], 4, FALSE), categories[], 2, FALSE)</f>
        <v>Confections</v>
      </c>
      <c r="H1327">
        <f>VLOOKUP(order_details[[#This Row],[ProductID]], products[], 4, FALSE)</f>
        <v>3</v>
      </c>
      <c r="I1327" t="str">
        <f>VLOOKUP(order_details[[#This Row],[OrderID]], orders[[OrderID]:[ShipCountry]], 14, FALSE)</f>
        <v>Switzerland</v>
      </c>
      <c r="J1327" s="1">
        <f>_xlfn.XLOOKUP(order_details[[#This Row],[OrderID]], orders[OrderID], orders[Month])</f>
        <v>12</v>
      </c>
    </row>
    <row r="1328" spans="1:10" x14ac:dyDescent="0.35">
      <c r="A1328">
        <v>10751</v>
      </c>
      <c r="B1328">
        <v>30</v>
      </c>
      <c r="C1328">
        <v>25.89</v>
      </c>
      <c r="D1328">
        <v>30</v>
      </c>
      <c r="E1328">
        <v>0</v>
      </c>
      <c r="F1328">
        <v>776.7</v>
      </c>
      <c r="G1328" t="str">
        <f>VLOOKUP(VLOOKUP(order_details[[#This Row],[ProductID]], products[], 4, FALSE), categories[], 2, FALSE)</f>
        <v>Seafood</v>
      </c>
      <c r="H1328">
        <f>VLOOKUP(order_details[[#This Row],[ProductID]], products[], 4, FALSE)</f>
        <v>8</v>
      </c>
      <c r="I1328" t="str">
        <f>VLOOKUP(order_details[[#This Row],[OrderID]], orders[[OrderID]:[ShipCountry]], 14, FALSE)</f>
        <v>Switzerland</v>
      </c>
      <c r="J1328" s="1">
        <f>_xlfn.XLOOKUP(order_details[[#This Row],[OrderID]], orders[OrderID], orders[Month])</f>
        <v>12</v>
      </c>
    </row>
    <row r="1329" spans="1:10" x14ac:dyDescent="0.35">
      <c r="A1329">
        <v>10751</v>
      </c>
      <c r="B1329">
        <v>50</v>
      </c>
      <c r="C1329">
        <v>16.25</v>
      </c>
      <c r="D1329">
        <v>20</v>
      </c>
      <c r="E1329">
        <v>0.1</v>
      </c>
      <c r="F1329">
        <v>292.5</v>
      </c>
      <c r="G1329" t="str">
        <f>VLOOKUP(VLOOKUP(order_details[[#This Row],[ProductID]], products[], 4, FALSE), categories[], 2, FALSE)</f>
        <v>Confections</v>
      </c>
      <c r="H1329">
        <f>VLOOKUP(order_details[[#This Row],[ProductID]], products[], 4, FALSE)</f>
        <v>3</v>
      </c>
      <c r="I1329" t="str">
        <f>VLOOKUP(order_details[[#This Row],[OrderID]], orders[[OrderID]:[ShipCountry]], 14, FALSE)</f>
        <v>Switzerland</v>
      </c>
      <c r="J1329" s="1">
        <f>_xlfn.XLOOKUP(order_details[[#This Row],[OrderID]], orders[OrderID], orders[Month])</f>
        <v>12</v>
      </c>
    </row>
    <row r="1330" spans="1:10" x14ac:dyDescent="0.35">
      <c r="A1330">
        <v>10751</v>
      </c>
      <c r="B1330">
        <v>73</v>
      </c>
      <c r="C1330">
        <v>15</v>
      </c>
      <c r="D1330">
        <v>15</v>
      </c>
      <c r="E1330">
        <v>0</v>
      </c>
      <c r="F1330">
        <v>225</v>
      </c>
      <c r="G1330" t="str">
        <f>VLOOKUP(VLOOKUP(order_details[[#This Row],[ProductID]], products[], 4, FALSE), categories[], 2, FALSE)</f>
        <v>Seafood</v>
      </c>
      <c r="H1330">
        <f>VLOOKUP(order_details[[#This Row],[ProductID]], products[], 4, FALSE)</f>
        <v>8</v>
      </c>
      <c r="I1330" t="str">
        <f>VLOOKUP(order_details[[#This Row],[OrderID]], orders[[OrderID]:[ShipCountry]], 14, FALSE)</f>
        <v>Switzerland</v>
      </c>
      <c r="J1330" s="1">
        <f>_xlfn.XLOOKUP(order_details[[#This Row],[OrderID]], orders[OrderID], orders[Month])</f>
        <v>12</v>
      </c>
    </row>
    <row r="1331" spans="1:10" x14ac:dyDescent="0.35">
      <c r="A1331">
        <v>10752</v>
      </c>
      <c r="B1331">
        <v>1</v>
      </c>
      <c r="C1331">
        <v>18</v>
      </c>
      <c r="D1331">
        <v>8</v>
      </c>
      <c r="E1331">
        <v>0</v>
      </c>
      <c r="F1331">
        <v>144</v>
      </c>
      <c r="G1331" t="str">
        <f>VLOOKUP(VLOOKUP(order_details[[#This Row],[ProductID]], products[], 4, FALSE), categories[], 2, FALSE)</f>
        <v>Beverages</v>
      </c>
      <c r="H1331">
        <f>VLOOKUP(order_details[[#This Row],[ProductID]], products[], 4, FALSE)</f>
        <v>1</v>
      </c>
      <c r="I1331" t="str">
        <f>VLOOKUP(order_details[[#This Row],[OrderID]], orders[[OrderID]:[ShipCountry]], 14, FALSE)</f>
        <v>UK</v>
      </c>
      <c r="J1331" s="1">
        <f>_xlfn.XLOOKUP(order_details[[#This Row],[OrderID]], orders[OrderID], orders[Month])</f>
        <v>12</v>
      </c>
    </row>
    <row r="1332" spans="1:10" x14ac:dyDescent="0.35">
      <c r="A1332">
        <v>10752</v>
      </c>
      <c r="B1332">
        <v>69</v>
      </c>
      <c r="C1332">
        <v>36</v>
      </c>
      <c r="D1332">
        <v>3</v>
      </c>
      <c r="E1332">
        <v>0</v>
      </c>
      <c r="F1332">
        <v>108</v>
      </c>
      <c r="G1332" t="str">
        <f>VLOOKUP(VLOOKUP(order_details[[#This Row],[ProductID]], products[], 4, FALSE), categories[], 2, FALSE)</f>
        <v>Dairy Products</v>
      </c>
      <c r="H1332">
        <f>VLOOKUP(order_details[[#This Row],[ProductID]], products[], 4, FALSE)</f>
        <v>4</v>
      </c>
      <c r="I1332" t="str">
        <f>VLOOKUP(order_details[[#This Row],[OrderID]], orders[[OrderID]:[ShipCountry]], 14, FALSE)</f>
        <v>UK</v>
      </c>
      <c r="J1332" s="1">
        <f>_xlfn.XLOOKUP(order_details[[#This Row],[OrderID]], orders[OrderID], orders[Month])</f>
        <v>12</v>
      </c>
    </row>
    <row r="1333" spans="1:10" x14ac:dyDescent="0.35">
      <c r="A1333">
        <v>10753</v>
      </c>
      <c r="B1333">
        <v>45</v>
      </c>
      <c r="C1333">
        <v>9.5</v>
      </c>
      <c r="D1333">
        <v>4</v>
      </c>
      <c r="E1333">
        <v>0</v>
      </c>
      <c r="F1333">
        <v>38</v>
      </c>
      <c r="G1333" t="str">
        <f>VLOOKUP(VLOOKUP(order_details[[#This Row],[ProductID]], products[], 4, FALSE), categories[], 2, FALSE)</f>
        <v>Seafood</v>
      </c>
      <c r="H1333">
        <f>VLOOKUP(order_details[[#This Row],[ProductID]], products[], 4, FALSE)</f>
        <v>8</v>
      </c>
      <c r="I1333" t="str">
        <f>VLOOKUP(order_details[[#This Row],[OrderID]], orders[[OrderID]:[ShipCountry]], 14, FALSE)</f>
        <v>Italy</v>
      </c>
      <c r="J1333" s="1">
        <f>_xlfn.XLOOKUP(order_details[[#This Row],[OrderID]], orders[OrderID], orders[Month])</f>
        <v>12</v>
      </c>
    </row>
    <row r="1334" spans="1:10" x14ac:dyDescent="0.35">
      <c r="A1334">
        <v>10753</v>
      </c>
      <c r="B1334">
        <v>74</v>
      </c>
      <c r="C1334">
        <v>10</v>
      </c>
      <c r="D1334">
        <v>5</v>
      </c>
      <c r="E1334">
        <v>0</v>
      </c>
      <c r="F1334">
        <v>50</v>
      </c>
      <c r="G1334" t="str">
        <f>VLOOKUP(VLOOKUP(order_details[[#This Row],[ProductID]], products[], 4, FALSE), categories[], 2, FALSE)</f>
        <v>Produce</v>
      </c>
      <c r="H1334">
        <f>VLOOKUP(order_details[[#This Row],[ProductID]], products[], 4, FALSE)</f>
        <v>7</v>
      </c>
      <c r="I1334" t="str">
        <f>VLOOKUP(order_details[[#This Row],[OrderID]], orders[[OrderID]:[ShipCountry]], 14, FALSE)</f>
        <v>Italy</v>
      </c>
      <c r="J1334" s="1">
        <f>_xlfn.XLOOKUP(order_details[[#This Row],[OrderID]], orders[OrderID], orders[Month])</f>
        <v>12</v>
      </c>
    </row>
    <row r="1335" spans="1:10" x14ac:dyDescent="0.35">
      <c r="A1335">
        <v>10754</v>
      </c>
      <c r="B1335">
        <v>40</v>
      </c>
      <c r="C1335">
        <v>18.399999999999999</v>
      </c>
      <c r="D1335">
        <v>3</v>
      </c>
      <c r="E1335">
        <v>0</v>
      </c>
      <c r="F1335">
        <v>55.199999999999996</v>
      </c>
      <c r="G1335" t="str">
        <f>VLOOKUP(VLOOKUP(order_details[[#This Row],[ProductID]], products[], 4, FALSE), categories[], 2, FALSE)</f>
        <v>Seafood</v>
      </c>
      <c r="H1335">
        <f>VLOOKUP(order_details[[#This Row],[ProductID]], products[], 4, FALSE)</f>
        <v>8</v>
      </c>
      <c r="I1335" t="str">
        <f>VLOOKUP(order_details[[#This Row],[OrderID]], orders[[OrderID]:[ShipCountry]], 14, FALSE)</f>
        <v>Italy</v>
      </c>
      <c r="J1335" s="1">
        <f>_xlfn.XLOOKUP(order_details[[#This Row],[OrderID]], orders[OrderID], orders[Month])</f>
        <v>12</v>
      </c>
    </row>
    <row r="1336" spans="1:10" x14ac:dyDescent="0.35">
      <c r="A1336">
        <v>10755</v>
      </c>
      <c r="B1336">
        <v>47</v>
      </c>
      <c r="C1336">
        <v>9.5</v>
      </c>
      <c r="D1336">
        <v>30</v>
      </c>
      <c r="E1336">
        <v>0.25</v>
      </c>
      <c r="F1336">
        <v>213.75</v>
      </c>
      <c r="G1336" t="str">
        <f>VLOOKUP(VLOOKUP(order_details[[#This Row],[ProductID]], products[], 4, FALSE), categories[], 2, FALSE)</f>
        <v>Confections</v>
      </c>
      <c r="H1336">
        <f>VLOOKUP(order_details[[#This Row],[ProductID]], products[], 4, FALSE)</f>
        <v>3</v>
      </c>
      <c r="I1336" t="str">
        <f>VLOOKUP(order_details[[#This Row],[OrderID]], orders[[OrderID]:[ShipCountry]], 14, FALSE)</f>
        <v>France</v>
      </c>
      <c r="J1336" s="1">
        <f>_xlfn.XLOOKUP(order_details[[#This Row],[OrderID]], orders[OrderID], orders[Month])</f>
        <v>12</v>
      </c>
    </row>
    <row r="1337" spans="1:10" x14ac:dyDescent="0.35">
      <c r="A1337">
        <v>10755</v>
      </c>
      <c r="B1337">
        <v>56</v>
      </c>
      <c r="C1337">
        <v>38</v>
      </c>
      <c r="D1337">
        <v>30</v>
      </c>
      <c r="E1337">
        <v>0.25</v>
      </c>
      <c r="F1337">
        <v>855</v>
      </c>
      <c r="G1337" t="str">
        <f>VLOOKUP(VLOOKUP(order_details[[#This Row],[ProductID]], products[], 4, FALSE), categories[], 2, FALSE)</f>
        <v>Grains/Cereals</v>
      </c>
      <c r="H1337">
        <f>VLOOKUP(order_details[[#This Row],[ProductID]], products[], 4, FALSE)</f>
        <v>5</v>
      </c>
      <c r="I1337" t="str">
        <f>VLOOKUP(order_details[[#This Row],[OrderID]], orders[[OrderID]:[ShipCountry]], 14, FALSE)</f>
        <v>France</v>
      </c>
      <c r="J1337" s="1">
        <f>_xlfn.XLOOKUP(order_details[[#This Row],[OrderID]], orders[OrderID], orders[Month])</f>
        <v>12</v>
      </c>
    </row>
    <row r="1338" spans="1:10" x14ac:dyDescent="0.35">
      <c r="A1338">
        <v>10755</v>
      </c>
      <c r="B1338">
        <v>57</v>
      </c>
      <c r="C1338">
        <v>19.5</v>
      </c>
      <c r="D1338">
        <v>14</v>
      </c>
      <c r="E1338">
        <v>0.25</v>
      </c>
      <c r="F1338">
        <v>204.75</v>
      </c>
      <c r="G1338" t="str">
        <f>VLOOKUP(VLOOKUP(order_details[[#This Row],[ProductID]], products[], 4, FALSE), categories[], 2, FALSE)</f>
        <v>Grains/Cereals</v>
      </c>
      <c r="H1338">
        <f>VLOOKUP(order_details[[#This Row],[ProductID]], products[], 4, FALSE)</f>
        <v>5</v>
      </c>
      <c r="I1338" t="str">
        <f>VLOOKUP(order_details[[#This Row],[OrderID]], orders[[OrderID]:[ShipCountry]], 14, FALSE)</f>
        <v>France</v>
      </c>
      <c r="J1338" s="1">
        <f>_xlfn.XLOOKUP(order_details[[#This Row],[OrderID]], orders[OrderID], orders[Month])</f>
        <v>12</v>
      </c>
    </row>
    <row r="1339" spans="1:10" x14ac:dyDescent="0.35">
      <c r="A1339">
        <v>10755</v>
      </c>
      <c r="B1339">
        <v>69</v>
      </c>
      <c r="C1339">
        <v>36</v>
      </c>
      <c r="D1339">
        <v>25</v>
      </c>
      <c r="E1339">
        <v>0.25</v>
      </c>
      <c r="F1339">
        <v>675</v>
      </c>
      <c r="G1339" t="str">
        <f>VLOOKUP(VLOOKUP(order_details[[#This Row],[ProductID]], products[], 4, FALSE), categories[], 2, FALSE)</f>
        <v>Dairy Products</v>
      </c>
      <c r="H1339">
        <f>VLOOKUP(order_details[[#This Row],[ProductID]], products[], 4, FALSE)</f>
        <v>4</v>
      </c>
      <c r="I1339" t="str">
        <f>VLOOKUP(order_details[[#This Row],[OrderID]], orders[[OrderID]:[ShipCountry]], 14, FALSE)</f>
        <v>France</v>
      </c>
      <c r="J1339" s="1">
        <f>_xlfn.XLOOKUP(order_details[[#This Row],[OrderID]], orders[OrderID], orders[Month])</f>
        <v>12</v>
      </c>
    </row>
    <row r="1340" spans="1:10" x14ac:dyDescent="0.35">
      <c r="A1340">
        <v>10756</v>
      </c>
      <c r="B1340">
        <v>18</v>
      </c>
      <c r="C1340">
        <v>62.5</v>
      </c>
      <c r="D1340">
        <v>21</v>
      </c>
      <c r="E1340">
        <v>0.2</v>
      </c>
      <c r="F1340">
        <v>1050</v>
      </c>
      <c r="G1340" t="str">
        <f>VLOOKUP(VLOOKUP(order_details[[#This Row],[ProductID]], products[], 4, FALSE), categories[], 2, FALSE)</f>
        <v>Seafood</v>
      </c>
      <c r="H1340">
        <f>VLOOKUP(order_details[[#This Row],[ProductID]], products[], 4, FALSE)</f>
        <v>8</v>
      </c>
      <c r="I1340" t="str">
        <f>VLOOKUP(order_details[[#This Row],[OrderID]], orders[[OrderID]:[ShipCountry]], 14, FALSE)</f>
        <v>USA</v>
      </c>
      <c r="J1340" s="1">
        <f>_xlfn.XLOOKUP(order_details[[#This Row],[OrderID]], orders[OrderID], orders[Month])</f>
        <v>12</v>
      </c>
    </row>
    <row r="1341" spans="1:10" x14ac:dyDescent="0.35">
      <c r="A1341">
        <v>10756</v>
      </c>
      <c r="B1341">
        <v>36</v>
      </c>
      <c r="C1341">
        <v>19</v>
      </c>
      <c r="D1341">
        <v>20</v>
      </c>
      <c r="E1341">
        <v>0.2</v>
      </c>
      <c r="F1341">
        <v>304</v>
      </c>
      <c r="G1341" t="str">
        <f>VLOOKUP(VLOOKUP(order_details[[#This Row],[ProductID]], products[], 4, FALSE), categories[], 2, FALSE)</f>
        <v>Seafood</v>
      </c>
      <c r="H1341">
        <f>VLOOKUP(order_details[[#This Row],[ProductID]], products[], 4, FALSE)</f>
        <v>8</v>
      </c>
      <c r="I1341" t="str">
        <f>VLOOKUP(order_details[[#This Row],[OrderID]], orders[[OrderID]:[ShipCountry]], 14, FALSE)</f>
        <v>USA</v>
      </c>
      <c r="J1341" s="1">
        <f>_xlfn.XLOOKUP(order_details[[#This Row],[OrderID]], orders[OrderID], orders[Month])</f>
        <v>12</v>
      </c>
    </row>
    <row r="1342" spans="1:10" x14ac:dyDescent="0.35">
      <c r="A1342">
        <v>10756</v>
      </c>
      <c r="B1342">
        <v>68</v>
      </c>
      <c r="C1342">
        <v>12.5</v>
      </c>
      <c r="D1342">
        <v>6</v>
      </c>
      <c r="E1342">
        <v>0.2</v>
      </c>
      <c r="F1342">
        <v>60</v>
      </c>
      <c r="G1342" t="str">
        <f>VLOOKUP(VLOOKUP(order_details[[#This Row],[ProductID]], products[], 4, FALSE), categories[], 2, FALSE)</f>
        <v>Confections</v>
      </c>
      <c r="H1342">
        <f>VLOOKUP(order_details[[#This Row],[ProductID]], products[], 4, FALSE)</f>
        <v>3</v>
      </c>
      <c r="I1342" t="str">
        <f>VLOOKUP(order_details[[#This Row],[OrderID]], orders[[OrderID]:[ShipCountry]], 14, FALSE)</f>
        <v>USA</v>
      </c>
      <c r="J1342" s="1">
        <f>_xlfn.XLOOKUP(order_details[[#This Row],[OrderID]], orders[OrderID], orders[Month])</f>
        <v>12</v>
      </c>
    </row>
    <row r="1343" spans="1:10" x14ac:dyDescent="0.35">
      <c r="A1343">
        <v>10756</v>
      </c>
      <c r="B1343">
        <v>69</v>
      </c>
      <c r="C1343">
        <v>36</v>
      </c>
      <c r="D1343">
        <v>20</v>
      </c>
      <c r="E1343">
        <v>0.2</v>
      </c>
      <c r="F1343">
        <v>576</v>
      </c>
      <c r="G1343" t="str">
        <f>VLOOKUP(VLOOKUP(order_details[[#This Row],[ProductID]], products[], 4, FALSE), categories[], 2, FALSE)</f>
        <v>Dairy Products</v>
      </c>
      <c r="H1343">
        <f>VLOOKUP(order_details[[#This Row],[ProductID]], products[], 4, FALSE)</f>
        <v>4</v>
      </c>
      <c r="I1343" t="str">
        <f>VLOOKUP(order_details[[#This Row],[OrderID]], orders[[OrderID]:[ShipCountry]], 14, FALSE)</f>
        <v>USA</v>
      </c>
      <c r="J1343" s="1">
        <f>_xlfn.XLOOKUP(order_details[[#This Row],[OrderID]], orders[OrderID], orders[Month])</f>
        <v>12</v>
      </c>
    </row>
    <row r="1344" spans="1:10" x14ac:dyDescent="0.35">
      <c r="A1344">
        <v>10757</v>
      </c>
      <c r="B1344">
        <v>34</v>
      </c>
      <c r="C1344">
        <v>14</v>
      </c>
      <c r="D1344">
        <v>30</v>
      </c>
      <c r="E1344">
        <v>0</v>
      </c>
      <c r="F1344">
        <v>420</v>
      </c>
      <c r="G1344" t="str">
        <f>VLOOKUP(VLOOKUP(order_details[[#This Row],[ProductID]], products[], 4, FALSE), categories[], 2, FALSE)</f>
        <v>Beverages</v>
      </c>
      <c r="H1344">
        <f>VLOOKUP(order_details[[#This Row],[ProductID]], products[], 4, FALSE)</f>
        <v>1</v>
      </c>
      <c r="I1344" t="str">
        <f>VLOOKUP(order_details[[#This Row],[OrderID]], orders[[OrderID]:[ShipCountry]], 14, FALSE)</f>
        <v>USA</v>
      </c>
      <c r="J1344" s="1">
        <f>_xlfn.XLOOKUP(order_details[[#This Row],[OrderID]], orders[OrderID], orders[Month])</f>
        <v>12</v>
      </c>
    </row>
    <row r="1345" spans="1:10" x14ac:dyDescent="0.35">
      <c r="A1345">
        <v>10757</v>
      </c>
      <c r="B1345">
        <v>59</v>
      </c>
      <c r="C1345">
        <v>55</v>
      </c>
      <c r="D1345">
        <v>7</v>
      </c>
      <c r="E1345">
        <v>0</v>
      </c>
      <c r="F1345">
        <v>385</v>
      </c>
      <c r="G1345" t="str">
        <f>VLOOKUP(VLOOKUP(order_details[[#This Row],[ProductID]], products[], 4, FALSE), categories[], 2, FALSE)</f>
        <v>Dairy Products</v>
      </c>
      <c r="H1345">
        <f>VLOOKUP(order_details[[#This Row],[ProductID]], products[], 4, FALSE)</f>
        <v>4</v>
      </c>
      <c r="I1345" t="str">
        <f>VLOOKUP(order_details[[#This Row],[OrderID]], orders[[OrderID]:[ShipCountry]], 14, FALSE)</f>
        <v>USA</v>
      </c>
      <c r="J1345" s="1">
        <f>_xlfn.XLOOKUP(order_details[[#This Row],[OrderID]], orders[OrderID], orders[Month])</f>
        <v>12</v>
      </c>
    </row>
    <row r="1346" spans="1:10" x14ac:dyDescent="0.35">
      <c r="A1346">
        <v>10757</v>
      </c>
      <c r="B1346">
        <v>62</v>
      </c>
      <c r="C1346">
        <v>49.3</v>
      </c>
      <c r="D1346">
        <v>30</v>
      </c>
      <c r="E1346">
        <v>0</v>
      </c>
      <c r="F1346">
        <v>1479</v>
      </c>
      <c r="G1346" t="str">
        <f>VLOOKUP(VLOOKUP(order_details[[#This Row],[ProductID]], products[], 4, FALSE), categories[], 2, FALSE)</f>
        <v>Confections</v>
      </c>
      <c r="H1346">
        <f>VLOOKUP(order_details[[#This Row],[ProductID]], products[], 4, FALSE)</f>
        <v>3</v>
      </c>
      <c r="I1346" t="str">
        <f>VLOOKUP(order_details[[#This Row],[OrderID]], orders[[OrderID]:[ShipCountry]], 14, FALSE)</f>
        <v>USA</v>
      </c>
      <c r="J1346" s="1">
        <f>_xlfn.XLOOKUP(order_details[[#This Row],[OrderID]], orders[OrderID], orders[Month])</f>
        <v>12</v>
      </c>
    </row>
    <row r="1347" spans="1:10" x14ac:dyDescent="0.35">
      <c r="A1347">
        <v>10757</v>
      </c>
      <c r="B1347">
        <v>64</v>
      </c>
      <c r="C1347">
        <v>33.25</v>
      </c>
      <c r="D1347">
        <v>24</v>
      </c>
      <c r="E1347">
        <v>0</v>
      </c>
      <c r="F1347">
        <v>798</v>
      </c>
      <c r="G1347" t="str">
        <f>VLOOKUP(VLOOKUP(order_details[[#This Row],[ProductID]], products[], 4, FALSE), categories[], 2, FALSE)</f>
        <v>Grains/Cereals</v>
      </c>
      <c r="H1347">
        <f>VLOOKUP(order_details[[#This Row],[ProductID]], products[], 4, FALSE)</f>
        <v>5</v>
      </c>
      <c r="I1347" t="str">
        <f>VLOOKUP(order_details[[#This Row],[OrderID]], orders[[OrderID]:[ShipCountry]], 14, FALSE)</f>
        <v>USA</v>
      </c>
      <c r="J1347" s="1">
        <f>_xlfn.XLOOKUP(order_details[[#This Row],[OrderID]], orders[OrderID], orders[Month])</f>
        <v>12</v>
      </c>
    </row>
    <row r="1348" spans="1:10" x14ac:dyDescent="0.35">
      <c r="A1348">
        <v>10758</v>
      </c>
      <c r="B1348">
        <v>26</v>
      </c>
      <c r="C1348">
        <v>31.23</v>
      </c>
      <c r="D1348">
        <v>20</v>
      </c>
      <c r="E1348">
        <v>0</v>
      </c>
      <c r="F1348">
        <v>624.6</v>
      </c>
      <c r="G1348" t="str">
        <f>VLOOKUP(VLOOKUP(order_details[[#This Row],[ProductID]], products[], 4, FALSE), categories[], 2, FALSE)</f>
        <v>Confections</v>
      </c>
      <c r="H1348">
        <f>VLOOKUP(order_details[[#This Row],[ProductID]], products[], 4, FALSE)</f>
        <v>3</v>
      </c>
      <c r="I1348" t="str">
        <f>VLOOKUP(order_details[[#This Row],[OrderID]], orders[[OrderID]:[ShipCountry]], 14, FALSE)</f>
        <v>Switzerland</v>
      </c>
      <c r="J1348" s="1">
        <f>_xlfn.XLOOKUP(order_details[[#This Row],[OrderID]], orders[OrderID], orders[Month])</f>
        <v>12</v>
      </c>
    </row>
    <row r="1349" spans="1:10" x14ac:dyDescent="0.35">
      <c r="A1349">
        <v>10758</v>
      </c>
      <c r="B1349">
        <v>52</v>
      </c>
      <c r="C1349">
        <v>7</v>
      </c>
      <c r="D1349">
        <v>60</v>
      </c>
      <c r="E1349">
        <v>0</v>
      </c>
      <c r="F1349">
        <v>420</v>
      </c>
      <c r="G1349" t="str">
        <f>VLOOKUP(VLOOKUP(order_details[[#This Row],[ProductID]], products[], 4, FALSE), categories[], 2, FALSE)</f>
        <v>Grains/Cereals</v>
      </c>
      <c r="H1349">
        <f>VLOOKUP(order_details[[#This Row],[ProductID]], products[], 4, FALSE)</f>
        <v>5</v>
      </c>
      <c r="I1349" t="str">
        <f>VLOOKUP(order_details[[#This Row],[OrderID]], orders[[OrderID]:[ShipCountry]], 14, FALSE)</f>
        <v>Switzerland</v>
      </c>
      <c r="J1349" s="1">
        <f>_xlfn.XLOOKUP(order_details[[#This Row],[OrderID]], orders[OrderID], orders[Month])</f>
        <v>12</v>
      </c>
    </row>
    <row r="1350" spans="1:10" x14ac:dyDescent="0.35">
      <c r="A1350">
        <v>10758</v>
      </c>
      <c r="B1350">
        <v>70</v>
      </c>
      <c r="C1350">
        <v>15</v>
      </c>
      <c r="D1350">
        <v>40</v>
      </c>
      <c r="E1350">
        <v>0</v>
      </c>
      <c r="F1350">
        <v>600</v>
      </c>
      <c r="G1350" t="str">
        <f>VLOOKUP(VLOOKUP(order_details[[#This Row],[ProductID]], products[], 4, FALSE), categories[], 2, FALSE)</f>
        <v>Beverages</v>
      </c>
      <c r="H1350">
        <f>VLOOKUP(order_details[[#This Row],[ProductID]], products[], 4, FALSE)</f>
        <v>1</v>
      </c>
      <c r="I1350" t="str">
        <f>VLOOKUP(order_details[[#This Row],[OrderID]], orders[[OrderID]:[ShipCountry]], 14, FALSE)</f>
        <v>Switzerland</v>
      </c>
      <c r="J1350" s="1">
        <f>_xlfn.XLOOKUP(order_details[[#This Row],[OrderID]], orders[OrderID], orders[Month])</f>
        <v>12</v>
      </c>
    </row>
    <row r="1351" spans="1:10" x14ac:dyDescent="0.35">
      <c r="A1351">
        <v>10759</v>
      </c>
      <c r="B1351">
        <v>32</v>
      </c>
      <c r="C1351">
        <v>32</v>
      </c>
      <c r="D1351">
        <v>10</v>
      </c>
      <c r="E1351">
        <v>0</v>
      </c>
      <c r="F1351">
        <v>320</v>
      </c>
      <c r="G1351" t="str">
        <f>VLOOKUP(VLOOKUP(order_details[[#This Row],[ProductID]], products[], 4, FALSE), categories[], 2, FALSE)</f>
        <v>Dairy Products</v>
      </c>
      <c r="H1351">
        <f>VLOOKUP(order_details[[#This Row],[ProductID]], products[], 4, FALSE)</f>
        <v>4</v>
      </c>
      <c r="I1351" t="str">
        <f>VLOOKUP(order_details[[#This Row],[OrderID]], orders[[OrderID]:[ShipCountry]], 14, FALSE)</f>
        <v>Mexico</v>
      </c>
      <c r="J1351" s="1">
        <f>_xlfn.XLOOKUP(order_details[[#This Row],[OrderID]], orders[OrderID], orders[Month])</f>
        <v>12</v>
      </c>
    </row>
    <row r="1352" spans="1:10" x14ac:dyDescent="0.35">
      <c r="A1352">
        <v>10760</v>
      </c>
      <c r="B1352">
        <v>25</v>
      </c>
      <c r="C1352">
        <v>14</v>
      </c>
      <c r="D1352">
        <v>12</v>
      </c>
      <c r="E1352">
        <v>0.25</v>
      </c>
      <c r="F1352">
        <v>126</v>
      </c>
      <c r="G1352" t="str">
        <f>VLOOKUP(VLOOKUP(order_details[[#This Row],[ProductID]], products[], 4, FALSE), categories[], 2, FALSE)</f>
        <v>Confections</v>
      </c>
      <c r="H1352">
        <f>VLOOKUP(order_details[[#This Row],[ProductID]], products[], 4, FALSE)</f>
        <v>3</v>
      </c>
      <c r="I1352" t="str">
        <f>VLOOKUP(order_details[[#This Row],[OrderID]], orders[[OrderID]:[ShipCountry]], 14, FALSE)</f>
        <v>Belgium</v>
      </c>
      <c r="J1352" s="1">
        <f>_xlfn.XLOOKUP(order_details[[#This Row],[OrderID]], orders[OrderID], orders[Month])</f>
        <v>1</v>
      </c>
    </row>
    <row r="1353" spans="1:10" x14ac:dyDescent="0.35">
      <c r="A1353">
        <v>10760</v>
      </c>
      <c r="B1353">
        <v>27</v>
      </c>
      <c r="C1353">
        <v>43.9</v>
      </c>
      <c r="D1353">
        <v>40</v>
      </c>
      <c r="E1353">
        <v>0</v>
      </c>
      <c r="F1353">
        <v>1756</v>
      </c>
      <c r="G1353" t="str">
        <f>VLOOKUP(VLOOKUP(order_details[[#This Row],[ProductID]], products[], 4, FALSE), categories[], 2, FALSE)</f>
        <v>Confections</v>
      </c>
      <c r="H1353">
        <f>VLOOKUP(order_details[[#This Row],[ProductID]], products[], 4, FALSE)</f>
        <v>3</v>
      </c>
      <c r="I1353" t="str">
        <f>VLOOKUP(order_details[[#This Row],[OrderID]], orders[[OrderID]:[ShipCountry]], 14, FALSE)</f>
        <v>Belgium</v>
      </c>
      <c r="J1353" s="1">
        <f>_xlfn.XLOOKUP(order_details[[#This Row],[OrderID]], orders[OrderID], orders[Month])</f>
        <v>1</v>
      </c>
    </row>
    <row r="1354" spans="1:10" x14ac:dyDescent="0.35">
      <c r="A1354">
        <v>10760</v>
      </c>
      <c r="B1354">
        <v>43</v>
      </c>
      <c r="C1354">
        <v>46</v>
      </c>
      <c r="D1354">
        <v>30</v>
      </c>
      <c r="E1354">
        <v>0.25</v>
      </c>
      <c r="F1354">
        <v>1035</v>
      </c>
      <c r="G1354" t="str">
        <f>VLOOKUP(VLOOKUP(order_details[[#This Row],[ProductID]], products[], 4, FALSE), categories[], 2, FALSE)</f>
        <v>Beverages</v>
      </c>
      <c r="H1354">
        <f>VLOOKUP(order_details[[#This Row],[ProductID]], products[], 4, FALSE)</f>
        <v>1</v>
      </c>
      <c r="I1354" t="str">
        <f>VLOOKUP(order_details[[#This Row],[OrderID]], orders[[OrderID]:[ShipCountry]], 14, FALSE)</f>
        <v>Belgium</v>
      </c>
      <c r="J1354" s="1">
        <f>_xlfn.XLOOKUP(order_details[[#This Row],[OrderID]], orders[OrderID], orders[Month])</f>
        <v>1</v>
      </c>
    </row>
    <row r="1355" spans="1:10" x14ac:dyDescent="0.35">
      <c r="A1355">
        <v>10761</v>
      </c>
      <c r="B1355">
        <v>25</v>
      </c>
      <c r="C1355">
        <v>14</v>
      </c>
      <c r="D1355">
        <v>35</v>
      </c>
      <c r="E1355">
        <v>0.25</v>
      </c>
      <c r="F1355">
        <v>367.5</v>
      </c>
      <c r="G1355" t="str">
        <f>VLOOKUP(VLOOKUP(order_details[[#This Row],[ProductID]], products[], 4, FALSE), categories[], 2, FALSE)</f>
        <v>Confections</v>
      </c>
      <c r="H1355">
        <f>VLOOKUP(order_details[[#This Row],[ProductID]], products[], 4, FALSE)</f>
        <v>3</v>
      </c>
      <c r="I1355" t="str">
        <f>VLOOKUP(order_details[[#This Row],[OrderID]], orders[[OrderID]:[ShipCountry]], 14, FALSE)</f>
        <v>USA</v>
      </c>
      <c r="J1355" s="1">
        <f>_xlfn.XLOOKUP(order_details[[#This Row],[OrderID]], orders[OrderID], orders[Month])</f>
        <v>1</v>
      </c>
    </row>
    <row r="1356" spans="1:10" x14ac:dyDescent="0.35">
      <c r="A1356">
        <v>10761</v>
      </c>
      <c r="B1356">
        <v>75</v>
      </c>
      <c r="C1356">
        <v>7.75</v>
      </c>
      <c r="D1356">
        <v>18</v>
      </c>
      <c r="E1356">
        <v>0</v>
      </c>
      <c r="F1356">
        <v>139.5</v>
      </c>
      <c r="G1356" t="str">
        <f>VLOOKUP(VLOOKUP(order_details[[#This Row],[ProductID]], products[], 4, FALSE), categories[], 2, FALSE)</f>
        <v>Beverages</v>
      </c>
      <c r="H1356">
        <f>VLOOKUP(order_details[[#This Row],[ProductID]], products[], 4, FALSE)</f>
        <v>1</v>
      </c>
      <c r="I1356" t="str">
        <f>VLOOKUP(order_details[[#This Row],[OrderID]], orders[[OrderID]:[ShipCountry]], 14, FALSE)</f>
        <v>USA</v>
      </c>
      <c r="J1356" s="1">
        <f>_xlfn.XLOOKUP(order_details[[#This Row],[OrderID]], orders[OrderID], orders[Month])</f>
        <v>1</v>
      </c>
    </row>
    <row r="1357" spans="1:10" x14ac:dyDescent="0.35">
      <c r="A1357">
        <v>10762</v>
      </c>
      <c r="B1357">
        <v>39</v>
      </c>
      <c r="C1357">
        <v>18</v>
      </c>
      <c r="D1357">
        <v>16</v>
      </c>
      <c r="E1357">
        <v>0</v>
      </c>
      <c r="F1357">
        <v>288</v>
      </c>
      <c r="G1357" t="str">
        <f>VLOOKUP(VLOOKUP(order_details[[#This Row],[ProductID]], products[], 4, FALSE), categories[], 2, FALSE)</f>
        <v>Beverages</v>
      </c>
      <c r="H1357">
        <f>VLOOKUP(order_details[[#This Row],[ProductID]], products[], 4, FALSE)</f>
        <v>1</v>
      </c>
      <c r="I1357" t="str">
        <f>VLOOKUP(order_details[[#This Row],[OrderID]], orders[[OrderID]:[ShipCountry]], 14, FALSE)</f>
        <v>Sweden</v>
      </c>
      <c r="J1357" s="1">
        <f>_xlfn.XLOOKUP(order_details[[#This Row],[OrderID]], orders[OrderID], orders[Month])</f>
        <v>1</v>
      </c>
    </row>
    <row r="1358" spans="1:10" x14ac:dyDescent="0.35">
      <c r="A1358">
        <v>10762</v>
      </c>
      <c r="B1358">
        <v>47</v>
      </c>
      <c r="C1358">
        <v>9.5</v>
      </c>
      <c r="D1358">
        <v>30</v>
      </c>
      <c r="E1358">
        <v>0</v>
      </c>
      <c r="F1358">
        <v>285</v>
      </c>
      <c r="G1358" t="str">
        <f>VLOOKUP(VLOOKUP(order_details[[#This Row],[ProductID]], products[], 4, FALSE), categories[], 2, FALSE)</f>
        <v>Confections</v>
      </c>
      <c r="H1358">
        <f>VLOOKUP(order_details[[#This Row],[ProductID]], products[], 4, FALSE)</f>
        <v>3</v>
      </c>
      <c r="I1358" t="str">
        <f>VLOOKUP(order_details[[#This Row],[OrderID]], orders[[OrderID]:[ShipCountry]], 14, FALSE)</f>
        <v>Sweden</v>
      </c>
      <c r="J1358" s="1">
        <f>_xlfn.XLOOKUP(order_details[[#This Row],[OrderID]], orders[OrderID], orders[Month])</f>
        <v>1</v>
      </c>
    </row>
    <row r="1359" spans="1:10" x14ac:dyDescent="0.35">
      <c r="A1359">
        <v>10762</v>
      </c>
      <c r="B1359">
        <v>51</v>
      </c>
      <c r="C1359">
        <v>53</v>
      </c>
      <c r="D1359">
        <v>28</v>
      </c>
      <c r="E1359">
        <v>0</v>
      </c>
      <c r="F1359">
        <v>1484</v>
      </c>
      <c r="G1359" t="str">
        <f>VLOOKUP(VLOOKUP(order_details[[#This Row],[ProductID]], products[], 4, FALSE), categories[], 2, FALSE)</f>
        <v>Produce</v>
      </c>
      <c r="H1359">
        <f>VLOOKUP(order_details[[#This Row],[ProductID]], products[], 4, FALSE)</f>
        <v>7</v>
      </c>
      <c r="I1359" t="str">
        <f>VLOOKUP(order_details[[#This Row],[OrderID]], orders[[OrderID]:[ShipCountry]], 14, FALSE)</f>
        <v>Sweden</v>
      </c>
      <c r="J1359" s="1">
        <f>_xlfn.XLOOKUP(order_details[[#This Row],[OrderID]], orders[OrderID], orders[Month])</f>
        <v>1</v>
      </c>
    </row>
    <row r="1360" spans="1:10" x14ac:dyDescent="0.35">
      <c r="A1360">
        <v>10762</v>
      </c>
      <c r="B1360">
        <v>56</v>
      </c>
      <c r="C1360">
        <v>38</v>
      </c>
      <c r="D1360">
        <v>60</v>
      </c>
      <c r="E1360">
        <v>0</v>
      </c>
      <c r="F1360">
        <v>2280</v>
      </c>
      <c r="G1360" t="str">
        <f>VLOOKUP(VLOOKUP(order_details[[#This Row],[ProductID]], products[], 4, FALSE), categories[], 2, FALSE)</f>
        <v>Grains/Cereals</v>
      </c>
      <c r="H1360">
        <f>VLOOKUP(order_details[[#This Row],[ProductID]], products[], 4, FALSE)</f>
        <v>5</v>
      </c>
      <c r="I1360" t="str">
        <f>VLOOKUP(order_details[[#This Row],[OrderID]], orders[[OrderID]:[ShipCountry]], 14, FALSE)</f>
        <v>Sweden</v>
      </c>
      <c r="J1360" s="1">
        <f>_xlfn.XLOOKUP(order_details[[#This Row],[OrderID]], orders[OrderID], orders[Month])</f>
        <v>1</v>
      </c>
    </row>
    <row r="1361" spans="1:10" x14ac:dyDescent="0.35">
      <c r="A1361">
        <v>10763</v>
      </c>
      <c r="B1361">
        <v>21</v>
      </c>
      <c r="C1361">
        <v>10</v>
      </c>
      <c r="D1361">
        <v>40</v>
      </c>
      <c r="E1361">
        <v>0</v>
      </c>
      <c r="F1361">
        <v>400</v>
      </c>
      <c r="G1361" t="str">
        <f>VLOOKUP(VLOOKUP(order_details[[#This Row],[ProductID]], products[], 4, FALSE), categories[], 2, FALSE)</f>
        <v>Confections</v>
      </c>
      <c r="H1361">
        <f>VLOOKUP(order_details[[#This Row],[ProductID]], products[], 4, FALSE)</f>
        <v>3</v>
      </c>
      <c r="I1361" t="str">
        <f>VLOOKUP(order_details[[#This Row],[OrderID]], orders[[OrderID]:[ShipCountry]], 14, FALSE)</f>
        <v>France</v>
      </c>
      <c r="J1361" s="1">
        <f>_xlfn.XLOOKUP(order_details[[#This Row],[OrderID]], orders[OrderID], orders[Month])</f>
        <v>1</v>
      </c>
    </row>
    <row r="1362" spans="1:10" x14ac:dyDescent="0.35">
      <c r="A1362">
        <v>10763</v>
      </c>
      <c r="B1362">
        <v>22</v>
      </c>
      <c r="C1362">
        <v>21</v>
      </c>
      <c r="D1362">
        <v>6</v>
      </c>
      <c r="E1362">
        <v>0</v>
      </c>
      <c r="F1362">
        <v>126</v>
      </c>
      <c r="G1362" t="str">
        <f>VLOOKUP(VLOOKUP(order_details[[#This Row],[ProductID]], products[], 4, FALSE), categories[], 2, FALSE)</f>
        <v>Grains/Cereals</v>
      </c>
      <c r="H1362">
        <f>VLOOKUP(order_details[[#This Row],[ProductID]], products[], 4, FALSE)</f>
        <v>5</v>
      </c>
      <c r="I1362" t="str">
        <f>VLOOKUP(order_details[[#This Row],[OrderID]], orders[[OrderID]:[ShipCountry]], 14, FALSE)</f>
        <v>France</v>
      </c>
      <c r="J1362" s="1">
        <f>_xlfn.XLOOKUP(order_details[[#This Row],[OrderID]], orders[OrderID], orders[Month])</f>
        <v>1</v>
      </c>
    </row>
    <row r="1363" spans="1:10" x14ac:dyDescent="0.35">
      <c r="A1363">
        <v>10763</v>
      </c>
      <c r="B1363">
        <v>24</v>
      </c>
      <c r="C1363">
        <v>4.5</v>
      </c>
      <c r="D1363">
        <v>20</v>
      </c>
      <c r="E1363">
        <v>0</v>
      </c>
      <c r="F1363">
        <v>90</v>
      </c>
      <c r="G1363" t="str">
        <f>VLOOKUP(VLOOKUP(order_details[[#This Row],[ProductID]], products[], 4, FALSE), categories[], 2, FALSE)</f>
        <v>Beverages</v>
      </c>
      <c r="H1363">
        <f>VLOOKUP(order_details[[#This Row],[ProductID]], products[], 4, FALSE)</f>
        <v>1</v>
      </c>
      <c r="I1363" t="str">
        <f>VLOOKUP(order_details[[#This Row],[OrderID]], orders[[OrderID]:[ShipCountry]], 14, FALSE)</f>
        <v>France</v>
      </c>
      <c r="J1363" s="1">
        <f>_xlfn.XLOOKUP(order_details[[#This Row],[OrderID]], orders[OrderID], orders[Month])</f>
        <v>1</v>
      </c>
    </row>
    <row r="1364" spans="1:10" x14ac:dyDescent="0.35">
      <c r="A1364">
        <v>10764</v>
      </c>
      <c r="B1364">
        <v>3</v>
      </c>
      <c r="C1364">
        <v>10</v>
      </c>
      <c r="D1364">
        <v>20</v>
      </c>
      <c r="E1364">
        <v>0.1</v>
      </c>
      <c r="F1364">
        <v>180</v>
      </c>
      <c r="G1364" t="str">
        <f>VLOOKUP(VLOOKUP(order_details[[#This Row],[ProductID]], products[], 4, FALSE), categories[], 2, FALSE)</f>
        <v>Condiments</v>
      </c>
      <c r="H1364">
        <f>VLOOKUP(order_details[[#This Row],[ProductID]], products[], 4, FALSE)</f>
        <v>2</v>
      </c>
      <c r="I1364" t="str">
        <f>VLOOKUP(order_details[[#This Row],[OrderID]], orders[[OrderID]:[ShipCountry]], 14, FALSE)</f>
        <v>Austria</v>
      </c>
      <c r="J1364" s="1">
        <f>_xlfn.XLOOKUP(order_details[[#This Row],[OrderID]], orders[OrderID], orders[Month])</f>
        <v>1</v>
      </c>
    </row>
    <row r="1365" spans="1:10" x14ac:dyDescent="0.35">
      <c r="A1365">
        <v>10764</v>
      </c>
      <c r="B1365">
        <v>39</v>
      </c>
      <c r="C1365">
        <v>18</v>
      </c>
      <c r="D1365">
        <v>130</v>
      </c>
      <c r="E1365">
        <v>0.1</v>
      </c>
      <c r="F1365">
        <v>2106</v>
      </c>
      <c r="G1365" t="str">
        <f>VLOOKUP(VLOOKUP(order_details[[#This Row],[ProductID]], products[], 4, FALSE), categories[], 2, FALSE)</f>
        <v>Beverages</v>
      </c>
      <c r="H1365">
        <f>VLOOKUP(order_details[[#This Row],[ProductID]], products[], 4, FALSE)</f>
        <v>1</v>
      </c>
      <c r="I1365" t="str">
        <f>VLOOKUP(order_details[[#This Row],[OrderID]], orders[[OrderID]:[ShipCountry]], 14, FALSE)</f>
        <v>Austria</v>
      </c>
      <c r="J1365" s="1">
        <f>_xlfn.XLOOKUP(order_details[[#This Row],[OrderID]], orders[OrderID], orders[Month])</f>
        <v>1</v>
      </c>
    </row>
    <row r="1366" spans="1:10" x14ac:dyDescent="0.35">
      <c r="A1366">
        <v>10765</v>
      </c>
      <c r="B1366">
        <v>65</v>
      </c>
      <c r="C1366">
        <v>21.05</v>
      </c>
      <c r="D1366">
        <v>80</v>
      </c>
      <c r="E1366">
        <v>0.1</v>
      </c>
      <c r="F1366">
        <v>1515.6000000000001</v>
      </c>
      <c r="G1366" t="str">
        <f>VLOOKUP(VLOOKUP(order_details[[#This Row],[ProductID]], products[], 4, FALSE), categories[], 2, FALSE)</f>
        <v>Condiments</v>
      </c>
      <c r="H1366">
        <f>VLOOKUP(order_details[[#This Row],[ProductID]], products[], 4, FALSE)</f>
        <v>2</v>
      </c>
      <c r="I1366" t="str">
        <f>VLOOKUP(order_details[[#This Row],[OrderID]], orders[[OrderID]:[ShipCountry]], 14, FALSE)</f>
        <v>Germany</v>
      </c>
      <c r="J1366" s="1">
        <f>_xlfn.XLOOKUP(order_details[[#This Row],[OrderID]], orders[OrderID], orders[Month])</f>
        <v>1</v>
      </c>
    </row>
    <row r="1367" spans="1:10" x14ac:dyDescent="0.35">
      <c r="A1367">
        <v>10766</v>
      </c>
      <c r="B1367">
        <v>2</v>
      </c>
      <c r="C1367">
        <v>19</v>
      </c>
      <c r="D1367">
        <v>40</v>
      </c>
      <c r="E1367">
        <v>0</v>
      </c>
      <c r="F1367">
        <v>760</v>
      </c>
      <c r="G1367" t="str">
        <f>VLOOKUP(VLOOKUP(order_details[[#This Row],[ProductID]], products[], 4, FALSE), categories[], 2, FALSE)</f>
        <v>Beverages</v>
      </c>
      <c r="H1367">
        <f>VLOOKUP(order_details[[#This Row],[ProductID]], products[], 4, FALSE)</f>
        <v>1</v>
      </c>
      <c r="I1367" t="str">
        <f>VLOOKUP(order_details[[#This Row],[OrderID]], orders[[OrderID]:[ShipCountry]], 14, FALSE)</f>
        <v>Germany</v>
      </c>
      <c r="J1367" s="1">
        <f>_xlfn.XLOOKUP(order_details[[#This Row],[OrderID]], orders[OrderID], orders[Month])</f>
        <v>1</v>
      </c>
    </row>
    <row r="1368" spans="1:10" x14ac:dyDescent="0.35">
      <c r="A1368">
        <v>10766</v>
      </c>
      <c r="B1368">
        <v>7</v>
      </c>
      <c r="C1368">
        <v>30</v>
      </c>
      <c r="D1368">
        <v>35</v>
      </c>
      <c r="E1368">
        <v>0</v>
      </c>
      <c r="F1368">
        <v>1050</v>
      </c>
      <c r="G1368" t="str">
        <f>VLOOKUP(VLOOKUP(order_details[[#This Row],[ProductID]], products[], 4, FALSE), categories[], 2, FALSE)</f>
        <v>Produce</v>
      </c>
      <c r="H1368">
        <f>VLOOKUP(order_details[[#This Row],[ProductID]], products[], 4, FALSE)</f>
        <v>7</v>
      </c>
      <c r="I1368" t="str">
        <f>VLOOKUP(order_details[[#This Row],[OrderID]], orders[[OrderID]:[ShipCountry]], 14, FALSE)</f>
        <v>Germany</v>
      </c>
      <c r="J1368" s="1">
        <f>_xlfn.XLOOKUP(order_details[[#This Row],[OrderID]], orders[OrderID], orders[Month])</f>
        <v>1</v>
      </c>
    </row>
    <row r="1369" spans="1:10" x14ac:dyDescent="0.35">
      <c r="A1369">
        <v>10766</v>
      </c>
      <c r="B1369">
        <v>68</v>
      </c>
      <c r="C1369">
        <v>12.5</v>
      </c>
      <c r="D1369">
        <v>40</v>
      </c>
      <c r="E1369">
        <v>0</v>
      </c>
      <c r="F1369">
        <v>500</v>
      </c>
      <c r="G1369" t="str">
        <f>VLOOKUP(VLOOKUP(order_details[[#This Row],[ProductID]], products[], 4, FALSE), categories[], 2, FALSE)</f>
        <v>Confections</v>
      </c>
      <c r="H1369">
        <f>VLOOKUP(order_details[[#This Row],[ProductID]], products[], 4, FALSE)</f>
        <v>3</v>
      </c>
      <c r="I1369" t="str">
        <f>VLOOKUP(order_details[[#This Row],[OrderID]], orders[[OrderID]:[ShipCountry]], 14, FALSE)</f>
        <v>Germany</v>
      </c>
      <c r="J1369" s="1">
        <f>_xlfn.XLOOKUP(order_details[[#This Row],[OrderID]], orders[OrderID], orders[Month])</f>
        <v>1</v>
      </c>
    </row>
    <row r="1370" spans="1:10" x14ac:dyDescent="0.35">
      <c r="A1370">
        <v>10767</v>
      </c>
      <c r="B1370">
        <v>42</v>
      </c>
      <c r="C1370">
        <v>14</v>
      </c>
      <c r="D1370">
        <v>2</v>
      </c>
      <c r="E1370">
        <v>0</v>
      </c>
      <c r="F1370">
        <v>28</v>
      </c>
      <c r="G1370" t="str">
        <f>VLOOKUP(VLOOKUP(order_details[[#This Row],[ProductID]], products[], 4, FALSE), categories[], 2, FALSE)</f>
        <v>Grains/Cereals</v>
      </c>
      <c r="H1370">
        <f>VLOOKUP(order_details[[#This Row],[ProductID]], products[], 4, FALSE)</f>
        <v>5</v>
      </c>
      <c r="I1370" t="str">
        <f>VLOOKUP(order_details[[#This Row],[OrderID]], orders[[OrderID]:[ShipCountry]], 14, FALSE)</f>
        <v>Belgium</v>
      </c>
      <c r="J1370" s="1">
        <f>_xlfn.XLOOKUP(order_details[[#This Row],[OrderID]], orders[OrderID], orders[Month])</f>
        <v>1</v>
      </c>
    </row>
    <row r="1371" spans="1:10" x14ac:dyDescent="0.35">
      <c r="A1371">
        <v>10768</v>
      </c>
      <c r="B1371">
        <v>22</v>
      </c>
      <c r="C1371">
        <v>21</v>
      </c>
      <c r="D1371">
        <v>4</v>
      </c>
      <c r="E1371">
        <v>0</v>
      </c>
      <c r="F1371">
        <v>84</v>
      </c>
      <c r="G1371" t="str">
        <f>VLOOKUP(VLOOKUP(order_details[[#This Row],[ProductID]], products[], 4, FALSE), categories[], 2, FALSE)</f>
        <v>Grains/Cereals</v>
      </c>
      <c r="H1371">
        <f>VLOOKUP(order_details[[#This Row],[ProductID]], products[], 4, FALSE)</f>
        <v>5</v>
      </c>
      <c r="I1371" t="str">
        <f>VLOOKUP(order_details[[#This Row],[OrderID]], orders[[OrderID]:[ShipCountry]], 14, FALSE)</f>
        <v>UK</v>
      </c>
      <c r="J1371" s="1">
        <f>_xlfn.XLOOKUP(order_details[[#This Row],[OrderID]], orders[OrderID], orders[Month])</f>
        <v>1</v>
      </c>
    </row>
    <row r="1372" spans="1:10" x14ac:dyDescent="0.35">
      <c r="A1372">
        <v>10768</v>
      </c>
      <c r="B1372">
        <v>31</v>
      </c>
      <c r="C1372">
        <v>12.5</v>
      </c>
      <c r="D1372">
        <v>50</v>
      </c>
      <c r="E1372">
        <v>0</v>
      </c>
      <c r="F1372">
        <v>625</v>
      </c>
      <c r="G1372" t="str">
        <f>VLOOKUP(VLOOKUP(order_details[[#This Row],[ProductID]], products[], 4, FALSE), categories[], 2, FALSE)</f>
        <v>Dairy Products</v>
      </c>
      <c r="H1372">
        <f>VLOOKUP(order_details[[#This Row],[ProductID]], products[], 4, FALSE)</f>
        <v>4</v>
      </c>
      <c r="I1372" t="str">
        <f>VLOOKUP(order_details[[#This Row],[OrderID]], orders[[OrderID]:[ShipCountry]], 14, FALSE)</f>
        <v>UK</v>
      </c>
      <c r="J1372" s="1">
        <f>_xlfn.XLOOKUP(order_details[[#This Row],[OrderID]], orders[OrderID], orders[Month])</f>
        <v>1</v>
      </c>
    </row>
    <row r="1373" spans="1:10" x14ac:dyDescent="0.35">
      <c r="A1373">
        <v>10768</v>
      </c>
      <c r="B1373">
        <v>60</v>
      </c>
      <c r="C1373">
        <v>34</v>
      </c>
      <c r="D1373">
        <v>15</v>
      </c>
      <c r="E1373">
        <v>0</v>
      </c>
      <c r="F1373">
        <v>510</v>
      </c>
      <c r="G1373" t="str">
        <f>VLOOKUP(VLOOKUP(order_details[[#This Row],[ProductID]], products[], 4, FALSE), categories[], 2, FALSE)</f>
        <v>Dairy Products</v>
      </c>
      <c r="H1373">
        <f>VLOOKUP(order_details[[#This Row],[ProductID]], products[], 4, FALSE)</f>
        <v>4</v>
      </c>
      <c r="I1373" t="str">
        <f>VLOOKUP(order_details[[#This Row],[OrderID]], orders[[OrderID]:[ShipCountry]], 14, FALSE)</f>
        <v>UK</v>
      </c>
      <c r="J1373" s="1">
        <f>_xlfn.XLOOKUP(order_details[[#This Row],[OrderID]], orders[OrderID], orders[Month])</f>
        <v>1</v>
      </c>
    </row>
    <row r="1374" spans="1:10" x14ac:dyDescent="0.35">
      <c r="A1374">
        <v>10768</v>
      </c>
      <c r="B1374">
        <v>71</v>
      </c>
      <c r="C1374">
        <v>21.5</v>
      </c>
      <c r="D1374">
        <v>12</v>
      </c>
      <c r="E1374">
        <v>0</v>
      </c>
      <c r="F1374">
        <v>258</v>
      </c>
      <c r="G1374" t="str">
        <f>VLOOKUP(VLOOKUP(order_details[[#This Row],[ProductID]], products[], 4, FALSE), categories[], 2, FALSE)</f>
        <v>Dairy Products</v>
      </c>
      <c r="H1374">
        <f>VLOOKUP(order_details[[#This Row],[ProductID]], products[], 4, FALSE)</f>
        <v>4</v>
      </c>
      <c r="I1374" t="str">
        <f>VLOOKUP(order_details[[#This Row],[OrderID]], orders[[OrderID]:[ShipCountry]], 14, FALSE)</f>
        <v>UK</v>
      </c>
      <c r="J1374" s="1">
        <f>_xlfn.XLOOKUP(order_details[[#This Row],[OrderID]], orders[OrderID], orders[Month])</f>
        <v>1</v>
      </c>
    </row>
    <row r="1375" spans="1:10" x14ac:dyDescent="0.35">
      <c r="A1375">
        <v>10769</v>
      </c>
      <c r="B1375">
        <v>41</v>
      </c>
      <c r="C1375">
        <v>9.65</v>
      </c>
      <c r="D1375">
        <v>30</v>
      </c>
      <c r="E1375">
        <v>0.05</v>
      </c>
      <c r="F1375">
        <v>275.02499999999998</v>
      </c>
      <c r="G1375" t="str">
        <f>VLOOKUP(VLOOKUP(order_details[[#This Row],[ProductID]], products[], 4, FALSE), categories[], 2, FALSE)</f>
        <v>Seafood</v>
      </c>
      <c r="H1375">
        <f>VLOOKUP(order_details[[#This Row],[ProductID]], products[], 4, FALSE)</f>
        <v>8</v>
      </c>
      <c r="I1375" t="str">
        <f>VLOOKUP(order_details[[#This Row],[OrderID]], orders[[OrderID]:[ShipCountry]], 14, FALSE)</f>
        <v>Denmark</v>
      </c>
      <c r="J1375" s="1">
        <f>_xlfn.XLOOKUP(order_details[[#This Row],[OrderID]], orders[OrderID], orders[Month])</f>
        <v>1</v>
      </c>
    </row>
    <row r="1376" spans="1:10" x14ac:dyDescent="0.35">
      <c r="A1376">
        <v>10769</v>
      </c>
      <c r="B1376">
        <v>52</v>
      </c>
      <c r="C1376">
        <v>7</v>
      </c>
      <c r="D1376">
        <v>15</v>
      </c>
      <c r="E1376">
        <v>0.05</v>
      </c>
      <c r="F1376">
        <v>99.75</v>
      </c>
      <c r="G1376" t="str">
        <f>VLOOKUP(VLOOKUP(order_details[[#This Row],[ProductID]], products[], 4, FALSE), categories[], 2, FALSE)</f>
        <v>Grains/Cereals</v>
      </c>
      <c r="H1376">
        <f>VLOOKUP(order_details[[#This Row],[ProductID]], products[], 4, FALSE)</f>
        <v>5</v>
      </c>
      <c r="I1376" t="str">
        <f>VLOOKUP(order_details[[#This Row],[OrderID]], orders[[OrderID]:[ShipCountry]], 14, FALSE)</f>
        <v>Denmark</v>
      </c>
      <c r="J1376" s="1">
        <f>_xlfn.XLOOKUP(order_details[[#This Row],[OrderID]], orders[OrderID], orders[Month])</f>
        <v>1</v>
      </c>
    </row>
    <row r="1377" spans="1:10" x14ac:dyDescent="0.35">
      <c r="A1377">
        <v>10769</v>
      </c>
      <c r="B1377">
        <v>61</v>
      </c>
      <c r="C1377">
        <v>28.5</v>
      </c>
      <c r="D1377">
        <v>20</v>
      </c>
      <c r="E1377">
        <v>0</v>
      </c>
      <c r="F1377">
        <v>570</v>
      </c>
      <c r="G1377" t="str">
        <f>VLOOKUP(VLOOKUP(order_details[[#This Row],[ProductID]], products[], 4, FALSE), categories[], 2, FALSE)</f>
        <v>Condiments</v>
      </c>
      <c r="H1377">
        <f>VLOOKUP(order_details[[#This Row],[ProductID]], products[], 4, FALSE)</f>
        <v>2</v>
      </c>
      <c r="I1377" t="str">
        <f>VLOOKUP(order_details[[#This Row],[OrderID]], orders[[OrderID]:[ShipCountry]], 14, FALSE)</f>
        <v>Denmark</v>
      </c>
      <c r="J1377" s="1">
        <f>_xlfn.XLOOKUP(order_details[[#This Row],[OrderID]], orders[OrderID], orders[Month])</f>
        <v>1</v>
      </c>
    </row>
    <row r="1378" spans="1:10" x14ac:dyDescent="0.35">
      <c r="A1378">
        <v>10769</v>
      </c>
      <c r="B1378">
        <v>62</v>
      </c>
      <c r="C1378">
        <v>49.3</v>
      </c>
      <c r="D1378">
        <v>15</v>
      </c>
      <c r="E1378">
        <v>0</v>
      </c>
      <c r="F1378">
        <v>739.5</v>
      </c>
      <c r="G1378" t="str">
        <f>VLOOKUP(VLOOKUP(order_details[[#This Row],[ProductID]], products[], 4, FALSE), categories[], 2, FALSE)</f>
        <v>Confections</v>
      </c>
      <c r="H1378">
        <f>VLOOKUP(order_details[[#This Row],[ProductID]], products[], 4, FALSE)</f>
        <v>3</v>
      </c>
      <c r="I1378" t="str">
        <f>VLOOKUP(order_details[[#This Row],[OrderID]], orders[[OrderID]:[ShipCountry]], 14, FALSE)</f>
        <v>Denmark</v>
      </c>
      <c r="J1378" s="1">
        <f>_xlfn.XLOOKUP(order_details[[#This Row],[OrderID]], orders[OrderID], orders[Month])</f>
        <v>1</v>
      </c>
    </row>
    <row r="1379" spans="1:10" x14ac:dyDescent="0.35">
      <c r="A1379">
        <v>10770</v>
      </c>
      <c r="B1379">
        <v>11</v>
      </c>
      <c r="C1379">
        <v>21</v>
      </c>
      <c r="D1379">
        <v>15</v>
      </c>
      <c r="E1379">
        <v>0.25</v>
      </c>
      <c r="F1379">
        <v>236.25</v>
      </c>
      <c r="G1379" t="str">
        <f>VLOOKUP(VLOOKUP(order_details[[#This Row],[ProductID]], products[], 4, FALSE), categories[], 2, FALSE)</f>
        <v>Dairy Products</v>
      </c>
      <c r="H1379">
        <f>VLOOKUP(order_details[[#This Row],[ProductID]], products[], 4, FALSE)</f>
        <v>4</v>
      </c>
      <c r="I1379" t="str">
        <f>VLOOKUP(order_details[[#This Row],[OrderID]], orders[[OrderID]:[ShipCountry]], 14, FALSE)</f>
        <v>Brazil</v>
      </c>
      <c r="J1379" s="1">
        <f>_xlfn.XLOOKUP(order_details[[#This Row],[OrderID]], orders[OrderID], orders[Month])</f>
        <v>1</v>
      </c>
    </row>
    <row r="1380" spans="1:10" x14ac:dyDescent="0.35">
      <c r="A1380">
        <v>10771</v>
      </c>
      <c r="B1380">
        <v>71</v>
      </c>
      <c r="C1380">
        <v>21.5</v>
      </c>
      <c r="D1380">
        <v>16</v>
      </c>
      <c r="E1380">
        <v>0</v>
      </c>
      <c r="F1380">
        <v>344</v>
      </c>
      <c r="G1380" t="str">
        <f>VLOOKUP(VLOOKUP(order_details[[#This Row],[ProductID]], products[], 4, FALSE), categories[], 2, FALSE)</f>
        <v>Dairy Products</v>
      </c>
      <c r="H1380">
        <f>VLOOKUP(order_details[[#This Row],[ProductID]], products[], 4, FALSE)</f>
        <v>4</v>
      </c>
      <c r="I1380" t="str">
        <f>VLOOKUP(order_details[[#This Row],[OrderID]], orders[[OrderID]:[ShipCountry]], 14, FALSE)</f>
        <v>Austria</v>
      </c>
      <c r="J1380" s="1">
        <f>_xlfn.XLOOKUP(order_details[[#This Row],[OrderID]], orders[OrderID], orders[Month])</f>
        <v>1</v>
      </c>
    </row>
    <row r="1381" spans="1:10" x14ac:dyDescent="0.35">
      <c r="A1381">
        <v>10772</v>
      </c>
      <c r="B1381">
        <v>29</v>
      </c>
      <c r="C1381">
        <v>123.79</v>
      </c>
      <c r="D1381">
        <v>18</v>
      </c>
      <c r="E1381">
        <v>0</v>
      </c>
      <c r="F1381">
        <v>2228.2200000000003</v>
      </c>
      <c r="G1381" t="str">
        <f>VLOOKUP(VLOOKUP(order_details[[#This Row],[ProductID]], products[], 4, FALSE), categories[], 2, FALSE)</f>
        <v>Meat/Poultry</v>
      </c>
      <c r="H1381">
        <f>VLOOKUP(order_details[[#This Row],[ProductID]], products[], 4, FALSE)</f>
        <v>6</v>
      </c>
      <c r="I1381" t="str">
        <f>VLOOKUP(order_details[[#This Row],[OrderID]], orders[[OrderID]:[ShipCountry]], 14, FALSE)</f>
        <v>Germany</v>
      </c>
      <c r="J1381" s="1">
        <f>_xlfn.XLOOKUP(order_details[[#This Row],[OrderID]], orders[OrderID], orders[Month])</f>
        <v>1</v>
      </c>
    </row>
    <row r="1382" spans="1:10" x14ac:dyDescent="0.35">
      <c r="A1382">
        <v>10772</v>
      </c>
      <c r="B1382">
        <v>59</v>
      </c>
      <c r="C1382">
        <v>55</v>
      </c>
      <c r="D1382">
        <v>25</v>
      </c>
      <c r="E1382">
        <v>0</v>
      </c>
      <c r="F1382">
        <v>1375</v>
      </c>
      <c r="G1382" t="str">
        <f>VLOOKUP(VLOOKUP(order_details[[#This Row],[ProductID]], products[], 4, FALSE), categories[], 2, FALSE)</f>
        <v>Dairy Products</v>
      </c>
      <c r="H1382">
        <f>VLOOKUP(order_details[[#This Row],[ProductID]], products[], 4, FALSE)</f>
        <v>4</v>
      </c>
      <c r="I1382" t="str">
        <f>VLOOKUP(order_details[[#This Row],[OrderID]], orders[[OrderID]:[ShipCountry]], 14, FALSE)</f>
        <v>Germany</v>
      </c>
      <c r="J1382" s="1">
        <f>_xlfn.XLOOKUP(order_details[[#This Row],[OrderID]], orders[OrderID], orders[Month])</f>
        <v>1</v>
      </c>
    </row>
    <row r="1383" spans="1:10" x14ac:dyDescent="0.35">
      <c r="A1383">
        <v>10773</v>
      </c>
      <c r="B1383">
        <v>17</v>
      </c>
      <c r="C1383">
        <v>39</v>
      </c>
      <c r="D1383">
        <v>33</v>
      </c>
      <c r="E1383">
        <v>0</v>
      </c>
      <c r="F1383">
        <v>1287</v>
      </c>
      <c r="G1383" t="str">
        <f>VLOOKUP(VLOOKUP(order_details[[#This Row],[ProductID]], products[], 4, FALSE), categories[], 2, FALSE)</f>
        <v>Meat/Poultry</v>
      </c>
      <c r="H1383">
        <f>VLOOKUP(order_details[[#This Row],[ProductID]], products[], 4, FALSE)</f>
        <v>6</v>
      </c>
      <c r="I1383" t="str">
        <f>VLOOKUP(order_details[[#This Row],[OrderID]], orders[[OrderID]:[ShipCountry]], 14, FALSE)</f>
        <v>Austria</v>
      </c>
      <c r="J1383" s="1">
        <f>_xlfn.XLOOKUP(order_details[[#This Row],[OrderID]], orders[OrderID], orders[Month])</f>
        <v>1</v>
      </c>
    </row>
    <row r="1384" spans="1:10" x14ac:dyDescent="0.35">
      <c r="A1384">
        <v>10773</v>
      </c>
      <c r="B1384">
        <v>31</v>
      </c>
      <c r="C1384">
        <v>12.5</v>
      </c>
      <c r="D1384">
        <v>70</v>
      </c>
      <c r="E1384">
        <v>0.2</v>
      </c>
      <c r="F1384">
        <v>700</v>
      </c>
      <c r="G1384" t="str">
        <f>VLOOKUP(VLOOKUP(order_details[[#This Row],[ProductID]], products[], 4, FALSE), categories[], 2, FALSE)</f>
        <v>Dairy Products</v>
      </c>
      <c r="H1384">
        <f>VLOOKUP(order_details[[#This Row],[ProductID]], products[], 4, FALSE)</f>
        <v>4</v>
      </c>
      <c r="I1384" t="str">
        <f>VLOOKUP(order_details[[#This Row],[OrderID]], orders[[OrderID]:[ShipCountry]], 14, FALSE)</f>
        <v>Austria</v>
      </c>
      <c r="J1384" s="1">
        <f>_xlfn.XLOOKUP(order_details[[#This Row],[OrderID]], orders[OrderID], orders[Month])</f>
        <v>1</v>
      </c>
    </row>
    <row r="1385" spans="1:10" x14ac:dyDescent="0.35">
      <c r="A1385">
        <v>10773</v>
      </c>
      <c r="B1385">
        <v>75</v>
      </c>
      <c r="C1385">
        <v>7.75</v>
      </c>
      <c r="D1385">
        <v>7</v>
      </c>
      <c r="E1385">
        <v>0.2</v>
      </c>
      <c r="F1385">
        <v>43.400000000000006</v>
      </c>
      <c r="G1385" t="str">
        <f>VLOOKUP(VLOOKUP(order_details[[#This Row],[ProductID]], products[], 4, FALSE), categories[], 2, FALSE)</f>
        <v>Beverages</v>
      </c>
      <c r="H1385">
        <f>VLOOKUP(order_details[[#This Row],[ProductID]], products[], 4, FALSE)</f>
        <v>1</v>
      </c>
      <c r="I1385" t="str">
        <f>VLOOKUP(order_details[[#This Row],[OrderID]], orders[[OrderID]:[ShipCountry]], 14, FALSE)</f>
        <v>Austria</v>
      </c>
      <c r="J1385" s="1">
        <f>_xlfn.XLOOKUP(order_details[[#This Row],[OrderID]], orders[OrderID], orders[Month])</f>
        <v>1</v>
      </c>
    </row>
    <row r="1386" spans="1:10" x14ac:dyDescent="0.35">
      <c r="A1386">
        <v>10774</v>
      </c>
      <c r="B1386">
        <v>31</v>
      </c>
      <c r="C1386">
        <v>12.5</v>
      </c>
      <c r="D1386">
        <v>2</v>
      </c>
      <c r="E1386">
        <v>0.25</v>
      </c>
      <c r="F1386">
        <v>18.75</v>
      </c>
      <c r="G1386" t="str">
        <f>VLOOKUP(VLOOKUP(order_details[[#This Row],[ProductID]], products[], 4, FALSE), categories[], 2, FALSE)</f>
        <v>Dairy Products</v>
      </c>
      <c r="H1386">
        <f>VLOOKUP(order_details[[#This Row],[ProductID]], products[], 4, FALSE)</f>
        <v>4</v>
      </c>
      <c r="I1386" t="str">
        <f>VLOOKUP(order_details[[#This Row],[OrderID]], orders[[OrderID]:[ShipCountry]], 14, FALSE)</f>
        <v>Sweden</v>
      </c>
      <c r="J1386" s="1">
        <f>_xlfn.XLOOKUP(order_details[[#This Row],[OrderID]], orders[OrderID], orders[Month])</f>
        <v>1</v>
      </c>
    </row>
    <row r="1387" spans="1:10" x14ac:dyDescent="0.35">
      <c r="A1387">
        <v>10774</v>
      </c>
      <c r="B1387">
        <v>66</v>
      </c>
      <c r="C1387">
        <v>17</v>
      </c>
      <c r="D1387">
        <v>50</v>
      </c>
      <c r="E1387">
        <v>0</v>
      </c>
      <c r="F1387">
        <v>850</v>
      </c>
      <c r="G1387" t="str">
        <f>VLOOKUP(VLOOKUP(order_details[[#This Row],[ProductID]], products[], 4, FALSE), categories[], 2, FALSE)</f>
        <v>Condiments</v>
      </c>
      <c r="H1387">
        <f>VLOOKUP(order_details[[#This Row],[ProductID]], products[], 4, FALSE)</f>
        <v>2</v>
      </c>
      <c r="I1387" t="str">
        <f>VLOOKUP(order_details[[#This Row],[OrderID]], orders[[OrderID]:[ShipCountry]], 14, FALSE)</f>
        <v>Sweden</v>
      </c>
      <c r="J1387" s="1">
        <f>_xlfn.XLOOKUP(order_details[[#This Row],[OrderID]], orders[OrderID], orders[Month])</f>
        <v>1</v>
      </c>
    </row>
    <row r="1388" spans="1:10" x14ac:dyDescent="0.35">
      <c r="A1388">
        <v>10775</v>
      </c>
      <c r="B1388">
        <v>10</v>
      </c>
      <c r="C1388">
        <v>31</v>
      </c>
      <c r="D1388">
        <v>6</v>
      </c>
      <c r="E1388">
        <v>0</v>
      </c>
      <c r="F1388">
        <v>186</v>
      </c>
      <c r="G1388" t="str">
        <f>VLOOKUP(VLOOKUP(order_details[[#This Row],[ProductID]], products[], 4, FALSE), categories[], 2, FALSE)</f>
        <v>Seafood</v>
      </c>
      <c r="H1388">
        <f>VLOOKUP(order_details[[#This Row],[ProductID]], products[], 4, FALSE)</f>
        <v>8</v>
      </c>
      <c r="I1388" t="str">
        <f>VLOOKUP(order_details[[#This Row],[OrderID]], orders[[OrderID]:[ShipCountry]], 14, FALSE)</f>
        <v>USA</v>
      </c>
      <c r="J1388" s="1">
        <f>_xlfn.XLOOKUP(order_details[[#This Row],[OrderID]], orders[OrderID], orders[Month])</f>
        <v>1</v>
      </c>
    </row>
    <row r="1389" spans="1:10" x14ac:dyDescent="0.35">
      <c r="A1389">
        <v>10775</v>
      </c>
      <c r="B1389">
        <v>67</v>
      </c>
      <c r="C1389">
        <v>14</v>
      </c>
      <c r="D1389">
        <v>3</v>
      </c>
      <c r="E1389">
        <v>0</v>
      </c>
      <c r="F1389">
        <v>42</v>
      </c>
      <c r="G1389" t="str">
        <f>VLOOKUP(VLOOKUP(order_details[[#This Row],[ProductID]], products[], 4, FALSE), categories[], 2, FALSE)</f>
        <v>Beverages</v>
      </c>
      <c r="H1389">
        <f>VLOOKUP(order_details[[#This Row],[ProductID]], products[], 4, FALSE)</f>
        <v>1</v>
      </c>
      <c r="I1389" t="str">
        <f>VLOOKUP(order_details[[#This Row],[OrderID]], orders[[OrderID]:[ShipCountry]], 14, FALSE)</f>
        <v>USA</v>
      </c>
      <c r="J1389" s="1">
        <f>_xlfn.XLOOKUP(order_details[[#This Row],[OrderID]], orders[OrderID], orders[Month])</f>
        <v>1</v>
      </c>
    </row>
    <row r="1390" spans="1:10" x14ac:dyDescent="0.35">
      <c r="A1390">
        <v>10776</v>
      </c>
      <c r="B1390">
        <v>31</v>
      </c>
      <c r="C1390">
        <v>12.5</v>
      </c>
      <c r="D1390">
        <v>16</v>
      </c>
      <c r="E1390">
        <v>0.05</v>
      </c>
      <c r="F1390">
        <v>190</v>
      </c>
      <c r="G1390" t="str">
        <f>VLOOKUP(VLOOKUP(order_details[[#This Row],[ProductID]], products[], 4, FALSE), categories[], 2, FALSE)</f>
        <v>Dairy Products</v>
      </c>
      <c r="H1390">
        <f>VLOOKUP(order_details[[#This Row],[ProductID]], products[], 4, FALSE)</f>
        <v>4</v>
      </c>
      <c r="I1390" t="str">
        <f>VLOOKUP(order_details[[#This Row],[OrderID]], orders[[OrderID]:[ShipCountry]], 14, FALSE)</f>
        <v>Austria</v>
      </c>
      <c r="J1390" s="1">
        <f>_xlfn.XLOOKUP(order_details[[#This Row],[OrderID]], orders[OrderID], orders[Month])</f>
        <v>1</v>
      </c>
    </row>
    <row r="1391" spans="1:10" x14ac:dyDescent="0.35">
      <c r="A1391">
        <v>10776</v>
      </c>
      <c r="B1391">
        <v>42</v>
      </c>
      <c r="C1391">
        <v>14</v>
      </c>
      <c r="D1391">
        <v>12</v>
      </c>
      <c r="E1391">
        <v>0.05</v>
      </c>
      <c r="F1391">
        <v>159.6</v>
      </c>
      <c r="G1391" t="str">
        <f>VLOOKUP(VLOOKUP(order_details[[#This Row],[ProductID]], products[], 4, FALSE), categories[], 2, FALSE)</f>
        <v>Grains/Cereals</v>
      </c>
      <c r="H1391">
        <f>VLOOKUP(order_details[[#This Row],[ProductID]], products[], 4, FALSE)</f>
        <v>5</v>
      </c>
      <c r="I1391" t="str">
        <f>VLOOKUP(order_details[[#This Row],[OrderID]], orders[[OrderID]:[ShipCountry]], 14, FALSE)</f>
        <v>Austria</v>
      </c>
      <c r="J1391" s="1">
        <f>_xlfn.XLOOKUP(order_details[[#This Row],[OrderID]], orders[OrderID], orders[Month])</f>
        <v>1</v>
      </c>
    </row>
    <row r="1392" spans="1:10" x14ac:dyDescent="0.35">
      <c r="A1392">
        <v>10776</v>
      </c>
      <c r="B1392">
        <v>45</v>
      </c>
      <c r="C1392">
        <v>9.5</v>
      </c>
      <c r="D1392">
        <v>27</v>
      </c>
      <c r="E1392">
        <v>0.05</v>
      </c>
      <c r="F1392">
        <v>243.67499999999998</v>
      </c>
      <c r="G1392" t="str">
        <f>VLOOKUP(VLOOKUP(order_details[[#This Row],[ProductID]], products[], 4, FALSE), categories[], 2, FALSE)</f>
        <v>Seafood</v>
      </c>
      <c r="H1392">
        <f>VLOOKUP(order_details[[#This Row],[ProductID]], products[], 4, FALSE)</f>
        <v>8</v>
      </c>
      <c r="I1392" t="str">
        <f>VLOOKUP(order_details[[#This Row],[OrderID]], orders[[OrderID]:[ShipCountry]], 14, FALSE)</f>
        <v>Austria</v>
      </c>
      <c r="J1392" s="1">
        <f>_xlfn.XLOOKUP(order_details[[#This Row],[OrderID]], orders[OrderID], orders[Month])</f>
        <v>1</v>
      </c>
    </row>
    <row r="1393" spans="1:10" x14ac:dyDescent="0.35">
      <c r="A1393">
        <v>10776</v>
      </c>
      <c r="B1393">
        <v>51</v>
      </c>
      <c r="C1393">
        <v>53</v>
      </c>
      <c r="D1393">
        <v>120</v>
      </c>
      <c r="E1393">
        <v>0.05</v>
      </c>
      <c r="F1393">
        <v>6042</v>
      </c>
      <c r="G1393" t="str">
        <f>VLOOKUP(VLOOKUP(order_details[[#This Row],[ProductID]], products[], 4, FALSE), categories[], 2, FALSE)</f>
        <v>Produce</v>
      </c>
      <c r="H1393">
        <f>VLOOKUP(order_details[[#This Row],[ProductID]], products[], 4, FALSE)</f>
        <v>7</v>
      </c>
      <c r="I1393" t="str">
        <f>VLOOKUP(order_details[[#This Row],[OrderID]], orders[[OrderID]:[ShipCountry]], 14, FALSE)</f>
        <v>Austria</v>
      </c>
      <c r="J1393" s="1">
        <f>_xlfn.XLOOKUP(order_details[[#This Row],[OrderID]], orders[OrderID], orders[Month])</f>
        <v>1</v>
      </c>
    </row>
    <row r="1394" spans="1:10" x14ac:dyDescent="0.35">
      <c r="A1394">
        <v>10777</v>
      </c>
      <c r="B1394">
        <v>42</v>
      </c>
      <c r="C1394">
        <v>14</v>
      </c>
      <c r="D1394">
        <v>20</v>
      </c>
      <c r="E1394">
        <v>0.2</v>
      </c>
      <c r="F1394">
        <v>224</v>
      </c>
      <c r="G1394" t="str">
        <f>VLOOKUP(VLOOKUP(order_details[[#This Row],[ProductID]], products[], 4, FALSE), categories[], 2, FALSE)</f>
        <v>Grains/Cereals</v>
      </c>
      <c r="H1394">
        <f>VLOOKUP(order_details[[#This Row],[ProductID]], products[], 4, FALSE)</f>
        <v>5</v>
      </c>
      <c r="I1394" t="str">
        <f>VLOOKUP(order_details[[#This Row],[OrderID]], orders[[OrderID]:[ShipCountry]], 14, FALSE)</f>
        <v>Brazil</v>
      </c>
      <c r="J1394" s="1">
        <f>_xlfn.XLOOKUP(order_details[[#This Row],[OrderID]], orders[OrderID], orders[Month])</f>
        <v>1</v>
      </c>
    </row>
    <row r="1395" spans="1:10" x14ac:dyDescent="0.35">
      <c r="A1395">
        <v>10778</v>
      </c>
      <c r="B1395">
        <v>41</v>
      </c>
      <c r="C1395">
        <v>9.65</v>
      </c>
      <c r="D1395">
        <v>10</v>
      </c>
      <c r="E1395">
        <v>0</v>
      </c>
      <c r="F1395">
        <v>96.5</v>
      </c>
      <c r="G1395" t="str">
        <f>VLOOKUP(VLOOKUP(order_details[[#This Row],[ProductID]], products[], 4, FALSE), categories[], 2, FALSE)</f>
        <v>Seafood</v>
      </c>
      <c r="H1395">
        <f>VLOOKUP(order_details[[#This Row],[ProductID]], products[], 4, FALSE)</f>
        <v>8</v>
      </c>
      <c r="I1395" t="str">
        <f>VLOOKUP(order_details[[#This Row],[OrderID]], orders[[OrderID]:[ShipCountry]], 14, FALSE)</f>
        <v>Sweden</v>
      </c>
      <c r="J1395" s="1">
        <f>_xlfn.XLOOKUP(order_details[[#This Row],[OrderID]], orders[OrderID], orders[Month])</f>
        <v>1</v>
      </c>
    </row>
    <row r="1396" spans="1:10" x14ac:dyDescent="0.35">
      <c r="A1396">
        <v>10779</v>
      </c>
      <c r="B1396">
        <v>16</v>
      </c>
      <c r="C1396">
        <v>17.45</v>
      </c>
      <c r="D1396">
        <v>20</v>
      </c>
      <c r="E1396">
        <v>0</v>
      </c>
      <c r="F1396">
        <v>349</v>
      </c>
      <c r="G1396" t="str">
        <f>VLOOKUP(VLOOKUP(order_details[[#This Row],[ProductID]], products[], 4, FALSE), categories[], 2, FALSE)</f>
        <v>Confections</v>
      </c>
      <c r="H1396">
        <f>VLOOKUP(order_details[[#This Row],[ProductID]], products[], 4, FALSE)</f>
        <v>3</v>
      </c>
      <c r="I1396" t="str">
        <f>VLOOKUP(order_details[[#This Row],[OrderID]], orders[[OrderID]:[ShipCountry]], 14, FALSE)</f>
        <v>Germany</v>
      </c>
      <c r="J1396" s="1">
        <f>_xlfn.XLOOKUP(order_details[[#This Row],[OrderID]], orders[OrderID], orders[Month])</f>
        <v>1</v>
      </c>
    </row>
    <row r="1397" spans="1:10" x14ac:dyDescent="0.35">
      <c r="A1397">
        <v>10779</v>
      </c>
      <c r="B1397">
        <v>62</v>
      </c>
      <c r="C1397">
        <v>49.3</v>
      </c>
      <c r="D1397">
        <v>20</v>
      </c>
      <c r="E1397">
        <v>0</v>
      </c>
      <c r="F1397">
        <v>986</v>
      </c>
      <c r="G1397" t="str">
        <f>VLOOKUP(VLOOKUP(order_details[[#This Row],[ProductID]], products[], 4, FALSE), categories[], 2, FALSE)</f>
        <v>Confections</v>
      </c>
      <c r="H1397">
        <f>VLOOKUP(order_details[[#This Row],[ProductID]], products[], 4, FALSE)</f>
        <v>3</v>
      </c>
      <c r="I1397" t="str">
        <f>VLOOKUP(order_details[[#This Row],[OrderID]], orders[[OrderID]:[ShipCountry]], 14, FALSE)</f>
        <v>Germany</v>
      </c>
      <c r="J1397" s="1">
        <f>_xlfn.XLOOKUP(order_details[[#This Row],[OrderID]], orders[OrderID], orders[Month])</f>
        <v>1</v>
      </c>
    </row>
    <row r="1398" spans="1:10" x14ac:dyDescent="0.35">
      <c r="A1398">
        <v>10780</v>
      </c>
      <c r="B1398">
        <v>70</v>
      </c>
      <c r="C1398">
        <v>15</v>
      </c>
      <c r="D1398">
        <v>35</v>
      </c>
      <c r="E1398">
        <v>0</v>
      </c>
      <c r="F1398">
        <v>525</v>
      </c>
      <c r="G1398" t="str">
        <f>VLOOKUP(VLOOKUP(order_details[[#This Row],[ProductID]], products[], 4, FALSE), categories[], 2, FALSE)</f>
        <v>Beverages</v>
      </c>
      <c r="H1398">
        <f>VLOOKUP(order_details[[#This Row],[ProductID]], products[], 4, FALSE)</f>
        <v>1</v>
      </c>
      <c r="I1398" t="str">
        <f>VLOOKUP(order_details[[#This Row],[OrderID]], orders[[OrderID]:[ShipCountry]], 14, FALSE)</f>
        <v>Venezuela</v>
      </c>
      <c r="J1398" s="1">
        <f>_xlfn.XLOOKUP(order_details[[#This Row],[OrderID]], orders[OrderID], orders[Month])</f>
        <v>1</v>
      </c>
    </row>
    <row r="1399" spans="1:10" x14ac:dyDescent="0.35">
      <c r="A1399">
        <v>10780</v>
      </c>
      <c r="B1399">
        <v>77</v>
      </c>
      <c r="C1399">
        <v>13</v>
      </c>
      <c r="D1399">
        <v>15</v>
      </c>
      <c r="E1399">
        <v>0</v>
      </c>
      <c r="F1399">
        <v>195</v>
      </c>
      <c r="G1399" t="str">
        <f>VLOOKUP(VLOOKUP(order_details[[#This Row],[ProductID]], products[], 4, FALSE), categories[], 2, FALSE)</f>
        <v>Condiments</v>
      </c>
      <c r="H1399">
        <f>VLOOKUP(order_details[[#This Row],[ProductID]], products[], 4, FALSE)</f>
        <v>2</v>
      </c>
      <c r="I1399" t="str">
        <f>VLOOKUP(order_details[[#This Row],[OrderID]], orders[[OrderID]:[ShipCountry]], 14, FALSE)</f>
        <v>Venezuela</v>
      </c>
      <c r="J1399" s="1">
        <f>_xlfn.XLOOKUP(order_details[[#This Row],[OrderID]], orders[OrderID], orders[Month])</f>
        <v>1</v>
      </c>
    </row>
    <row r="1400" spans="1:10" x14ac:dyDescent="0.35">
      <c r="A1400">
        <v>10781</v>
      </c>
      <c r="B1400">
        <v>54</v>
      </c>
      <c r="C1400">
        <v>7.45</v>
      </c>
      <c r="D1400">
        <v>3</v>
      </c>
      <c r="E1400">
        <v>0.2</v>
      </c>
      <c r="F1400">
        <v>17.880000000000003</v>
      </c>
      <c r="G1400" t="str">
        <f>VLOOKUP(VLOOKUP(order_details[[#This Row],[ProductID]], products[], 4, FALSE), categories[], 2, FALSE)</f>
        <v>Meat/Poultry</v>
      </c>
      <c r="H1400">
        <f>VLOOKUP(order_details[[#This Row],[ProductID]], products[], 4, FALSE)</f>
        <v>6</v>
      </c>
      <c r="I1400" t="str">
        <f>VLOOKUP(order_details[[#This Row],[OrderID]], orders[[OrderID]:[ShipCountry]], 14, FALSE)</f>
        <v>Finland</v>
      </c>
      <c r="J1400" s="1">
        <f>_xlfn.XLOOKUP(order_details[[#This Row],[OrderID]], orders[OrderID], orders[Month])</f>
        <v>1</v>
      </c>
    </row>
    <row r="1401" spans="1:10" x14ac:dyDescent="0.35">
      <c r="A1401">
        <v>10781</v>
      </c>
      <c r="B1401">
        <v>56</v>
      </c>
      <c r="C1401">
        <v>38</v>
      </c>
      <c r="D1401">
        <v>20</v>
      </c>
      <c r="E1401">
        <v>0.2</v>
      </c>
      <c r="F1401">
        <v>608</v>
      </c>
      <c r="G1401" t="str">
        <f>VLOOKUP(VLOOKUP(order_details[[#This Row],[ProductID]], products[], 4, FALSE), categories[], 2, FALSE)</f>
        <v>Grains/Cereals</v>
      </c>
      <c r="H1401">
        <f>VLOOKUP(order_details[[#This Row],[ProductID]], products[], 4, FALSE)</f>
        <v>5</v>
      </c>
      <c r="I1401" t="str">
        <f>VLOOKUP(order_details[[#This Row],[OrderID]], orders[[OrderID]:[ShipCountry]], 14, FALSE)</f>
        <v>Finland</v>
      </c>
      <c r="J1401" s="1">
        <f>_xlfn.XLOOKUP(order_details[[#This Row],[OrderID]], orders[OrderID], orders[Month])</f>
        <v>1</v>
      </c>
    </row>
    <row r="1402" spans="1:10" x14ac:dyDescent="0.35">
      <c r="A1402">
        <v>10781</v>
      </c>
      <c r="B1402">
        <v>74</v>
      </c>
      <c r="C1402">
        <v>10</v>
      </c>
      <c r="D1402">
        <v>35</v>
      </c>
      <c r="E1402">
        <v>0</v>
      </c>
      <c r="F1402">
        <v>350</v>
      </c>
      <c r="G1402" t="str">
        <f>VLOOKUP(VLOOKUP(order_details[[#This Row],[ProductID]], products[], 4, FALSE), categories[], 2, FALSE)</f>
        <v>Produce</v>
      </c>
      <c r="H1402">
        <f>VLOOKUP(order_details[[#This Row],[ProductID]], products[], 4, FALSE)</f>
        <v>7</v>
      </c>
      <c r="I1402" t="str">
        <f>VLOOKUP(order_details[[#This Row],[OrderID]], orders[[OrderID]:[ShipCountry]], 14, FALSE)</f>
        <v>Finland</v>
      </c>
      <c r="J1402" s="1">
        <f>_xlfn.XLOOKUP(order_details[[#This Row],[OrderID]], orders[OrderID], orders[Month])</f>
        <v>1</v>
      </c>
    </row>
    <row r="1403" spans="1:10" x14ac:dyDescent="0.35">
      <c r="A1403">
        <v>10782</v>
      </c>
      <c r="B1403">
        <v>31</v>
      </c>
      <c r="C1403">
        <v>12.5</v>
      </c>
      <c r="D1403">
        <v>1</v>
      </c>
      <c r="E1403">
        <v>0</v>
      </c>
      <c r="F1403">
        <v>12.5</v>
      </c>
      <c r="G1403" t="str">
        <f>VLOOKUP(VLOOKUP(order_details[[#This Row],[ProductID]], products[], 4, FALSE), categories[], 2, FALSE)</f>
        <v>Dairy Products</v>
      </c>
      <c r="H1403">
        <f>VLOOKUP(order_details[[#This Row],[ProductID]], products[], 4, FALSE)</f>
        <v>4</v>
      </c>
      <c r="I1403" t="str">
        <f>VLOOKUP(order_details[[#This Row],[OrderID]], orders[[OrderID]:[ShipCountry]], 14, FALSE)</f>
        <v>Argentina</v>
      </c>
      <c r="J1403" s="1">
        <f>_xlfn.XLOOKUP(order_details[[#This Row],[OrderID]], orders[OrderID], orders[Month])</f>
        <v>1</v>
      </c>
    </row>
    <row r="1404" spans="1:10" x14ac:dyDescent="0.35">
      <c r="A1404">
        <v>10783</v>
      </c>
      <c r="B1404">
        <v>31</v>
      </c>
      <c r="C1404">
        <v>12.5</v>
      </c>
      <c r="D1404">
        <v>10</v>
      </c>
      <c r="E1404">
        <v>0</v>
      </c>
      <c r="F1404">
        <v>125</v>
      </c>
      <c r="G1404" t="str">
        <f>VLOOKUP(VLOOKUP(order_details[[#This Row],[ProductID]], products[], 4, FALSE), categories[], 2, FALSE)</f>
        <v>Dairy Products</v>
      </c>
      <c r="H1404">
        <f>VLOOKUP(order_details[[#This Row],[ProductID]], products[], 4, FALSE)</f>
        <v>4</v>
      </c>
      <c r="I1404" t="str">
        <f>VLOOKUP(order_details[[#This Row],[OrderID]], orders[[OrderID]:[ShipCountry]], 14, FALSE)</f>
        <v>Brazil</v>
      </c>
      <c r="J1404" s="1">
        <f>_xlfn.XLOOKUP(order_details[[#This Row],[OrderID]], orders[OrderID], orders[Month])</f>
        <v>1</v>
      </c>
    </row>
    <row r="1405" spans="1:10" x14ac:dyDescent="0.35">
      <c r="A1405">
        <v>10783</v>
      </c>
      <c r="B1405">
        <v>38</v>
      </c>
      <c r="C1405">
        <v>263.5</v>
      </c>
      <c r="D1405">
        <v>5</v>
      </c>
      <c r="E1405">
        <v>0</v>
      </c>
      <c r="F1405">
        <v>1317.5</v>
      </c>
      <c r="G1405" t="str">
        <f>VLOOKUP(VLOOKUP(order_details[[#This Row],[ProductID]], products[], 4, FALSE), categories[], 2, FALSE)</f>
        <v>Beverages</v>
      </c>
      <c r="H1405">
        <f>VLOOKUP(order_details[[#This Row],[ProductID]], products[], 4, FALSE)</f>
        <v>1</v>
      </c>
      <c r="I1405" t="str">
        <f>VLOOKUP(order_details[[#This Row],[OrderID]], orders[[OrderID]:[ShipCountry]], 14, FALSE)</f>
        <v>Brazil</v>
      </c>
      <c r="J1405" s="1">
        <f>_xlfn.XLOOKUP(order_details[[#This Row],[OrderID]], orders[OrderID], orders[Month])</f>
        <v>1</v>
      </c>
    </row>
    <row r="1406" spans="1:10" x14ac:dyDescent="0.35">
      <c r="A1406">
        <v>10784</v>
      </c>
      <c r="B1406">
        <v>36</v>
      </c>
      <c r="C1406">
        <v>19</v>
      </c>
      <c r="D1406">
        <v>30</v>
      </c>
      <c r="E1406">
        <v>0</v>
      </c>
      <c r="F1406">
        <v>570</v>
      </c>
      <c r="G1406" t="str">
        <f>VLOOKUP(VLOOKUP(order_details[[#This Row],[ProductID]], products[], 4, FALSE), categories[], 2, FALSE)</f>
        <v>Seafood</v>
      </c>
      <c r="H1406">
        <f>VLOOKUP(order_details[[#This Row],[ProductID]], products[], 4, FALSE)</f>
        <v>8</v>
      </c>
      <c r="I1406" t="str">
        <f>VLOOKUP(order_details[[#This Row],[OrderID]], orders[[OrderID]:[ShipCountry]], 14, FALSE)</f>
        <v>Italy</v>
      </c>
      <c r="J1406" s="1">
        <f>_xlfn.XLOOKUP(order_details[[#This Row],[OrderID]], orders[OrderID], orders[Month])</f>
        <v>1</v>
      </c>
    </row>
    <row r="1407" spans="1:10" x14ac:dyDescent="0.35">
      <c r="A1407">
        <v>10784</v>
      </c>
      <c r="B1407">
        <v>39</v>
      </c>
      <c r="C1407">
        <v>18</v>
      </c>
      <c r="D1407">
        <v>2</v>
      </c>
      <c r="E1407">
        <v>0.15</v>
      </c>
      <c r="F1407">
        <v>30.599999999999998</v>
      </c>
      <c r="G1407" t="str">
        <f>VLOOKUP(VLOOKUP(order_details[[#This Row],[ProductID]], products[], 4, FALSE), categories[], 2, FALSE)</f>
        <v>Beverages</v>
      </c>
      <c r="H1407">
        <f>VLOOKUP(order_details[[#This Row],[ProductID]], products[], 4, FALSE)</f>
        <v>1</v>
      </c>
      <c r="I1407" t="str">
        <f>VLOOKUP(order_details[[#This Row],[OrderID]], orders[[OrderID]:[ShipCountry]], 14, FALSE)</f>
        <v>Italy</v>
      </c>
      <c r="J1407" s="1">
        <f>_xlfn.XLOOKUP(order_details[[#This Row],[OrderID]], orders[OrderID], orders[Month])</f>
        <v>1</v>
      </c>
    </row>
    <row r="1408" spans="1:10" x14ac:dyDescent="0.35">
      <c r="A1408">
        <v>10784</v>
      </c>
      <c r="B1408">
        <v>72</v>
      </c>
      <c r="C1408">
        <v>34.799999999999997</v>
      </c>
      <c r="D1408">
        <v>30</v>
      </c>
      <c r="E1408">
        <v>0.15</v>
      </c>
      <c r="F1408">
        <v>887.4</v>
      </c>
      <c r="G1408" t="str">
        <f>VLOOKUP(VLOOKUP(order_details[[#This Row],[ProductID]], products[], 4, FALSE), categories[], 2, FALSE)</f>
        <v>Dairy Products</v>
      </c>
      <c r="H1408">
        <f>VLOOKUP(order_details[[#This Row],[ProductID]], products[], 4, FALSE)</f>
        <v>4</v>
      </c>
      <c r="I1408" t="str">
        <f>VLOOKUP(order_details[[#This Row],[OrderID]], orders[[OrderID]:[ShipCountry]], 14, FALSE)</f>
        <v>Italy</v>
      </c>
      <c r="J1408" s="1">
        <f>_xlfn.XLOOKUP(order_details[[#This Row],[OrderID]], orders[OrderID], orders[Month])</f>
        <v>1</v>
      </c>
    </row>
    <row r="1409" spans="1:10" x14ac:dyDescent="0.35">
      <c r="A1409">
        <v>10785</v>
      </c>
      <c r="B1409">
        <v>10</v>
      </c>
      <c r="C1409">
        <v>31</v>
      </c>
      <c r="D1409">
        <v>10</v>
      </c>
      <c r="E1409">
        <v>0</v>
      </c>
      <c r="F1409">
        <v>310</v>
      </c>
      <c r="G1409" t="str">
        <f>VLOOKUP(VLOOKUP(order_details[[#This Row],[ProductID]], products[], 4, FALSE), categories[], 2, FALSE)</f>
        <v>Seafood</v>
      </c>
      <c r="H1409">
        <f>VLOOKUP(order_details[[#This Row],[ProductID]], products[], 4, FALSE)</f>
        <v>8</v>
      </c>
      <c r="I1409" t="str">
        <f>VLOOKUP(order_details[[#This Row],[OrderID]], orders[[OrderID]:[ShipCountry]], 14, FALSE)</f>
        <v>Venezuela</v>
      </c>
      <c r="J1409" s="1">
        <f>_xlfn.XLOOKUP(order_details[[#This Row],[OrderID]], orders[OrderID], orders[Month])</f>
        <v>1</v>
      </c>
    </row>
    <row r="1410" spans="1:10" x14ac:dyDescent="0.35">
      <c r="A1410">
        <v>10785</v>
      </c>
      <c r="B1410">
        <v>75</v>
      </c>
      <c r="C1410">
        <v>7.75</v>
      </c>
      <c r="D1410">
        <v>10</v>
      </c>
      <c r="E1410">
        <v>0</v>
      </c>
      <c r="F1410">
        <v>77.5</v>
      </c>
      <c r="G1410" t="str">
        <f>VLOOKUP(VLOOKUP(order_details[[#This Row],[ProductID]], products[], 4, FALSE), categories[], 2, FALSE)</f>
        <v>Beverages</v>
      </c>
      <c r="H1410">
        <f>VLOOKUP(order_details[[#This Row],[ProductID]], products[], 4, FALSE)</f>
        <v>1</v>
      </c>
      <c r="I1410" t="str">
        <f>VLOOKUP(order_details[[#This Row],[OrderID]], orders[[OrderID]:[ShipCountry]], 14, FALSE)</f>
        <v>Venezuela</v>
      </c>
      <c r="J1410" s="1">
        <f>_xlfn.XLOOKUP(order_details[[#This Row],[OrderID]], orders[OrderID], orders[Month])</f>
        <v>1</v>
      </c>
    </row>
    <row r="1411" spans="1:10" x14ac:dyDescent="0.35">
      <c r="A1411">
        <v>10786</v>
      </c>
      <c r="B1411">
        <v>8</v>
      </c>
      <c r="C1411">
        <v>40</v>
      </c>
      <c r="D1411">
        <v>30</v>
      </c>
      <c r="E1411">
        <v>0.2</v>
      </c>
      <c r="F1411">
        <v>960</v>
      </c>
      <c r="G1411" t="str">
        <f>VLOOKUP(VLOOKUP(order_details[[#This Row],[ProductID]], products[], 4, FALSE), categories[], 2, FALSE)</f>
        <v>Condiments</v>
      </c>
      <c r="H1411">
        <f>VLOOKUP(order_details[[#This Row],[ProductID]], products[], 4, FALSE)</f>
        <v>2</v>
      </c>
      <c r="I1411" t="str">
        <f>VLOOKUP(order_details[[#This Row],[OrderID]], orders[[OrderID]:[ShipCountry]], 14, FALSE)</f>
        <v>Brazil</v>
      </c>
      <c r="J1411" s="1">
        <f>_xlfn.XLOOKUP(order_details[[#This Row],[OrderID]], orders[OrderID], orders[Month])</f>
        <v>1</v>
      </c>
    </row>
    <row r="1412" spans="1:10" x14ac:dyDescent="0.35">
      <c r="A1412">
        <v>10786</v>
      </c>
      <c r="B1412">
        <v>30</v>
      </c>
      <c r="C1412">
        <v>25.89</v>
      </c>
      <c r="D1412">
        <v>15</v>
      </c>
      <c r="E1412">
        <v>0.2</v>
      </c>
      <c r="F1412">
        <v>310.68000000000006</v>
      </c>
      <c r="G1412" t="str">
        <f>VLOOKUP(VLOOKUP(order_details[[#This Row],[ProductID]], products[], 4, FALSE), categories[], 2, FALSE)</f>
        <v>Seafood</v>
      </c>
      <c r="H1412">
        <f>VLOOKUP(order_details[[#This Row],[ProductID]], products[], 4, FALSE)</f>
        <v>8</v>
      </c>
      <c r="I1412" t="str">
        <f>VLOOKUP(order_details[[#This Row],[OrderID]], orders[[OrderID]:[ShipCountry]], 14, FALSE)</f>
        <v>Brazil</v>
      </c>
      <c r="J1412" s="1">
        <f>_xlfn.XLOOKUP(order_details[[#This Row],[OrderID]], orders[OrderID], orders[Month])</f>
        <v>1</v>
      </c>
    </row>
    <row r="1413" spans="1:10" x14ac:dyDescent="0.35">
      <c r="A1413">
        <v>10786</v>
      </c>
      <c r="B1413">
        <v>75</v>
      </c>
      <c r="C1413">
        <v>7.75</v>
      </c>
      <c r="D1413">
        <v>42</v>
      </c>
      <c r="E1413">
        <v>0.2</v>
      </c>
      <c r="F1413">
        <v>260.40000000000003</v>
      </c>
      <c r="G1413" t="str">
        <f>VLOOKUP(VLOOKUP(order_details[[#This Row],[ProductID]], products[], 4, FALSE), categories[], 2, FALSE)</f>
        <v>Beverages</v>
      </c>
      <c r="H1413">
        <f>VLOOKUP(order_details[[#This Row],[ProductID]], products[], 4, FALSE)</f>
        <v>1</v>
      </c>
      <c r="I1413" t="str">
        <f>VLOOKUP(order_details[[#This Row],[OrderID]], orders[[OrderID]:[ShipCountry]], 14, FALSE)</f>
        <v>Brazil</v>
      </c>
      <c r="J1413" s="1">
        <f>_xlfn.XLOOKUP(order_details[[#This Row],[OrderID]], orders[OrderID], orders[Month])</f>
        <v>1</v>
      </c>
    </row>
    <row r="1414" spans="1:10" x14ac:dyDescent="0.35">
      <c r="A1414">
        <v>10787</v>
      </c>
      <c r="B1414">
        <v>2</v>
      </c>
      <c r="C1414">
        <v>19</v>
      </c>
      <c r="D1414">
        <v>15</v>
      </c>
      <c r="E1414">
        <v>0.05</v>
      </c>
      <c r="F1414">
        <v>270.75</v>
      </c>
      <c r="G1414" t="str">
        <f>VLOOKUP(VLOOKUP(order_details[[#This Row],[ProductID]], products[], 4, FALSE), categories[], 2, FALSE)</f>
        <v>Beverages</v>
      </c>
      <c r="H1414">
        <f>VLOOKUP(order_details[[#This Row],[ProductID]], products[], 4, FALSE)</f>
        <v>1</v>
      </c>
      <c r="I1414" t="str">
        <f>VLOOKUP(order_details[[#This Row],[OrderID]], orders[[OrderID]:[ShipCountry]], 14, FALSE)</f>
        <v>France</v>
      </c>
      <c r="J1414" s="1">
        <f>_xlfn.XLOOKUP(order_details[[#This Row],[OrderID]], orders[OrderID], orders[Month])</f>
        <v>1</v>
      </c>
    </row>
    <row r="1415" spans="1:10" x14ac:dyDescent="0.35">
      <c r="A1415">
        <v>10787</v>
      </c>
      <c r="B1415">
        <v>29</v>
      </c>
      <c r="C1415">
        <v>123.79</v>
      </c>
      <c r="D1415">
        <v>20</v>
      </c>
      <c r="E1415">
        <v>0.05</v>
      </c>
      <c r="F1415">
        <v>2352.0100000000002</v>
      </c>
      <c r="G1415" t="str">
        <f>VLOOKUP(VLOOKUP(order_details[[#This Row],[ProductID]], products[], 4, FALSE), categories[], 2, FALSE)</f>
        <v>Meat/Poultry</v>
      </c>
      <c r="H1415">
        <f>VLOOKUP(order_details[[#This Row],[ProductID]], products[], 4, FALSE)</f>
        <v>6</v>
      </c>
      <c r="I1415" t="str">
        <f>VLOOKUP(order_details[[#This Row],[OrderID]], orders[[OrderID]:[ShipCountry]], 14, FALSE)</f>
        <v>France</v>
      </c>
      <c r="J1415" s="1">
        <f>_xlfn.XLOOKUP(order_details[[#This Row],[OrderID]], orders[OrderID], orders[Month])</f>
        <v>1</v>
      </c>
    </row>
    <row r="1416" spans="1:10" x14ac:dyDescent="0.35">
      <c r="A1416">
        <v>10788</v>
      </c>
      <c r="B1416">
        <v>19</v>
      </c>
      <c r="C1416">
        <v>9.1999999999999993</v>
      </c>
      <c r="D1416">
        <v>50</v>
      </c>
      <c r="E1416">
        <v>0.05</v>
      </c>
      <c r="F1416">
        <v>436.99999999999994</v>
      </c>
      <c r="G1416" t="str">
        <f>VLOOKUP(VLOOKUP(order_details[[#This Row],[ProductID]], products[], 4, FALSE), categories[], 2, FALSE)</f>
        <v>Confections</v>
      </c>
      <c r="H1416">
        <f>VLOOKUP(order_details[[#This Row],[ProductID]], products[], 4, FALSE)</f>
        <v>3</v>
      </c>
      <c r="I1416" t="str">
        <f>VLOOKUP(order_details[[#This Row],[OrderID]], orders[[OrderID]:[ShipCountry]], 14, FALSE)</f>
        <v>Germany</v>
      </c>
      <c r="J1416" s="1">
        <f>_xlfn.XLOOKUP(order_details[[#This Row],[OrderID]], orders[OrderID], orders[Month])</f>
        <v>1</v>
      </c>
    </row>
    <row r="1417" spans="1:10" x14ac:dyDescent="0.35">
      <c r="A1417">
        <v>10788</v>
      </c>
      <c r="B1417">
        <v>75</v>
      </c>
      <c r="C1417">
        <v>7.75</v>
      </c>
      <c r="D1417">
        <v>40</v>
      </c>
      <c r="E1417">
        <v>0.05</v>
      </c>
      <c r="F1417">
        <v>294.5</v>
      </c>
      <c r="G1417" t="str">
        <f>VLOOKUP(VLOOKUP(order_details[[#This Row],[ProductID]], products[], 4, FALSE), categories[], 2, FALSE)</f>
        <v>Beverages</v>
      </c>
      <c r="H1417">
        <f>VLOOKUP(order_details[[#This Row],[ProductID]], products[], 4, FALSE)</f>
        <v>1</v>
      </c>
      <c r="I1417" t="str">
        <f>VLOOKUP(order_details[[#This Row],[OrderID]], orders[[OrderID]:[ShipCountry]], 14, FALSE)</f>
        <v>Germany</v>
      </c>
      <c r="J1417" s="1">
        <f>_xlfn.XLOOKUP(order_details[[#This Row],[OrderID]], orders[OrderID], orders[Month])</f>
        <v>1</v>
      </c>
    </row>
    <row r="1418" spans="1:10" x14ac:dyDescent="0.35">
      <c r="A1418">
        <v>10789</v>
      </c>
      <c r="B1418">
        <v>18</v>
      </c>
      <c r="C1418">
        <v>62.5</v>
      </c>
      <c r="D1418">
        <v>30</v>
      </c>
      <c r="E1418">
        <v>0</v>
      </c>
      <c r="F1418">
        <v>1875</v>
      </c>
      <c r="G1418" t="str">
        <f>VLOOKUP(VLOOKUP(order_details[[#This Row],[ProductID]], products[], 4, FALSE), categories[], 2, FALSE)</f>
        <v>Seafood</v>
      </c>
      <c r="H1418">
        <f>VLOOKUP(order_details[[#This Row],[ProductID]], products[], 4, FALSE)</f>
        <v>8</v>
      </c>
      <c r="I1418" t="str">
        <f>VLOOKUP(order_details[[#This Row],[OrderID]], orders[[OrderID]:[ShipCountry]], 14, FALSE)</f>
        <v>France</v>
      </c>
      <c r="J1418" s="1">
        <f>_xlfn.XLOOKUP(order_details[[#This Row],[OrderID]], orders[OrderID], orders[Month])</f>
        <v>1</v>
      </c>
    </row>
    <row r="1419" spans="1:10" x14ac:dyDescent="0.35">
      <c r="A1419">
        <v>10789</v>
      </c>
      <c r="B1419">
        <v>35</v>
      </c>
      <c r="C1419">
        <v>18</v>
      </c>
      <c r="D1419">
        <v>15</v>
      </c>
      <c r="E1419">
        <v>0</v>
      </c>
      <c r="F1419">
        <v>270</v>
      </c>
      <c r="G1419" t="str">
        <f>VLOOKUP(VLOOKUP(order_details[[#This Row],[ProductID]], products[], 4, FALSE), categories[], 2, FALSE)</f>
        <v>Beverages</v>
      </c>
      <c r="H1419">
        <f>VLOOKUP(order_details[[#This Row],[ProductID]], products[], 4, FALSE)</f>
        <v>1</v>
      </c>
      <c r="I1419" t="str">
        <f>VLOOKUP(order_details[[#This Row],[OrderID]], orders[[OrderID]:[ShipCountry]], 14, FALSE)</f>
        <v>France</v>
      </c>
      <c r="J1419" s="1">
        <f>_xlfn.XLOOKUP(order_details[[#This Row],[OrderID]], orders[OrderID], orders[Month])</f>
        <v>1</v>
      </c>
    </row>
    <row r="1420" spans="1:10" x14ac:dyDescent="0.35">
      <c r="A1420">
        <v>10789</v>
      </c>
      <c r="B1420">
        <v>63</v>
      </c>
      <c r="C1420">
        <v>43.9</v>
      </c>
      <c r="D1420">
        <v>30</v>
      </c>
      <c r="E1420">
        <v>0</v>
      </c>
      <c r="F1420">
        <v>1317</v>
      </c>
      <c r="G1420" t="str">
        <f>VLOOKUP(VLOOKUP(order_details[[#This Row],[ProductID]], products[], 4, FALSE), categories[], 2, FALSE)</f>
        <v>Condiments</v>
      </c>
      <c r="H1420">
        <f>VLOOKUP(order_details[[#This Row],[ProductID]], products[], 4, FALSE)</f>
        <v>2</v>
      </c>
      <c r="I1420" t="str">
        <f>VLOOKUP(order_details[[#This Row],[OrderID]], orders[[OrderID]:[ShipCountry]], 14, FALSE)</f>
        <v>France</v>
      </c>
      <c r="J1420" s="1">
        <f>_xlfn.XLOOKUP(order_details[[#This Row],[OrderID]], orders[OrderID], orders[Month])</f>
        <v>1</v>
      </c>
    </row>
    <row r="1421" spans="1:10" x14ac:dyDescent="0.35">
      <c r="A1421">
        <v>10789</v>
      </c>
      <c r="B1421">
        <v>68</v>
      </c>
      <c r="C1421">
        <v>12.5</v>
      </c>
      <c r="D1421">
        <v>18</v>
      </c>
      <c r="E1421">
        <v>0</v>
      </c>
      <c r="F1421">
        <v>225</v>
      </c>
      <c r="G1421" t="str">
        <f>VLOOKUP(VLOOKUP(order_details[[#This Row],[ProductID]], products[], 4, FALSE), categories[], 2, FALSE)</f>
        <v>Confections</v>
      </c>
      <c r="H1421">
        <f>VLOOKUP(order_details[[#This Row],[ProductID]], products[], 4, FALSE)</f>
        <v>3</v>
      </c>
      <c r="I1421" t="str">
        <f>VLOOKUP(order_details[[#This Row],[OrderID]], orders[[OrderID]:[ShipCountry]], 14, FALSE)</f>
        <v>France</v>
      </c>
      <c r="J1421" s="1">
        <f>_xlfn.XLOOKUP(order_details[[#This Row],[OrderID]], orders[OrderID], orders[Month])</f>
        <v>1</v>
      </c>
    </row>
    <row r="1422" spans="1:10" x14ac:dyDescent="0.35">
      <c r="A1422">
        <v>10790</v>
      </c>
      <c r="B1422">
        <v>7</v>
      </c>
      <c r="C1422">
        <v>30</v>
      </c>
      <c r="D1422">
        <v>3</v>
      </c>
      <c r="E1422">
        <v>0.15</v>
      </c>
      <c r="F1422">
        <v>76.5</v>
      </c>
      <c r="G1422" t="str">
        <f>VLOOKUP(VLOOKUP(order_details[[#This Row],[ProductID]], products[], 4, FALSE), categories[], 2, FALSE)</f>
        <v>Produce</v>
      </c>
      <c r="H1422">
        <f>VLOOKUP(order_details[[#This Row],[ProductID]], products[], 4, FALSE)</f>
        <v>7</v>
      </c>
      <c r="I1422" t="str">
        <f>VLOOKUP(order_details[[#This Row],[OrderID]], orders[[OrderID]:[ShipCountry]], 14, FALSE)</f>
        <v>Brazil</v>
      </c>
      <c r="J1422" s="1">
        <f>_xlfn.XLOOKUP(order_details[[#This Row],[OrderID]], orders[OrderID], orders[Month])</f>
        <v>1</v>
      </c>
    </row>
    <row r="1423" spans="1:10" x14ac:dyDescent="0.35">
      <c r="A1423">
        <v>10790</v>
      </c>
      <c r="B1423">
        <v>56</v>
      </c>
      <c r="C1423">
        <v>38</v>
      </c>
      <c r="D1423">
        <v>20</v>
      </c>
      <c r="E1423">
        <v>0.15</v>
      </c>
      <c r="F1423">
        <v>646</v>
      </c>
      <c r="G1423" t="str">
        <f>VLOOKUP(VLOOKUP(order_details[[#This Row],[ProductID]], products[], 4, FALSE), categories[], 2, FALSE)</f>
        <v>Grains/Cereals</v>
      </c>
      <c r="H1423">
        <f>VLOOKUP(order_details[[#This Row],[ProductID]], products[], 4, FALSE)</f>
        <v>5</v>
      </c>
      <c r="I1423" t="str">
        <f>VLOOKUP(order_details[[#This Row],[OrderID]], orders[[OrderID]:[ShipCountry]], 14, FALSE)</f>
        <v>Brazil</v>
      </c>
      <c r="J1423" s="1">
        <f>_xlfn.XLOOKUP(order_details[[#This Row],[OrderID]], orders[OrderID], orders[Month])</f>
        <v>1</v>
      </c>
    </row>
    <row r="1424" spans="1:10" x14ac:dyDescent="0.35">
      <c r="A1424">
        <v>10791</v>
      </c>
      <c r="B1424">
        <v>29</v>
      </c>
      <c r="C1424">
        <v>123.79</v>
      </c>
      <c r="D1424">
        <v>14</v>
      </c>
      <c r="E1424">
        <v>0.05</v>
      </c>
      <c r="F1424">
        <v>1646.4070000000002</v>
      </c>
      <c r="G1424" t="str">
        <f>VLOOKUP(VLOOKUP(order_details[[#This Row],[ProductID]], products[], 4, FALSE), categories[], 2, FALSE)</f>
        <v>Meat/Poultry</v>
      </c>
      <c r="H1424">
        <f>VLOOKUP(order_details[[#This Row],[ProductID]], products[], 4, FALSE)</f>
        <v>6</v>
      </c>
      <c r="I1424" t="str">
        <f>VLOOKUP(order_details[[#This Row],[OrderID]], orders[[OrderID]:[ShipCountry]], 14, FALSE)</f>
        <v>Germany</v>
      </c>
      <c r="J1424" s="1">
        <f>_xlfn.XLOOKUP(order_details[[#This Row],[OrderID]], orders[OrderID], orders[Month])</f>
        <v>1</v>
      </c>
    </row>
    <row r="1425" spans="1:10" x14ac:dyDescent="0.35">
      <c r="A1425">
        <v>10791</v>
      </c>
      <c r="B1425">
        <v>41</v>
      </c>
      <c r="C1425">
        <v>9.65</v>
      </c>
      <c r="D1425">
        <v>20</v>
      </c>
      <c r="E1425">
        <v>0.05</v>
      </c>
      <c r="F1425">
        <v>183.35</v>
      </c>
      <c r="G1425" t="str">
        <f>VLOOKUP(VLOOKUP(order_details[[#This Row],[ProductID]], products[], 4, FALSE), categories[], 2, FALSE)</f>
        <v>Seafood</v>
      </c>
      <c r="H1425">
        <f>VLOOKUP(order_details[[#This Row],[ProductID]], products[], 4, FALSE)</f>
        <v>8</v>
      </c>
      <c r="I1425" t="str">
        <f>VLOOKUP(order_details[[#This Row],[OrderID]], orders[[OrderID]:[ShipCountry]], 14, FALSE)</f>
        <v>Germany</v>
      </c>
      <c r="J1425" s="1">
        <f>_xlfn.XLOOKUP(order_details[[#This Row],[OrderID]], orders[OrderID], orders[Month])</f>
        <v>1</v>
      </c>
    </row>
    <row r="1426" spans="1:10" x14ac:dyDescent="0.35">
      <c r="A1426">
        <v>10792</v>
      </c>
      <c r="B1426">
        <v>2</v>
      </c>
      <c r="C1426">
        <v>19</v>
      </c>
      <c r="D1426">
        <v>10</v>
      </c>
      <c r="E1426">
        <v>0</v>
      </c>
      <c r="F1426">
        <v>190</v>
      </c>
      <c r="G1426" t="str">
        <f>VLOOKUP(VLOOKUP(order_details[[#This Row],[ProductID]], products[], 4, FALSE), categories[], 2, FALSE)</f>
        <v>Beverages</v>
      </c>
      <c r="H1426">
        <f>VLOOKUP(order_details[[#This Row],[ProductID]], products[], 4, FALSE)</f>
        <v>1</v>
      </c>
      <c r="I1426" t="str">
        <f>VLOOKUP(order_details[[#This Row],[OrderID]], orders[[OrderID]:[ShipCountry]], 14, FALSE)</f>
        <v>Poland</v>
      </c>
      <c r="J1426" s="1">
        <f>_xlfn.XLOOKUP(order_details[[#This Row],[OrderID]], orders[OrderID], orders[Month])</f>
        <v>1</v>
      </c>
    </row>
    <row r="1427" spans="1:10" x14ac:dyDescent="0.35">
      <c r="A1427">
        <v>10792</v>
      </c>
      <c r="B1427">
        <v>54</v>
      </c>
      <c r="C1427">
        <v>7.45</v>
      </c>
      <c r="D1427">
        <v>3</v>
      </c>
      <c r="E1427">
        <v>0</v>
      </c>
      <c r="F1427">
        <v>22.35</v>
      </c>
      <c r="G1427" t="str">
        <f>VLOOKUP(VLOOKUP(order_details[[#This Row],[ProductID]], products[], 4, FALSE), categories[], 2, FALSE)</f>
        <v>Meat/Poultry</v>
      </c>
      <c r="H1427">
        <f>VLOOKUP(order_details[[#This Row],[ProductID]], products[], 4, FALSE)</f>
        <v>6</v>
      </c>
      <c r="I1427" t="str">
        <f>VLOOKUP(order_details[[#This Row],[OrderID]], orders[[OrderID]:[ShipCountry]], 14, FALSE)</f>
        <v>Poland</v>
      </c>
      <c r="J1427" s="1">
        <f>_xlfn.XLOOKUP(order_details[[#This Row],[OrderID]], orders[OrderID], orders[Month])</f>
        <v>1</v>
      </c>
    </row>
    <row r="1428" spans="1:10" x14ac:dyDescent="0.35">
      <c r="A1428">
        <v>10792</v>
      </c>
      <c r="B1428">
        <v>68</v>
      </c>
      <c r="C1428">
        <v>12.5</v>
      </c>
      <c r="D1428">
        <v>15</v>
      </c>
      <c r="E1428">
        <v>0</v>
      </c>
      <c r="F1428">
        <v>187.5</v>
      </c>
      <c r="G1428" t="str">
        <f>VLOOKUP(VLOOKUP(order_details[[#This Row],[ProductID]], products[], 4, FALSE), categories[], 2, FALSE)</f>
        <v>Confections</v>
      </c>
      <c r="H1428">
        <f>VLOOKUP(order_details[[#This Row],[ProductID]], products[], 4, FALSE)</f>
        <v>3</v>
      </c>
      <c r="I1428" t="str">
        <f>VLOOKUP(order_details[[#This Row],[OrderID]], orders[[OrderID]:[ShipCountry]], 14, FALSE)</f>
        <v>Poland</v>
      </c>
      <c r="J1428" s="1">
        <f>_xlfn.XLOOKUP(order_details[[#This Row],[OrderID]], orders[OrderID], orders[Month])</f>
        <v>1</v>
      </c>
    </row>
    <row r="1429" spans="1:10" x14ac:dyDescent="0.35">
      <c r="A1429">
        <v>10793</v>
      </c>
      <c r="B1429">
        <v>41</v>
      </c>
      <c r="C1429">
        <v>9.65</v>
      </c>
      <c r="D1429">
        <v>14</v>
      </c>
      <c r="E1429">
        <v>0</v>
      </c>
      <c r="F1429">
        <v>135.1</v>
      </c>
      <c r="G1429" t="str">
        <f>VLOOKUP(VLOOKUP(order_details[[#This Row],[ProductID]], products[], 4, FALSE), categories[], 2, FALSE)</f>
        <v>Seafood</v>
      </c>
      <c r="H1429">
        <f>VLOOKUP(order_details[[#This Row],[ProductID]], products[], 4, FALSE)</f>
        <v>8</v>
      </c>
      <c r="I1429" t="str">
        <f>VLOOKUP(order_details[[#This Row],[OrderID]], orders[[OrderID]:[ShipCountry]], 14, FALSE)</f>
        <v>UK</v>
      </c>
      <c r="J1429" s="1">
        <f>_xlfn.XLOOKUP(order_details[[#This Row],[OrderID]], orders[OrderID], orders[Month])</f>
        <v>1</v>
      </c>
    </row>
    <row r="1430" spans="1:10" x14ac:dyDescent="0.35">
      <c r="A1430">
        <v>10793</v>
      </c>
      <c r="B1430">
        <v>52</v>
      </c>
      <c r="C1430">
        <v>7</v>
      </c>
      <c r="D1430">
        <v>8</v>
      </c>
      <c r="E1430">
        <v>0</v>
      </c>
      <c r="F1430">
        <v>56</v>
      </c>
      <c r="G1430" t="str">
        <f>VLOOKUP(VLOOKUP(order_details[[#This Row],[ProductID]], products[], 4, FALSE), categories[], 2, FALSE)</f>
        <v>Grains/Cereals</v>
      </c>
      <c r="H1430">
        <f>VLOOKUP(order_details[[#This Row],[ProductID]], products[], 4, FALSE)</f>
        <v>5</v>
      </c>
      <c r="I1430" t="str">
        <f>VLOOKUP(order_details[[#This Row],[OrderID]], orders[[OrderID]:[ShipCountry]], 14, FALSE)</f>
        <v>UK</v>
      </c>
      <c r="J1430" s="1">
        <f>_xlfn.XLOOKUP(order_details[[#This Row],[OrderID]], orders[OrderID], orders[Month])</f>
        <v>1</v>
      </c>
    </row>
    <row r="1431" spans="1:10" x14ac:dyDescent="0.35">
      <c r="A1431">
        <v>10794</v>
      </c>
      <c r="B1431">
        <v>14</v>
      </c>
      <c r="C1431">
        <v>23.25</v>
      </c>
      <c r="D1431">
        <v>15</v>
      </c>
      <c r="E1431">
        <v>0.2</v>
      </c>
      <c r="F1431">
        <v>279</v>
      </c>
      <c r="G1431" t="str">
        <f>VLOOKUP(VLOOKUP(order_details[[#This Row],[ProductID]], products[], 4, FALSE), categories[], 2, FALSE)</f>
        <v>Produce</v>
      </c>
      <c r="H1431">
        <f>VLOOKUP(order_details[[#This Row],[ProductID]], products[], 4, FALSE)</f>
        <v>7</v>
      </c>
      <c r="I1431" t="str">
        <f>VLOOKUP(order_details[[#This Row],[OrderID]], orders[[OrderID]:[ShipCountry]], 14, FALSE)</f>
        <v>Brazil</v>
      </c>
      <c r="J1431" s="1">
        <f>_xlfn.XLOOKUP(order_details[[#This Row],[OrderID]], orders[OrderID], orders[Month])</f>
        <v>1</v>
      </c>
    </row>
    <row r="1432" spans="1:10" x14ac:dyDescent="0.35">
      <c r="A1432">
        <v>10794</v>
      </c>
      <c r="B1432">
        <v>54</v>
      </c>
      <c r="C1432">
        <v>7.45</v>
      </c>
      <c r="D1432">
        <v>6</v>
      </c>
      <c r="E1432">
        <v>0.2</v>
      </c>
      <c r="F1432">
        <v>35.760000000000005</v>
      </c>
      <c r="G1432" t="str">
        <f>VLOOKUP(VLOOKUP(order_details[[#This Row],[ProductID]], products[], 4, FALSE), categories[], 2, FALSE)</f>
        <v>Meat/Poultry</v>
      </c>
      <c r="H1432">
        <f>VLOOKUP(order_details[[#This Row],[ProductID]], products[], 4, FALSE)</f>
        <v>6</v>
      </c>
      <c r="I1432" t="str">
        <f>VLOOKUP(order_details[[#This Row],[OrderID]], orders[[OrderID]:[ShipCountry]], 14, FALSE)</f>
        <v>Brazil</v>
      </c>
      <c r="J1432" s="1">
        <f>_xlfn.XLOOKUP(order_details[[#This Row],[OrderID]], orders[OrderID], orders[Month])</f>
        <v>1</v>
      </c>
    </row>
    <row r="1433" spans="1:10" x14ac:dyDescent="0.35">
      <c r="A1433">
        <v>10795</v>
      </c>
      <c r="B1433">
        <v>16</v>
      </c>
      <c r="C1433">
        <v>17.45</v>
      </c>
      <c r="D1433">
        <v>65</v>
      </c>
      <c r="E1433">
        <v>0</v>
      </c>
      <c r="F1433">
        <v>1134.25</v>
      </c>
      <c r="G1433" t="str">
        <f>VLOOKUP(VLOOKUP(order_details[[#This Row],[ProductID]], products[], 4, FALSE), categories[], 2, FALSE)</f>
        <v>Confections</v>
      </c>
      <c r="H1433">
        <f>VLOOKUP(order_details[[#This Row],[ProductID]], products[], 4, FALSE)</f>
        <v>3</v>
      </c>
      <c r="I1433" t="str">
        <f>VLOOKUP(order_details[[#This Row],[OrderID]], orders[[OrderID]:[ShipCountry]], 14, FALSE)</f>
        <v>Austria</v>
      </c>
      <c r="J1433" s="1">
        <f>_xlfn.XLOOKUP(order_details[[#This Row],[OrderID]], orders[OrderID], orders[Month])</f>
        <v>1</v>
      </c>
    </row>
    <row r="1434" spans="1:10" x14ac:dyDescent="0.35">
      <c r="A1434">
        <v>10795</v>
      </c>
      <c r="B1434">
        <v>17</v>
      </c>
      <c r="C1434">
        <v>39</v>
      </c>
      <c r="D1434">
        <v>35</v>
      </c>
      <c r="E1434">
        <v>0.25</v>
      </c>
      <c r="F1434">
        <v>1023.75</v>
      </c>
      <c r="G1434" t="str">
        <f>VLOOKUP(VLOOKUP(order_details[[#This Row],[ProductID]], products[], 4, FALSE), categories[], 2, FALSE)</f>
        <v>Meat/Poultry</v>
      </c>
      <c r="H1434">
        <f>VLOOKUP(order_details[[#This Row],[ProductID]], products[], 4, FALSE)</f>
        <v>6</v>
      </c>
      <c r="I1434" t="str">
        <f>VLOOKUP(order_details[[#This Row],[OrderID]], orders[[OrderID]:[ShipCountry]], 14, FALSE)</f>
        <v>Austria</v>
      </c>
      <c r="J1434" s="1">
        <f>_xlfn.XLOOKUP(order_details[[#This Row],[OrderID]], orders[OrderID], orders[Month])</f>
        <v>1</v>
      </c>
    </row>
    <row r="1435" spans="1:10" x14ac:dyDescent="0.35">
      <c r="A1435">
        <v>10796</v>
      </c>
      <c r="B1435">
        <v>26</v>
      </c>
      <c r="C1435">
        <v>31.23</v>
      </c>
      <c r="D1435">
        <v>21</v>
      </c>
      <c r="E1435">
        <v>0.2</v>
      </c>
      <c r="F1435">
        <v>524.6640000000001</v>
      </c>
      <c r="G1435" t="str">
        <f>VLOOKUP(VLOOKUP(order_details[[#This Row],[ProductID]], products[], 4, FALSE), categories[], 2, FALSE)</f>
        <v>Confections</v>
      </c>
      <c r="H1435">
        <f>VLOOKUP(order_details[[#This Row],[ProductID]], products[], 4, FALSE)</f>
        <v>3</v>
      </c>
      <c r="I1435" t="str">
        <f>VLOOKUP(order_details[[#This Row],[OrderID]], orders[[OrderID]:[ShipCountry]], 14, FALSE)</f>
        <v>Venezuela</v>
      </c>
      <c r="J1435" s="1">
        <f>_xlfn.XLOOKUP(order_details[[#This Row],[OrderID]], orders[OrderID], orders[Month])</f>
        <v>1</v>
      </c>
    </row>
    <row r="1436" spans="1:10" x14ac:dyDescent="0.35">
      <c r="A1436">
        <v>10796</v>
      </c>
      <c r="B1436">
        <v>44</v>
      </c>
      <c r="C1436">
        <v>19.45</v>
      </c>
      <c r="D1436">
        <v>10</v>
      </c>
      <c r="E1436">
        <v>0</v>
      </c>
      <c r="F1436">
        <v>194.5</v>
      </c>
      <c r="G1436" t="str">
        <f>VLOOKUP(VLOOKUP(order_details[[#This Row],[ProductID]], products[], 4, FALSE), categories[], 2, FALSE)</f>
        <v>Condiments</v>
      </c>
      <c r="H1436">
        <f>VLOOKUP(order_details[[#This Row],[ProductID]], products[], 4, FALSE)</f>
        <v>2</v>
      </c>
      <c r="I1436" t="str">
        <f>VLOOKUP(order_details[[#This Row],[OrderID]], orders[[OrderID]:[ShipCountry]], 14, FALSE)</f>
        <v>Venezuela</v>
      </c>
      <c r="J1436" s="1">
        <f>_xlfn.XLOOKUP(order_details[[#This Row],[OrderID]], orders[OrderID], orders[Month])</f>
        <v>1</v>
      </c>
    </row>
    <row r="1437" spans="1:10" x14ac:dyDescent="0.35">
      <c r="A1437">
        <v>10796</v>
      </c>
      <c r="B1437">
        <v>64</v>
      </c>
      <c r="C1437">
        <v>33.25</v>
      </c>
      <c r="D1437">
        <v>35</v>
      </c>
      <c r="E1437">
        <v>0.2</v>
      </c>
      <c r="F1437">
        <v>931</v>
      </c>
      <c r="G1437" t="str">
        <f>VLOOKUP(VLOOKUP(order_details[[#This Row],[ProductID]], products[], 4, FALSE), categories[], 2, FALSE)</f>
        <v>Grains/Cereals</v>
      </c>
      <c r="H1437">
        <f>VLOOKUP(order_details[[#This Row],[ProductID]], products[], 4, FALSE)</f>
        <v>5</v>
      </c>
      <c r="I1437" t="str">
        <f>VLOOKUP(order_details[[#This Row],[OrderID]], orders[[OrderID]:[ShipCountry]], 14, FALSE)</f>
        <v>Venezuela</v>
      </c>
      <c r="J1437" s="1">
        <f>_xlfn.XLOOKUP(order_details[[#This Row],[OrderID]], orders[OrderID], orders[Month])</f>
        <v>1</v>
      </c>
    </row>
    <row r="1438" spans="1:10" x14ac:dyDescent="0.35">
      <c r="A1438">
        <v>10796</v>
      </c>
      <c r="B1438">
        <v>69</v>
      </c>
      <c r="C1438">
        <v>36</v>
      </c>
      <c r="D1438">
        <v>24</v>
      </c>
      <c r="E1438">
        <v>0.2</v>
      </c>
      <c r="F1438">
        <v>691.2</v>
      </c>
      <c r="G1438" t="str">
        <f>VLOOKUP(VLOOKUP(order_details[[#This Row],[ProductID]], products[], 4, FALSE), categories[], 2, FALSE)</f>
        <v>Dairy Products</v>
      </c>
      <c r="H1438">
        <f>VLOOKUP(order_details[[#This Row],[ProductID]], products[], 4, FALSE)</f>
        <v>4</v>
      </c>
      <c r="I1438" t="str">
        <f>VLOOKUP(order_details[[#This Row],[OrderID]], orders[[OrderID]:[ShipCountry]], 14, FALSE)</f>
        <v>Venezuela</v>
      </c>
      <c r="J1438" s="1">
        <f>_xlfn.XLOOKUP(order_details[[#This Row],[OrderID]], orders[OrderID], orders[Month])</f>
        <v>1</v>
      </c>
    </row>
    <row r="1439" spans="1:10" x14ac:dyDescent="0.35">
      <c r="A1439">
        <v>10797</v>
      </c>
      <c r="B1439">
        <v>11</v>
      </c>
      <c r="C1439">
        <v>21</v>
      </c>
      <c r="D1439">
        <v>20</v>
      </c>
      <c r="E1439">
        <v>0</v>
      </c>
      <c r="F1439">
        <v>420</v>
      </c>
      <c r="G1439" t="str">
        <f>VLOOKUP(VLOOKUP(order_details[[#This Row],[ProductID]], products[], 4, FALSE), categories[], 2, FALSE)</f>
        <v>Dairy Products</v>
      </c>
      <c r="H1439">
        <f>VLOOKUP(order_details[[#This Row],[ProductID]], products[], 4, FALSE)</f>
        <v>4</v>
      </c>
      <c r="I1439" t="str">
        <f>VLOOKUP(order_details[[#This Row],[OrderID]], orders[[OrderID]:[ShipCountry]], 14, FALSE)</f>
        <v>Germany</v>
      </c>
      <c r="J1439" s="1">
        <f>_xlfn.XLOOKUP(order_details[[#This Row],[OrderID]], orders[OrderID], orders[Month])</f>
        <v>1</v>
      </c>
    </row>
    <row r="1440" spans="1:10" x14ac:dyDescent="0.35">
      <c r="A1440">
        <v>10798</v>
      </c>
      <c r="B1440">
        <v>62</v>
      </c>
      <c r="C1440">
        <v>49.3</v>
      </c>
      <c r="D1440">
        <v>2</v>
      </c>
      <c r="E1440">
        <v>0</v>
      </c>
      <c r="F1440">
        <v>98.6</v>
      </c>
      <c r="G1440" t="str">
        <f>VLOOKUP(VLOOKUP(order_details[[#This Row],[ProductID]], products[], 4, FALSE), categories[], 2, FALSE)</f>
        <v>Confections</v>
      </c>
      <c r="H1440">
        <f>VLOOKUP(order_details[[#This Row],[ProductID]], products[], 4, FALSE)</f>
        <v>3</v>
      </c>
      <c r="I1440" t="str">
        <f>VLOOKUP(order_details[[#This Row],[OrderID]], orders[[OrderID]:[ShipCountry]], 14, FALSE)</f>
        <v>UK</v>
      </c>
      <c r="J1440" s="1">
        <f>_xlfn.XLOOKUP(order_details[[#This Row],[OrderID]], orders[OrderID], orders[Month])</f>
        <v>1</v>
      </c>
    </row>
    <row r="1441" spans="1:10" x14ac:dyDescent="0.35">
      <c r="A1441">
        <v>10798</v>
      </c>
      <c r="B1441">
        <v>72</v>
      </c>
      <c r="C1441">
        <v>34.799999999999997</v>
      </c>
      <c r="D1441">
        <v>10</v>
      </c>
      <c r="E1441">
        <v>0</v>
      </c>
      <c r="F1441">
        <v>348</v>
      </c>
      <c r="G1441" t="str">
        <f>VLOOKUP(VLOOKUP(order_details[[#This Row],[ProductID]], products[], 4, FALSE), categories[], 2, FALSE)</f>
        <v>Dairy Products</v>
      </c>
      <c r="H1441">
        <f>VLOOKUP(order_details[[#This Row],[ProductID]], products[], 4, FALSE)</f>
        <v>4</v>
      </c>
      <c r="I1441" t="str">
        <f>VLOOKUP(order_details[[#This Row],[OrderID]], orders[[OrderID]:[ShipCountry]], 14, FALSE)</f>
        <v>UK</v>
      </c>
      <c r="J1441" s="1">
        <f>_xlfn.XLOOKUP(order_details[[#This Row],[OrderID]], orders[OrderID], orders[Month])</f>
        <v>1</v>
      </c>
    </row>
    <row r="1442" spans="1:10" x14ac:dyDescent="0.35">
      <c r="A1442">
        <v>10799</v>
      </c>
      <c r="B1442">
        <v>13</v>
      </c>
      <c r="C1442">
        <v>6</v>
      </c>
      <c r="D1442">
        <v>20</v>
      </c>
      <c r="E1442">
        <v>0.15</v>
      </c>
      <c r="F1442">
        <v>102</v>
      </c>
      <c r="G1442" t="str">
        <f>VLOOKUP(VLOOKUP(order_details[[#This Row],[ProductID]], products[], 4, FALSE), categories[], 2, FALSE)</f>
        <v>Seafood</v>
      </c>
      <c r="H1442">
        <f>VLOOKUP(order_details[[#This Row],[ProductID]], products[], 4, FALSE)</f>
        <v>8</v>
      </c>
      <c r="I1442" t="str">
        <f>VLOOKUP(order_details[[#This Row],[OrderID]], orders[[OrderID]:[ShipCountry]], 14, FALSE)</f>
        <v>Germany</v>
      </c>
      <c r="J1442" s="1">
        <f>_xlfn.XLOOKUP(order_details[[#This Row],[OrderID]], orders[OrderID], orders[Month])</f>
        <v>1</v>
      </c>
    </row>
    <row r="1443" spans="1:10" x14ac:dyDescent="0.35">
      <c r="A1443">
        <v>10799</v>
      </c>
      <c r="B1443">
        <v>24</v>
      </c>
      <c r="C1443">
        <v>4.5</v>
      </c>
      <c r="D1443">
        <v>20</v>
      </c>
      <c r="E1443">
        <v>0.15</v>
      </c>
      <c r="F1443">
        <v>76.5</v>
      </c>
      <c r="G1443" t="str">
        <f>VLOOKUP(VLOOKUP(order_details[[#This Row],[ProductID]], products[], 4, FALSE), categories[], 2, FALSE)</f>
        <v>Beverages</v>
      </c>
      <c r="H1443">
        <f>VLOOKUP(order_details[[#This Row],[ProductID]], products[], 4, FALSE)</f>
        <v>1</v>
      </c>
      <c r="I1443" t="str">
        <f>VLOOKUP(order_details[[#This Row],[OrderID]], orders[[OrderID]:[ShipCountry]], 14, FALSE)</f>
        <v>Germany</v>
      </c>
      <c r="J1443" s="1">
        <f>_xlfn.XLOOKUP(order_details[[#This Row],[OrderID]], orders[OrderID], orders[Month])</f>
        <v>1</v>
      </c>
    </row>
    <row r="1444" spans="1:10" x14ac:dyDescent="0.35">
      <c r="A1444">
        <v>10799</v>
      </c>
      <c r="B1444">
        <v>59</v>
      </c>
      <c r="C1444">
        <v>55</v>
      </c>
      <c r="D1444">
        <v>25</v>
      </c>
      <c r="E1444">
        <v>0</v>
      </c>
      <c r="F1444">
        <v>1375</v>
      </c>
      <c r="G1444" t="str">
        <f>VLOOKUP(VLOOKUP(order_details[[#This Row],[ProductID]], products[], 4, FALSE), categories[], 2, FALSE)</f>
        <v>Dairy Products</v>
      </c>
      <c r="H1444">
        <f>VLOOKUP(order_details[[#This Row],[ProductID]], products[], 4, FALSE)</f>
        <v>4</v>
      </c>
      <c r="I1444" t="str">
        <f>VLOOKUP(order_details[[#This Row],[OrderID]], orders[[OrderID]:[ShipCountry]], 14, FALSE)</f>
        <v>Germany</v>
      </c>
      <c r="J1444" s="1">
        <f>_xlfn.XLOOKUP(order_details[[#This Row],[OrderID]], orders[OrderID], orders[Month])</f>
        <v>1</v>
      </c>
    </row>
    <row r="1445" spans="1:10" x14ac:dyDescent="0.35">
      <c r="A1445">
        <v>10800</v>
      </c>
      <c r="B1445">
        <v>11</v>
      </c>
      <c r="C1445">
        <v>21</v>
      </c>
      <c r="D1445">
        <v>50</v>
      </c>
      <c r="E1445">
        <v>0.1</v>
      </c>
      <c r="F1445">
        <v>945</v>
      </c>
      <c r="G1445" t="str">
        <f>VLOOKUP(VLOOKUP(order_details[[#This Row],[ProductID]], products[], 4, FALSE), categories[], 2, FALSE)</f>
        <v>Dairy Products</v>
      </c>
      <c r="H1445">
        <f>VLOOKUP(order_details[[#This Row],[ProductID]], products[], 4, FALSE)</f>
        <v>4</v>
      </c>
      <c r="I1445" t="str">
        <f>VLOOKUP(order_details[[#This Row],[OrderID]], orders[[OrderID]:[ShipCountry]], 14, FALSE)</f>
        <v>UK</v>
      </c>
      <c r="J1445" s="1">
        <f>_xlfn.XLOOKUP(order_details[[#This Row],[OrderID]], orders[OrderID], orders[Month])</f>
        <v>1</v>
      </c>
    </row>
    <row r="1446" spans="1:10" x14ac:dyDescent="0.35">
      <c r="A1446">
        <v>10800</v>
      </c>
      <c r="B1446">
        <v>51</v>
      </c>
      <c r="C1446">
        <v>53</v>
      </c>
      <c r="D1446">
        <v>10</v>
      </c>
      <c r="E1446">
        <v>0.1</v>
      </c>
      <c r="F1446">
        <v>477</v>
      </c>
      <c r="G1446" t="str">
        <f>VLOOKUP(VLOOKUP(order_details[[#This Row],[ProductID]], products[], 4, FALSE), categories[], 2, FALSE)</f>
        <v>Produce</v>
      </c>
      <c r="H1446">
        <f>VLOOKUP(order_details[[#This Row],[ProductID]], products[], 4, FALSE)</f>
        <v>7</v>
      </c>
      <c r="I1446" t="str">
        <f>VLOOKUP(order_details[[#This Row],[OrderID]], orders[[OrderID]:[ShipCountry]], 14, FALSE)</f>
        <v>UK</v>
      </c>
      <c r="J1446" s="1">
        <f>_xlfn.XLOOKUP(order_details[[#This Row],[OrderID]], orders[OrderID], orders[Month])</f>
        <v>1</v>
      </c>
    </row>
    <row r="1447" spans="1:10" x14ac:dyDescent="0.35">
      <c r="A1447">
        <v>10800</v>
      </c>
      <c r="B1447">
        <v>54</v>
      </c>
      <c r="C1447">
        <v>7.45</v>
      </c>
      <c r="D1447">
        <v>7</v>
      </c>
      <c r="E1447">
        <v>0.1</v>
      </c>
      <c r="F1447">
        <v>46.935000000000002</v>
      </c>
      <c r="G1447" t="str">
        <f>VLOOKUP(VLOOKUP(order_details[[#This Row],[ProductID]], products[], 4, FALSE), categories[], 2, FALSE)</f>
        <v>Meat/Poultry</v>
      </c>
      <c r="H1447">
        <f>VLOOKUP(order_details[[#This Row],[ProductID]], products[], 4, FALSE)</f>
        <v>6</v>
      </c>
      <c r="I1447" t="str">
        <f>VLOOKUP(order_details[[#This Row],[OrderID]], orders[[OrderID]:[ShipCountry]], 14, FALSE)</f>
        <v>UK</v>
      </c>
      <c r="J1447" s="1">
        <f>_xlfn.XLOOKUP(order_details[[#This Row],[OrderID]], orders[OrderID], orders[Month])</f>
        <v>1</v>
      </c>
    </row>
    <row r="1448" spans="1:10" x14ac:dyDescent="0.35">
      <c r="A1448">
        <v>10801</v>
      </c>
      <c r="B1448">
        <v>17</v>
      </c>
      <c r="C1448">
        <v>39</v>
      </c>
      <c r="D1448">
        <v>40</v>
      </c>
      <c r="E1448">
        <v>0.25</v>
      </c>
      <c r="F1448">
        <v>1170</v>
      </c>
      <c r="G1448" t="str">
        <f>VLOOKUP(VLOOKUP(order_details[[#This Row],[ProductID]], products[], 4, FALSE), categories[], 2, FALSE)</f>
        <v>Meat/Poultry</v>
      </c>
      <c r="H1448">
        <f>VLOOKUP(order_details[[#This Row],[ProductID]], products[], 4, FALSE)</f>
        <v>6</v>
      </c>
      <c r="I1448" t="str">
        <f>VLOOKUP(order_details[[#This Row],[OrderID]], orders[[OrderID]:[ShipCountry]], 14, FALSE)</f>
        <v>Spain</v>
      </c>
      <c r="J1448" s="1">
        <f>_xlfn.XLOOKUP(order_details[[#This Row],[OrderID]], orders[OrderID], orders[Month])</f>
        <v>1</v>
      </c>
    </row>
    <row r="1449" spans="1:10" x14ac:dyDescent="0.35">
      <c r="A1449">
        <v>10801</v>
      </c>
      <c r="B1449">
        <v>29</v>
      </c>
      <c r="C1449">
        <v>123.79</v>
      </c>
      <c r="D1449">
        <v>20</v>
      </c>
      <c r="E1449">
        <v>0.25</v>
      </c>
      <c r="F1449">
        <v>1856.8500000000001</v>
      </c>
      <c r="G1449" t="str">
        <f>VLOOKUP(VLOOKUP(order_details[[#This Row],[ProductID]], products[], 4, FALSE), categories[], 2, FALSE)</f>
        <v>Meat/Poultry</v>
      </c>
      <c r="H1449">
        <f>VLOOKUP(order_details[[#This Row],[ProductID]], products[], 4, FALSE)</f>
        <v>6</v>
      </c>
      <c r="I1449" t="str">
        <f>VLOOKUP(order_details[[#This Row],[OrderID]], orders[[OrderID]:[ShipCountry]], 14, FALSE)</f>
        <v>Spain</v>
      </c>
      <c r="J1449" s="1">
        <f>_xlfn.XLOOKUP(order_details[[#This Row],[OrderID]], orders[OrderID], orders[Month])</f>
        <v>1</v>
      </c>
    </row>
    <row r="1450" spans="1:10" x14ac:dyDescent="0.35">
      <c r="A1450">
        <v>10802</v>
      </c>
      <c r="B1450">
        <v>30</v>
      </c>
      <c r="C1450">
        <v>25.89</v>
      </c>
      <c r="D1450">
        <v>25</v>
      </c>
      <c r="E1450">
        <v>0.25</v>
      </c>
      <c r="F1450">
        <v>485.4375</v>
      </c>
      <c r="G1450" t="str">
        <f>VLOOKUP(VLOOKUP(order_details[[#This Row],[ProductID]], products[], 4, FALSE), categories[], 2, FALSE)</f>
        <v>Seafood</v>
      </c>
      <c r="H1450">
        <f>VLOOKUP(order_details[[#This Row],[ProductID]], products[], 4, FALSE)</f>
        <v>8</v>
      </c>
      <c r="I1450" t="str">
        <f>VLOOKUP(order_details[[#This Row],[OrderID]], orders[[OrderID]:[ShipCountry]], 14, FALSE)</f>
        <v>Denmark</v>
      </c>
      <c r="J1450" s="1">
        <f>_xlfn.XLOOKUP(order_details[[#This Row],[OrderID]], orders[OrderID], orders[Month])</f>
        <v>1</v>
      </c>
    </row>
    <row r="1451" spans="1:10" x14ac:dyDescent="0.35">
      <c r="A1451">
        <v>10802</v>
      </c>
      <c r="B1451">
        <v>51</v>
      </c>
      <c r="C1451">
        <v>53</v>
      </c>
      <c r="D1451">
        <v>30</v>
      </c>
      <c r="E1451">
        <v>0.25</v>
      </c>
      <c r="F1451">
        <v>1192.5</v>
      </c>
      <c r="G1451" t="str">
        <f>VLOOKUP(VLOOKUP(order_details[[#This Row],[ProductID]], products[], 4, FALSE), categories[], 2, FALSE)</f>
        <v>Produce</v>
      </c>
      <c r="H1451">
        <f>VLOOKUP(order_details[[#This Row],[ProductID]], products[], 4, FALSE)</f>
        <v>7</v>
      </c>
      <c r="I1451" t="str">
        <f>VLOOKUP(order_details[[#This Row],[OrderID]], orders[[OrderID]:[ShipCountry]], 14, FALSE)</f>
        <v>Denmark</v>
      </c>
      <c r="J1451" s="1">
        <f>_xlfn.XLOOKUP(order_details[[#This Row],[OrderID]], orders[OrderID], orders[Month])</f>
        <v>1</v>
      </c>
    </row>
    <row r="1452" spans="1:10" x14ac:dyDescent="0.35">
      <c r="A1452">
        <v>10802</v>
      </c>
      <c r="B1452">
        <v>55</v>
      </c>
      <c r="C1452">
        <v>24</v>
      </c>
      <c r="D1452">
        <v>60</v>
      </c>
      <c r="E1452">
        <v>0.25</v>
      </c>
      <c r="F1452">
        <v>1080</v>
      </c>
      <c r="G1452" t="str">
        <f>VLOOKUP(VLOOKUP(order_details[[#This Row],[ProductID]], products[], 4, FALSE), categories[], 2, FALSE)</f>
        <v>Meat/Poultry</v>
      </c>
      <c r="H1452">
        <f>VLOOKUP(order_details[[#This Row],[ProductID]], products[], 4, FALSE)</f>
        <v>6</v>
      </c>
      <c r="I1452" t="str">
        <f>VLOOKUP(order_details[[#This Row],[OrderID]], orders[[OrderID]:[ShipCountry]], 14, FALSE)</f>
        <v>Denmark</v>
      </c>
      <c r="J1452" s="1">
        <f>_xlfn.XLOOKUP(order_details[[#This Row],[OrderID]], orders[OrderID], orders[Month])</f>
        <v>1</v>
      </c>
    </row>
    <row r="1453" spans="1:10" x14ac:dyDescent="0.35">
      <c r="A1453">
        <v>10802</v>
      </c>
      <c r="B1453">
        <v>62</v>
      </c>
      <c r="C1453">
        <v>49.3</v>
      </c>
      <c r="D1453">
        <v>5</v>
      </c>
      <c r="E1453">
        <v>0.25</v>
      </c>
      <c r="F1453">
        <v>184.875</v>
      </c>
      <c r="G1453" t="str">
        <f>VLOOKUP(VLOOKUP(order_details[[#This Row],[ProductID]], products[], 4, FALSE), categories[], 2, FALSE)</f>
        <v>Confections</v>
      </c>
      <c r="H1453">
        <f>VLOOKUP(order_details[[#This Row],[ProductID]], products[], 4, FALSE)</f>
        <v>3</v>
      </c>
      <c r="I1453" t="str">
        <f>VLOOKUP(order_details[[#This Row],[OrderID]], orders[[OrderID]:[ShipCountry]], 14, FALSE)</f>
        <v>Denmark</v>
      </c>
      <c r="J1453" s="1">
        <f>_xlfn.XLOOKUP(order_details[[#This Row],[OrderID]], orders[OrderID], orders[Month])</f>
        <v>1</v>
      </c>
    </row>
    <row r="1454" spans="1:10" x14ac:dyDescent="0.35">
      <c r="A1454">
        <v>10803</v>
      </c>
      <c r="B1454">
        <v>19</v>
      </c>
      <c r="C1454">
        <v>9.1999999999999993</v>
      </c>
      <c r="D1454">
        <v>24</v>
      </c>
      <c r="E1454">
        <v>0.05</v>
      </c>
      <c r="F1454">
        <v>209.75999999999996</v>
      </c>
      <c r="G1454" t="str">
        <f>VLOOKUP(VLOOKUP(order_details[[#This Row],[ProductID]], products[], 4, FALSE), categories[], 2, FALSE)</f>
        <v>Confections</v>
      </c>
      <c r="H1454">
        <f>VLOOKUP(order_details[[#This Row],[ProductID]], products[], 4, FALSE)</f>
        <v>3</v>
      </c>
      <c r="I1454" t="str">
        <f>VLOOKUP(order_details[[#This Row],[OrderID]], orders[[OrderID]:[ShipCountry]], 14, FALSE)</f>
        <v>Brazil</v>
      </c>
      <c r="J1454" s="1">
        <f>_xlfn.XLOOKUP(order_details[[#This Row],[OrderID]], orders[OrderID], orders[Month])</f>
        <v>1</v>
      </c>
    </row>
    <row r="1455" spans="1:10" x14ac:dyDescent="0.35">
      <c r="A1455">
        <v>10803</v>
      </c>
      <c r="B1455">
        <v>25</v>
      </c>
      <c r="C1455">
        <v>14</v>
      </c>
      <c r="D1455">
        <v>15</v>
      </c>
      <c r="E1455">
        <v>0.05</v>
      </c>
      <c r="F1455">
        <v>199.5</v>
      </c>
      <c r="G1455" t="str">
        <f>VLOOKUP(VLOOKUP(order_details[[#This Row],[ProductID]], products[], 4, FALSE), categories[], 2, FALSE)</f>
        <v>Confections</v>
      </c>
      <c r="H1455">
        <f>VLOOKUP(order_details[[#This Row],[ProductID]], products[], 4, FALSE)</f>
        <v>3</v>
      </c>
      <c r="I1455" t="str">
        <f>VLOOKUP(order_details[[#This Row],[OrderID]], orders[[OrderID]:[ShipCountry]], 14, FALSE)</f>
        <v>Brazil</v>
      </c>
      <c r="J1455" s="1">
        <f>_xlfn.XLOOKUP(order_details[[#This Row],[OrderID]], orders[OrderID], orders[Month])</f>
        <v>1</v>
      </c>
    </row>
    <row r="1456" spans="1:10" x14ac:dyDescent="0.35">
      <c r="A1456">
        <v>10803</v>
      </c>
      <c r="B1456">
        <v>59</v>
      </c>
      <c r="C1456">
        <v>55</v>
      </c>
      <c r="D1456">
        <v>15</v>
      </c>
      <c r="E1456">
        <v>0.05</v>
      </c>
      <c r="F1456">
        <v>783.75</v>
      </c>
      <c r="G1456" t="str">
        <f>VLOOKUP(VLOOKUP(order_details[[#This Row],[ProductID]], products[], 4, FALSE), categories[], 2, FALSE)</f>
        <v>Dairy Products</v>
      </c>
      <c r="H1456">
        <f>VLOOKUP(order_details[[#This Row],[ProductID]], products[], 4, FALSE)</f>
        <v>4</v>
      </c>
      <c r="I1456" t="str">
        <f>VLOOKUP(order_details[[#This Row],[OrderID]], orders[[OrderID]:[ShipCountry]], 14, FALSE)</f>
        <v>Brazil</v>
      </c>
      <c r="J1456" s="1">
        <f>_xlfn.XLOOKUP(order_details[[#This Row],[OrderID]], orders[OrderID], orders[Month])</f>
        <v>1</v>
      </c>
    </row>
    <row r="1457" spans="1:10" x14ac:dyDescent="0.35">
      <c r="A1457">
        <v>10804</v>
      </c>
      <c r="B1457">
        <v>10</v>
      </c>
      <c r="C1457">
        <v>31</v>
      </c>
      <c r="D1457">
        <v>36</v>
      </c>
      <c r="E1457">
        <v>0</v>
      </c>
      <c r="F1457">
        <v>1116</v>
      </c>
      <c r="G1457" t="str">
        <f>VLOOKUP(VLOOKUP(order_details[[#This Row],[ProductID]], products[], 4, FALSE), categories[], 2, FALSE)</f>
        <v>Seafood</v>
      </c>
      <c r="H1457">
        <f>VLOOKUP(order_details[[#This Row],[ProductID]], products[], 4, FALSE)</f>
        <v>8</v>
      </c>
      <c r="I1457" t="str">
        <f>VLOOKUP(order_details[[#This Row],[OrderID]], orders[[OrderID]:[ShipCountry]], 14, FALSE)</f>
        <v>UK</v>
      </c>
      <c r="J1457" s="1">
        <f>_xlfn.XLOOKUP(order_details[[#This Row],[OrderID]], orders[OrderID], orders[Month])</f>
        <v>1</v>
      </c>
    </row>
    <row r="1458" spans="1:10" x14ac:dyDescent="0.35">
      <c r="A1458">
        <v>10804</v>
      </c>
      <c r="B1458">
        <v>28</v>
      </c>
      <c r="C1458">
        <v>45.6</v>
      </c>
      <c r="D1458">
        <v>24</v>
      </c>
      <c r="E1458">
        <v>0</v>
      </c>
      <c r="F1458">
        <v>1094.4000000000001</v>
      </c>
      <c r="G1458" t="str">
        <f>VLOOKUP(VLOOKUP(order_details[[#This Row],[ProductID]], products[], 4, FALSE), categories[], 2, FALSE)</f>
        <v>Produce</v>
      </c>
      <c r="H1458">
        <f>VLOOKUP(order_details[[#This Row],[ProductID]], products[], 4, FALSE)</f>
        <v>7</v>
      </c>
      <c r="I1458" t="str">
        <f>VLOOKUP(order_details[[#This Row],[OrderID]], orders[[OrderID]:[ShipCountry]], 14, FALSE)</f>
        <v>UK</v>
      </c>
      <c r="J1458" s="1">
        <f>_xlfn.XLOOKUP(order_details[[#This Row],[OrderID]], orders[OrderID], orders[Month])</f>
        <v>1</v>
      </c>
    </row>
    <row r="1459" spans="1:10" x14ac:dyDescent="0.35">
      <c r="A1459">
        <v>10804</v>
      </c>
      <c r="B1459">
        <v>49</v>
      </c>
      <c r="C1459">
        <v>20</v>
      </c>
      <c r="D1459">
        <v>4</v>
      </c>
      <c r="E1459">
        <v>0.15</v>
      </c>
      <c r="F1459">
        <v>68</v>
      </c>
      <c r="G1459" t="str">
        <f>VLOOKUP(VLOOKUP(order_details[[#This Row],[ProductID]], products[], 4, FALSE), categories[], 2, FALSE)</f>
        <v>Confections</v>
      </c>
      <c r="H1459">
        <f>VLOOKUP(order_details[[#This Row],[ProductID]], products[], 4, FALSE)</f>
        <v>3</v>
      </c>
      <c r="I1459" t="str">
        <f>VLOOKUP(order_details[[#This Row],[OrderID]], orders[[OrderID]:[ShipCountry]], 14, FALSE)</f>
        <v>UK</v>
      </c>
      <c r="J1459" s="1">
        <f>_xlfn.XLOOKUP(order_details[[#This Row],[OrderID]], orders[OrderID], orders[Month])</f>
        <v>1</v>
      </c>
    </row>
    <row r="1460" spans="1:10" x14ac:dyDescent="0.35">
      <c r="A1460">
        <v>10805</v>
      </c>
      <c r="B1460">
        <v>34</v>
      </c>
      <c r="C1460">
        <v>14</v>
      </c>
      <c r="D1460">
        <v>10</v>
      </c>
      <c r="E1460">
        <v>0</v>
      </c>
      <c r="F1460">
        <v>140</v>
      </c>
      <c r="G1460" t="str">
        <f>VLOOKUP(VLOOKUP(order_details[[#This Row],[ProductID]], products[], 4, FALSE), categories[], 2, FALSE)</f>
        <v>Beverages</v>
      </c>
      <c r="H1460">
        <f>VLOOKUP(order_details[[#This Row],[ProductID]], products[], 4, FALSE)</f>
        <v>1</v>
      </c>
      <c r="I1460" t="str">
        <f>VLOOKUP(order_details[[#This Row],[OrderID]], orders[[OrderID]:[ShipCountry]], 14, FALSE)</f>
        <v>USA</v>
      </c>
      <c r="J1460" s="1">
        <f>_xlfn.XLOOKUP(order_details[[#This Row],[OrderID]], orders[OrderID], orders[Month])</f>
        <v>1</v>
      </c>
    </row>
    <row r="1461" spans="1:10" x14ac:dyDescent="0.35">
      <c r="A1461">
        <v>10805</v>
      </c>
      <c r="B1461">
        <v>38</v>
      </c>
      <c r="C1461">
        <v>263.5</v>
      </c>
      <c r="D1461">
        <v>10</v>
      </c>
      <c r="E1461">
        <v>0</v>
      </c>
      <c r="F1461">
        <v>2635</v>
      </c>
      <c r="G1461" t="str">
        <f>VLOOKUP(VLOOKUP(order_details[[#This Row],[ProductID]], products[], 4, FALSE), categories[], 2, FALSE)</f>
        <v>Beverages</v>
      </c>
      <c r="H1461">
        <f>VLOOKUP(order_details[[#This Row],[ProductID]], products[], 4, FALSE)</f>
        <v>1</v>
      </c>
      <c r="I1461" t="str">
        <f>VLOOKUP(order_details[[#This Row],[OrderID]], orders[[OrderID]:[ShipCountry]], 14, FALSE)</f>
        <v>USA</v>
      </c>
      <c r="J1461" s="1">
        <f>_xlfn.XLOOKUP(order_details[[#This Row],[OrderID]], orders[OrderID], orders[Month])</f>
        <v>1</v>
      </c>
    </row>
    <row r="1462" spans="1:10" x14ac:dyDescent="0.35">
      <c r="A1462">
        <v>10806</v>
      </c>
      <c r="B1462">
        <v>2</v>
      </c>
      <c r="C1462">
        <v>19</v>
      </c>
      <c r="D1462">
        <v>20</v>
      </c>
      <c r="E1462">
        <v>0.25</v>
      </c>
      <c r="F1462">
        <v>285</v>
      </c>
      <c r="G1462" t="str">
        <f>VLOOKUP(VLOOKUP(order_details[[#This Row],[ProductID]], products[], 4, FALSE), categories[], 2, FALSE)</f>
        <v>Beverages</v>
      </c>
      <c r="H1462">
        <f>VLOOKUP(order_details[[#This Row],[ProductID]], products[], 4, FALSE)</f>
        <v>1</v>
      </c>
      <c r="I1462" t="str">
        <f>VLOOKUP(order_details[[#This Row],[OrderID]], orders[[OrderID]:[ShipCountry]], 14, FALSE)</f>
        <v>France</v>
      </c>
      <c r="J1462" s="1">
        <f>_xlfn.XLOOKUP(order_details[[#This Row],[OrderID]], orders[OrderID], orders[Month])</f>
        <v>1</v>
      </c>
    </row>
    <row r="1463" spans="1:10" x14ac:dyDescent="0.35">
      <c r="A1463">
        <v>10806</v>
      </c>
      <c r="B1463">
        <v>65</v>
      </c>
      <c r="C1463">
        <v>21.05</v>
      </c>
      <c r="D1463">
        <v>2</v>
      </c>
      <c r="E1463">
        <v>0</v>
      </c>
      <c r="F1463">
        <v>42.1</v>
      </c>
      <c r="G1463" t="str">
        <f>VLOOKUP(VLOOKUP(order_details[[#This Row],[ProductID]], products[], 4, FALSE), categories[], 2, FALSE)</f>
        <v>Condiments</v>
      </c>
      <c r="H1463">
        <f>VLOOKUP(order_details[[#This Row],[ProductID]], products[], 4, FALSE)</f>
        <v>2</v>
      </c>
      <c r="I1463" t="str">
        <f>VLOOKUP(order_details[[#This Row],[OrderID]], orders[[OrderID]:[ShipCountry]], 14, FALSE)</f>
        <v>France</v>
      </c>
      <c r="J1463" s="1">
        <f>_xlfn.XLOOKUP(order_details[[#This Row],[OrderID]], orders[OrderID], orders[Month])</f>
        <v>1</v>
      </c>
    </row>
    <row r="1464" spans="1:10" x14ac:dyDescent="0.35">
      <c r="A1464">
        <v>10806</v>
      </c>
      <c r="B1464">
        <v>74</v>
      </c>
      <c r="C1464">
        <v>10</v>
      </c>
      <c r="D1464">
        <v>15</v>
      </c>
      <c r="E1464">
        <v>0.25</v>
      </c>
      <c r="F1464">
        <v>112.5</v>
      </c>
      <c r="G1464" t="str">
        <f>VLOOKUP(VLOOKUP(order_details[[#This Row],[ProductID]], products[], 4, FALSE), categories[], 2, FALSE)</f>
        <v>Produce</v>
      </c>
      <c r="H1464">
        <f>VLOOKUP(order_details[[#This Row],[ProductID]], products[], 4, FALSE)</f>
        <v>7</v>
      </c>
      <c r="I1464" t="str">
        <f>VLOOKUP(order_details[[#This Row],[OrderID]], orders[[OrderID]:[ShipCountry]], 14, FALSE)</f>
        <v>France</v>
      </c>
      <c r="J1464" s="1">
        <f>_xlfn.XLOOKUP(order_details[[#This Row],[OrderID]], orders[OrderID], orders[Month])</f>
        <v>1</v>
      </c>
    </row>
    <row r="1465" spans="1:10" x14ac:dyDescent="0.35">
      <c r="A1465">
        <v>10807</v>
      </c>
      <c r="B1465">
        <v>40</v>
      </c>
      <c r="C1465">
        <v>18.399999999999999</v>
      </c>
      <c r="D1465">
        <v>1</v>
      </c>
      <c r="E1465">
        <v>0</v>
      </c>
      <c r="F1465">
        <v>18.399999999999999</v>
      </c>
      <c r="G1465" t="str">
        <f>VLOOKUP(VLOOKUP(order_details[[#This Row],[ProductID]], products[], 4, FALSE), categories[], 2, FALSE)</f>
        <v>Seafood</v>
      </c>
      <c r="H1465">
        <f>VLOOKUP(order_details[[#This Row],[ProductID]], products[], 4, FALSE)</f>
        <v>8</v>
      </c>
      <c r="I1465" t="str">
        <f>VLOOKUP(order_details[[#This Row],[OrderID]], orders[[OrderID]:[ShipCountry]], 14, FALSE)</f>
        <v>Italy</v>
      </c>
      <c r="J1465" s="1">
        <f>_xlfn.XLOOKUP(order_details[[#This Row],[OrderID]], orders[OrderID], orders[Month])</f>
        <v>1</v>
      </c>
    </row>
    <row r="1466" spans="1:10" x14ac:dyDescent="0.35">
      <c r="A1466">
        <v>10808</v>
      </c>
      <c r="B1466">
        <v>56</v>
      </c>
      <c r="C1466">
        <v>38</v>
      </c>
      <c r="D1466">
        <v>20</v>
      </c>
      <c r="E1466">
        <v>0.15</v>
      </c>
      <c r="F1466">
        <v>646</v>
      </c>
      <c r="G1466" t="str">
        <f>VLOOKUP(VLOOKUP(order_details[[#This Row],[ProductID]], products[], 4, FALSE), categories[], 2, FALSE)</f>
        <v>Grains/Cereals</v>
      </c>
      <c r="H1466">
        <f>VLOOKUP(order_details[[#This Row],[ProductID]], products[], 4, FALSE)</f>
        <v>5</v>
      </c>
      <c r="I1466" t="str">
        <f>VLOOKUP(order_details[[#This Row],[OrderID]], orders[[OrderID]:[ShipCountry]], 14, FALSE)</f>
        <v>USA</v>
      </c>
      <c r="J1466" s="1">
        <f>_xlfn.XLOOKUP(order_details[[#This Row],[OrderID]], orders[OrderID], orders[Month])</f>
        <v>2</v>
      </c>
    </row>
    <row r="1467" spans="1:10" x14ac:dyDescent="0.35">
      <c r="A1467">
        <v>10808</v>
      </c>
      <c r="B1467">
        <v>76</v>
      </c>
      <c r="C1467">
        <v>18</v>
      </c>
      <c r="D1467">
        <v>50</v>
      </c>
      <c r="E1467">
        <v>0.15</v>
      </c>
      <c r="F1467">
        <v>765</v>
      </c>
      <c r="G1467" t="str">
        <f>VLOOKUP(VLOOKUP(order_details[[#This Row],[ProductID]], products[], 4, FALSE), categories[], 2, FALSE)</f>
        <v>Beverages</v>
      </c>
      <c r="H1467">
        <f>VLOOKUP(order_details[[#This Row],[ProductID]], products[], 4, FALSE)</f>
        <v>1</v>
      </c>
      <c r="I1467" t="str">
        <f>VLOOKUP(order_details[[#This Row],[OrderID]], orders[[OrderID]:[ShipCountry]], 14, FALSE)</f>
        <v>USA</v>
      </c>
      <c r="J1467" s="1">
        <f>_xlfn.XLOOKUP(order_details[[#This Row],[OrderID]], orders[OrderID], orders[Month])</f>
        <v>2</v>
      </c>
    </row>
    <row r="1468" spans="1:10" x14ac:dyDescent="0.35">
      <c r="A1468">
        <v>10809</v>
      </c>
      <c r="B1468">
        <v>52</v>
      </c>
      <c r="C1468">
        <v>7</v>
      </c>
      <c r="D1468">
        <v>20</v>
      </c>
      <c r="E1468">
        <v>0</v>
      </c>
      <c r="F1468">
        <v>140</v>
      </c>
      <c r="G1468" t="str">
        <f>VLOOKUP(VLOOKUP(order_details[[#This Row],[ProductID]], products[], 4, FALSE), categories[], 2, FALSE)</f>
        <v>Grains/Cereals</v>
      </c>
      <c r="H1468">
        <f>VLOOKUP(order_details[[#This Row],[ProductID]], products[], 4, FALSE)</f>
        <v>5</v>
      </c>
      <c r="I1468" t="str">
        <f>VLOOKUP(order_details[[#This Row],[OrderID]], orders[[OrderID]:[ShipCountry]], 14, FALSE)</f>
        <v>Brazil</v>
      </c>
      <c r="J1468" s="1">
        <f>_xlfn.XLOOKUP(order_details[[#This Row],[OrderID]], orders[OrderID], orders[Month])</f>
        <v>2</v>
      </c>
    </row>
    <row r="1469" spans="1:10" x14ac:dyDescent="0.35">
      <c r="A1469">
        <v>10810</v>
      </c>
      <c r="B1469">
        <v>13</v>
      </c>
      <c r="C1469">
        <v>6</v>
      </c>
      <c r="D1469">
        <v>7</v>
      </c>
      <c r="E1469">
        <v>0</v>
      </c>
      <c r="F1469">
        <v>42</v>
      </c>
      <c r="G1469" t="str">
        <f>VLOOKUP(VLOOKUP(order_details[[#This Row],[ProductID]], products[], 4, FALSE), categories[], 2, FALSE)</f>
        <v>Seafood</v>
      </c>
      <c r="H1469">
        <f>VLOOKUP(order_details[[#This Row],[ProductID]], products[], 4, FALSE)</f>
        <v>8</v>
      </c>
      <c r="I1469" t="str">
        <f>VLOOKUP(order_details[[#This Row],[OrderID]], orders[[OrderID]:[ShipCountry]], 14, FALSE)</f>
        <v>Canada</v>
      </c>
      <c r="J1469" s="1">
        <f>_xlfn.XLOOKUP(order_details[[#This Row],[OrderID]], orders[OrderID], orders[Month])</f>
        <v>2</v>
      </c>
    </row>
    <row r="1470" spans="1:10" x14ac:dyDescent="0.35">
      <c r="A1470">
        <v>10810</v>
      </c>
      <c r="B1470">
        <v>25</v>
      </c>
      <c r="C1470">
        <v>14</v>
      </c>
      <c r="D1470">
        <v>5</v>
      </c>
      <c r="E1470">
        <v>0</v>
      </c>
      <c r="F1470">
        <v>70</v>
      </c>
      <c r="G1470" t="str">
        <f>VLOOKUP(VLOOKUP(order_details[[#This Row],[ProductID]], products[], 4, FALSE), categories[], 2, FALSE)</f>
        <v>Confections</v>
      </c>
      <c r="H1470">
        <f>VLOOKUP(order_details[[#This Row],[ProductID]], products[], 4, FALSE)</f>
        <v>3</v>
      </c>
      <c r="I1470" t="str">
        <f>VLOOKUP(order_details[[#This Row],[OrderID]], orders[[OrderID]:[ShipCountry]], 14, FALSE)</f>
        <v>Canada</v>
      </c>
      <c r="J1470" s="1">
        <f>_xlfn.XLOOKUP(order_details[[#This Row],[OrderID]], orders[OrderID], orders[Month])</f>
        <v>2</v>
      </c>
    </row>
    <row r="1471" spans="1:10" x14ac:dyDescent="0.35">
      <c r="A1471">
        <v>10810</v>
      </c>
      <c r="B1471">
        <v>70</v>
      </c>
      <c r="C1471">
        <v>15</v>
      </c>
      <c r="D1471">
        <v>5</v>
      </c>
      <c r="E1471">
        <v>0</v>
      </c>
      <c r="F1471">
        <v>75</v>
      </c>
      <c r="G1471" t="str">
        <f>VLOOKUP(VLOOKUP(order_details[[#This Row],[ProductID]], products[], 4, FALSE), categories[], 2, FALSE)</f>
        <v>Beverages</v>
      </c>
      <c r="H1471">
        <f>VLOOKUP(order_details[[#This Row],[ProductID]], products[], 4, FALSE)</f>
        <v>1</v>
      </c>
      <c r="I1471" t="str">
        <f>VLOOKUP(order_details[[#This Row],[OrderID]], orders[[OrderID]:[ShipCountry]], 14, FALSE)</f>
        <v>Canada</v>
      </c>
      <c r="J1471" s="1">
        <f>_xlfn.XLOOKUP(order_details[[#This Row],[OrderID]], orders[OrderID], orders[Month])</f>
        <v>2</v>
      </c>
    </row>
    <row r="1472" spans="1:10" x14ac:dyDescent="0.35">
      <c r="A1472">
        <v>10811</v>
      </c>
      <c r="B1472">
        <v>19</v>
      </c>
      <c r="C1472">
        <v>9.1999999999999993</v>
      </c>
      <c r="D1472">
        <v>15</v>
      </c>
      <c r="E1472">
        <v>0</v>
      </c>
      <c r="F1472">
        <v>138</v>
      </c>
      <c r="G1472" t="str">
        <f>VLOOKUP(VLOOKUP(order_details[[#This Row],[ProductID]], products[], 4, FALSE), categories[], 2, FALSE)</f>
        <v>Confections</v>
      </c>
      <c r="H1472">
        <f>VLOOKUP(order_details[[#This Row],[ProductID]], products[], 4, FALSE)</f>
        <v>3</v>
      </c>
      <c r="I1472" t="str">
        <f>VLOOKUP(order_details[[#This Row],[OrderID]], orders[[OrderID]:[ShipCountry]], 14, FALSE)</f>
        <v>Venezuela</v>
      </c>
      <c r="J1472" s="1">
        <f>_xlfn.XLOOKUP(order_details[[#This Row],[OrderID]], orders[OrderID], orders[Month])</f>
        <v>2</v>
      </c>
    </row>
    <row r="1473" spans="1:10" x14ac:dyDescent="0.35">
      <c r="A1473">
        <v>10811</v>
      </c>
      <c r="B1473">
        <v>23</v>
      </c>
      <c r="C1473">
        <v>9</v>
      </c>
      <c r="D1473">
        <v>18</v>
      </c>
      <c r="E1473">
        <v>0</v>
      </c>
      <c r="F1473">
        <v>162</v>
      </c>
      <c r="G1473" t="str">
        <f>VLOOKUP(VLOOKUP(order_details[[#This Row],[ProductID]], products[], 4, FALSE), categories[], 2, FALSE)</f>
        <v>Grains/Cereals</v>
      </c>
      <c r="H1473">
        <f>VLOOKUP(order_details[[#This Row],[ProductID]], products[], 4, FALSE)</f>
        <v>5</v>
      </c>
      <c r="I1473" t="str">
        <f>VLOOKUP(order_details[[#This Row],[OrderID]], orders[[OrderID]:[ShipCountry]], 14, FALSE)</f>
        <v>Venezuela</v>
      </c>
      <c r="J1473" s="1">
        <f>_xlfn.XLOOKUP(order_details[[#This Row],[OrderID]], orders[OrderID], orders[Month])</f>
        <v>2</v>
      </c>
    </row>
    <row r="1474" spans="1:10" x14ac:dyDescent="0.35">
      <c r="A1474">
        <v>10811</v>
      </c>
      <c r="B1474">
        <v>40</v>
      </c>
      <c r="C1474">
        <v>18.399999999999999</v>
      </c>
      <c r="D1474">
        <v>30</v>
      </c>
      <c r="E1474">
        <v>0</v>
      </c>
      <c r="F1474">
        <v>552</v>
      </c>
      <c r="G1474" t="str">
        <f>VLOOKUP(VLOOKUP(order_details[[#This Row],[ProductID]], products[], 4, FALSE), categories[], 2, FALSE)</f>
        <v>Seafood</v>
      </c>
      <c r="H1474">
        <f>VLOOKUP(order_details[[#This Row],[ProductID]], products[], 4, FALSE)</f>
        <v>8</v>
      </c>
      <c r="I1474" t="str">
        <f>VLOOKUP(order_details[[#This Row],[OrderID]], orders[[OrderID]:[ShipCountry]], 14, FALSE)</f>
        <v>Venezuela</v>
      </c>
      <c r="J1474" s="1">
        <f>_xlfn.XLOOKUP(order_details[[#This Row],[OrderID]], orders[OrderID], orders[Month])</f>
        <v>2</v>
      </c>
    </row>
    <row r="1475" spans="1:10" x14ac:dyDescent="0.35">
      <c r="A1475">
        <v>10812</v>
      </c>
      <c r="B1475">
        <v>31</v>
      </c>
      <c r="C1475">
        <v>12.5</v>
      </c>
      <c r="D1475">
        <v>16</v>
      </c>
      <c r="E1475">
        <v>0.1</v>
      </c>
      <c r="F1475">
        <v>180</v>
      </c>
      <c r="G1475" t="str">
        <f>VLOOKUP(VLOOKUP(order_details[[#This Row],[ProductID]], products[], 4, FALSE), categories[], 2, FALSE)</f>
        <v>Dairy Products</v>
      </c>
      <c r="H1475">
        <f>VLOOKUP(order_details[[#This Row],[ProductID]], products[], 4, FALSE)</f>
        <v>4</v>
      </c>
      <c r="I1475" t="str">
        <f>VLOOKUP(order_details[[#This Row],[OrderID]], orders[[OrderID]:[ShipCountry]], 14, FALSE)</f>
        <v>Italy</v>
      </c>
      <c r="J1475" s="1">
        <f>_xlfn.XLOOKUP(order_details[[#This Row],[OrderID]], orders[OrderID], orders[Month])</f>
        <v>2</v>
      </c>
    </row>
    <row r="1476" spans="1:10" x14ac:dyDescent="0.35">
      <c r="A1476">
        <v>10812</v>
      </c>
      <c r="B1476">
        <v>72</v>
      </c>
      <c r="C1476">
        <v>34.799999999999997</v>
      </c>
      <c r="D1476">
        <v>40</v>
      </c>
      <c r="E1476">
        <v>0.1</v>
      </c>
      <c r="F1476">
        <v>1252.8</v>
      </c>
      <c r="G1476" t="str">
        <f>VLOOKUP(VLOOKUP(order_details[[#This Row],[ProductID]], products[], 4, FALSE), categories[], 2, FALSE)</f>
        <v>Dairy Products</v>
      </c>
      <c r="H1476">
        <f>VLOOKUP(order_details[[#This Row],[ProductID]], products[], 4, FALSE)</f>
        <v>4</v>
      </c>
      <c r="I1476" t="str">
        <f>VLOOKUP(order_details[[#This Row],[OrderID]], orders[[OrderID]:[ShipCountry]], 14, FALSE)</f>
        <v>Italy</v>
      </c>
      <c r="J1476" s="1">
        <f>_xlfn.XLOOKUP(order_details[[#This Row],[OrderID]], orders[OrderID], orders[Month])</f>
        <v>2</v>
      </c>
    </row>
    <row r="1477" spans="1:10" x14ac:dyDescent="0.35">
      <c r="A1477">
        <v>10812</v>
      </c>
      <c r="B1477">
        <v>77</v>
      </c>
      <c r="C1477">
        <v>13</v>
      </c>
      <c r="D1477">
        <v>20</v>
      </c>
      <c r="E1477">
        <v>0</v>
      </c>
      <c r="F1477">
        <v>260</v>
      </c>
      <c r="G1477" t="str">
        <f>VLOOKUP(VLOOKUP(order_details[[#This Row],[ProductID]], products[], 4, FALSE), categories[], 2, FALSE)</f>
        <v>Condiments</v>
      </c>
      <c r="H1477">
        <f>VLOOKUP(order_details[[#This Row],[ProductID]], products[], 4, FALSE)</f>
        <v>2</v>
      </c>
      <c r="I1477" t="str">
        <f>VLOOKUP(order_details[[#This Row],[OrderID]], orders[[OrderID]:[ShipCountry]], 14, FALSE)</f>
        <v>Italy</v>
      </c>
      <c r="J1477" s="1">
        <f>_xlfn.XLOOKUP(order_details[[#This Row],[OrderID]], orders[OrderID], orders[Month])</f>
        <v>2</v>
      </c>
    </row>
    <row r="1478" spans="1:10" x14ac:dyDescent="0.35">
      <c r="A1478">
        <v>10813</v>
      </c>
      <c r="B1478">
        <v>2</v>
      </c>
      <c r="C1478">
        <v>19</v>
      </c>
      <c r="D1478">
        <v>12</v>
      </c>
      <c r="E1478">
        <v>0.2</v>
      </c>
      <c r="F1478">
        <v>182.4</v>
      </c>
      <c r="G1478" t="str">
        <f>VLOOKUP(VLOOKUP(order_details[[#This Row],[ProductID]], products[], 4, FALSE), categories[], 2, FALSE)</f>
        <v>Beverages</v>
      </c>
      <c r="H1478">
        <f>VLOOKUP(order_details[[#This Row],[ProductID]], products[], 4, FALSE)</f>
        <v>1</v>
      </c>
      <c r="I1478" t="str">
        <f>VLOOKUP(order_details[[#This Row],[OrderID]], orders[[OrderID]:[ShipCountry]], 14, FALSE)</f>
        <v>Brazil</v>
      </c>
      <c r="J1478" s="1">
        <f>_xlfn.XLOOKUP(order_details[[#This Row],[OrderID]], orders[OrderID], orders[Month])</f>
        <v>2</v>
      </c>
    </row>
    <row r="1479" spans="1:10" x14ac:dyDescent="0.35">
      <c r="A1479">
        <v>10813</v>
      </c>
      <c r="B1479">
        <v>46</v>
      </c>
      <c r="C1479">
        <v>12</v>
      </c>
      <c r="D1479">
        <v>35</v>
      </c>
      <c r="E1479">
        <v>0</v>
      </c>
      <c r="F1479">
        <v>420</v>
      </c>
      <c r="G1479" t="str">
        <f>VLOOKUP(VLOOKUP(order_details[[#This Row],[ProductID]], products[], 4, FALSE), categories[], 2, FALSE)</f>
        <v>Seafood</v>
      </c>
      <c r="H1479">
        <f>VLOOKUP(order_details[[#This Row],[ProductID]], products[], 4, FALSE)</f>
        <v>8</v>
      </c>
      <c r="I1479" t="str">
        <f>VLOOKUP(order_details[[#This Row],[OrderID]], orders[[OrderID]:[ShipCountry]], 14, FALSE)</f>
        <v>Brazil</v>
      </c>
      <c r="J1479" s="1">
        <f>_xlfn.XLOOKUP(order_details[[#This Row],[OrderID]], orders[OrderID], orders[Month])</f>
        <v>2</v>
      </c>
    </row>
    <row r="1480" spans="1:10" x14ac:dyDescent="0.35">
      <c r="A1480">
        <v>10814</v>
      </c>
      <c r="B1480">
        <v>41</v>
      </c>
      <c r="C1480">
        <v>9.65</v>
      </c>
      <c r="D1480">
        <v>20</v>
      </c>
      <c r="E1480">
        <v>0</v>
      </c>
      <c r="F1480">
        <v>193</v>
      </c>
      <c r="G1480" t="str">
        <f>VLOOKUP(VLOOKUP(order_details[[#This Row],[ProductID]], products[], 4, FALSE), categories[], 2, FALSE)</f>
        <v>Seafood</v>
      </c>
      <c r="H1480">
        <f>VLOOKUP(order_details[[#This Row],[ProductID]], products[], 4, FALSE)</f>
        <v>8</v>
      </c>
      <c r="I1480" t="str">
        <f>VLOOKUP(order_details[[#This Row],[OrderID]], orders[[OrderID]:[ShipCountry]], 14, FALSE)</f>
        <v>France</v>
      </c>
      <c r="J1480" s="1">
        <f>_xlfn.XLOOKUP(order_details[[#This Row],[OrderID]], orders[OrderID], orders[Month])</f>
        <v>2</v>
      </c>
    </row>
    <row r="1481" spans="1:10" x14ac:dyDescent="0.35">
      <c r="A1481">
        <v>10814</v>
      </c>
      <c r="B1481">
        <v>43</v>
      </c>
      <c r="C1481">
        <v>46</v>
      </c>
      <c r="D1481">
        <v>20</v>
      </c>
      <c r="E1481">
        <v>0.15</v>
      </c>
      <c r="F1481">
        <v>782</v>
      </c>
      <c r="G1481" t="str">
        <f>VLOOKUP(VLOOKUP(order_details[[#This Row],[ProductID]], products[], 4, FALSE), categories[], 2, FALSE)</f>
        <v>Beverages</v>
      </c>
      <c r="H1481">
        <f>VLOOKUP(order_details[[#This Row],[ProductID]], products[], 4, FALSE)</f>
        <v>1</v>
      </c>
      <c r="I1481" t="str">
        <f>VLOOKUP(order_details[[#This Row],[OrderID]], orders[[OrderID]:[ShipCountry]], 14, FALSE)</f>
        <v>France</v>
      </c>
      <c r="J1481" s="1">
        <f>_xlfn.XLOOKUP(order_details[[#This Row],[OrderID]], orders[OrderID], orders[Month])</f>
        <v>2</v>
      </c>
    </row>
    <row r="1482" spans="1:10" x14ac:dyDescent="0.35">
      <c r="A1482">
        <v>10814</v>
      </c>
      <c r="B1482">
        <v>48</v>
      </c>
      <c r="C1482">
        <v>12.75</v>
      </c>
      <c r="D1482">
        <v>8</v>
      </c>
      <c r="E1482">
        <v>0.15</v>
      </c>
      <c r="F1482">
        <v>86.7</v>
      </c>
      <c r="G1482" t="str">
        <f>VLOOKUP(VLOOKUP(order_details[[#This Row],[ProductID]], products[], 4, FALSE), categories[], 2, FALSE)</f>
        <v>Confections</v>
      </c>
      <c r="H1482">
        <f>VLOOKUP(order_details[[#This Row],[ProductID]], products[], 4, FALSE)</f>
        <v>3</v>
      </c>
      <c r="I1482" t="str">
        <f>VLOOKUP(order_details[[#This Row],[OrderID]], orders[[OrderID]:[ShipCountry]], 14, FALSE)</f>
        <v>France</v>
      </c>
      <c r="J1482" s="1">
        <f>_xlfn.XLOOKUP(order_details[[#This Row],[OrderID]], orders[OrderID], orders[Month])</f>
        <v>2</v>
      </c>
    </row>
    <row r="1483" spans="1:10" x14ac:dyDescent="0.35">
      <c r="A1483">
        <v>10814</v>
      </c>
      <c r="B1483">
        <v>61</v>
      </c>
      <c r="C1483">
        <v>28.5</v>
      </c>
      <c r="D1483">
        <v>30</v>
      </c>
      <c r="E1483">
        <v>0.15</v>
      </c>
      <c r="F1483">
        <v>726.75</v>
      </c>
      <c r="G1483" t="str">
        <f>VLOOKUP(VLOOKUP(order_details[[#This Row],[ProductID]], products[], 4, FALSE), categories[], 2, FALSE)</f>
        <v>Condiments</v>
      </c>
      <c r="H1483">
        <f>VLOOKUP(order_details[[#This Row],[ProductID]], products[], 4, FALSE)</f>
        <v>2</v>
      </c>
      <c r="I1483" t="str">
        <f>VLOOKUP(order_details[[#This Row],[OrderID]], orders[[OrderID]:[ShipCountry]], 14, FALSE)</f>
        <v>France</v>
      </c>
      <c r="J1483" s="1">
        <f>_xlfn.XLOOKUP(order_details[[#This Row],[OrderID]], orders[OrderID], orders[Month])</f>
        <v>2</v>
      </c>
    </row>
    <row r="1484" spans="1:10" x14ac:dyDescent="0.35">
      <c r="A1484">
        <v>10815</v>
      </c>
      <c r="B1484">
        <v>33</v>
      </c>
      <c r="C1484">
        <v>2.5</v>
      </c>
      <c r="D1484">
        <v>16</v>
      </c>
      <c r="E1484">
        <v>0</v>
      </c>
      <c r="F1484">
        <v>40</v>
      </c>
      <c r="G1484" t="str">
        <f>VLOOKUP(VLOOKUP(order_details[[#This Row],[ProductID]], products[], 4, FALSE), categories[], 2, FALSE)</f>
        <v>Dairy Products</v>
      </c>
      <c r="H1484">
        <f>VLOOKUP(order_details[[#This Row],[ProductID]], products[], 4, FALSE)</f>
        <v>4</v>
      </c>
      <c r="I1484" t="str">
        <f>VLOOKUP(order_details[[#This Row],[OrderID]], orders[[OrderID]:[ShipCountry]], 14, FALSE)</f>
        <v>USA</v>
      </c>
      <c r="J1484" s="1">
        <f>_xlfn.XLOOKUP(order_details[[#This Row],[OrderID]], orders[OrderID], orders[Month])</f>
        <v>2</v>
      </c>
    </row>
    <row r="1485" spans="1:10" x14ac:dyDescent="0.35">
      <c r="A1485">
        <v>10816</v>
      </c>
      <c r="B1485">
        <v>38</v>
      </c>
      <c r="C1485">
        <v>263.5</v>
      </c>
      <c r="D1485">
        <v>30</v>
      </c>
      <c r="E1485">
        <v>0.05</v>
      </c>
      <c r="F1485">
        <v>7509.75</v>
      </c>
      <c r="G1485" t="str">
        <f>VLOOKUP(VLOOKUP(order_details[[#This Row],[ProductID]], products[], 4, FALSE), categories[], 2, FALSE)</f>
        <v>Beverages</v>
      </c>
      <c r="H1485">
        <f>VLOOKUP(order_details[[#This Row],[ProductID]], products[], 4, FALSE)</f>
        <v>1</v>
      </c>
      <c r="I1485" t="str">
        <f>VLOOKUP(order_details[[#This Row],[OrderID]], orders[[OrderID]:[ShipCountry]], 14, FALSE)</f>
        <v>USA</v>
      </c>
      <c r="J1485" s="1">
        <f>_xlfn.XLOOKUP(order_details[[#This Row],[OrderID]], orders[OrderID], orders[Month])</f>
        <v>2</v>
      </c>
    </row>
    <row r="1486" spans="1:10" x14ac:dyDescent="0.35">
      <c r="A1486">
        <v>10816</v>
      </c>
      <c r="B1486">
        <v>62</v>
      </c>
      <c r="C1486">
        <v>49.3</v>
      </c>
      <c r="D1486">
        <v>20</v>
      </c>
      <c r="E1486">
        <v>0.05</v>
      </c>
      <c r="F1486">
        <v>936.69999999999993</v>
      </c>
      <c r="G1486" t="str">
        <f>VLOOKUP(VLOOKUP(order_details[[#This Row],[ProductID]], products[], 4, FALSE), categories[], 2, FALSE)</f>
        <v>Confections</v>
      </c>
      <c r="H1486">
        <f>VLOOKUP(order_details[[#This Row],[ProductID]], products[], 4, FALSE)</f>
        <v>3</v>
      </c>
      <c r="I1486" t="str">
        <f>VLOOKUP(order_details[[#This Row],[OrderID]], orders[[OrderID]:[ShipCountry]], 14, FALSE)</f>
        <v>USA</v>
      </c>
      <c r="J1486" s="1">
        <f>_xlfn.XLOOKUP(order_details[[#This Row],[OrderID]], orders[OrderID], orders[Month])</f>
        <v>2</v>
      </c>
    </row>
    <row r="1487" spans="1:10" x14ac:dyDescent="0.35">
      <c r="A1487">
        <v>10817</v>
      </c>
      <c r="B1487">
        <v>26</v>
      </c>
      <c r="C1487">
        <v>31.23</v>
      </c>
      <c r="D1487">
        <v>40</v>
      </c>
      <c r="E1487">
        <v>0.15</v>
      </c>
      <c r="F1487">
        <v>1061.82</v>
      </c>
      <c r="G1487" t="str">
        <f>VLOOKUP(VLOOKUP(order_details[[#This Row],[ProductID]], products[], 4, FALSE), categories[], 2, FALSE)</f>
        <v>Confections</v>
      </c>
      <c r="H1487">
        <f>VLOOKUP(order_details[[#This Row],[ProductID]], products[], 4, FALSE)</f>
        <v>3</v>
      </c>
      <c r="I1487" t="str">
        <f>VLOOKUP(order_details[[#This Row],[OrderID]], orders[[OrderID]:[ShipCountry]], 14, FALSE)</f>
        <v>Germany</v>
      </c>
      <c r="J1487" s="1">
        <f>_xlfn.XLOOKUP(order_details[[#This Row],[OrderID]], orders[OrderID], orders[Month])</f>
        <v>2</v>
      </c>
    </row>
    <row r="1488" spans="1:10" x14ac:dyDescent="0.35">
      <c r="A1488">
        <v>10817</v>
      </c>
      <c r="B1488">
        <v>38</v>
      </c>
      <c r="C1488">
        <v>263.5</v>
      </c>
      <c r="D1488">
        <v>30</v>
      </c>
      <c r="E1488">
        <v>0</v>
      </c>
      <c r="F1488">
        <v>7905</v>
      </c>
      <c r="G1488" t="str">
        <f>VLOOKUP(VLOOKUP(order_details[[#This Row],[ProductID]], products[], 4, FALSE), categories[], 2, FALSE)</f>
        <v>Beverages</v>
      </c>
      <c r="H1488">
        <f>VLOOKUP(order_details[[#This Row],[ProductID]], products[], 4, FALSE)</f>
        <v>1</v>
      </c>
      <c r="I1488" t="str">
        <f>VLOOKUP(order_details[[#This Row],[OrderID]], orders[[OrderID]:[ShipCountry]], 14, FALSE)</f>
        <v>Germany</v>
      </c>
      <c r="J1488" s="1">
        <f>_xlfn.XLOOKUP(order_details[[#This Row],[OrderID]], orders[OrderID], orders[Month])</f>
        <v>2</v>
      </c>
    </row>
    <row r="1489" spans="1:10" x14ac:dyDescent="0.35">
      <c r="A1489">
        <v>10817</v>
      </c>
      <c r="B1489">
        <v>40</v>
      </c>
      <c r="C1489">
        <v>18.399999999999999</v>
      </c>
      <c r="D1489">
        <v>60</v>
      </c>
      <c r="E1489">
        <v>0.15</v>
      </c>
      <c r="F1489">
        <v>938.4</v>
      </c>
      <c r="G1489" t="str">
        <f>VLOOKUP(VLOOKUP(order_details[[#This Row],[ProductID]], products[], 4, FALSE), categories[], 2, FALSE)</f>
        <v>Seafood</v>
      </c>
      <c r="H1489">
        <f>VLOOKUP(order_details[[#This Row],[ProductID]], products[], 4, FALSE)</f>
        <v>8</v>
      </c>
      <c r="I1489" t="str">
        <f>VLOOKUP(order_details[[#This Row],[OrderID]], orders[[OrderID]:[ShipCountry]], 14, FALSE)</f>
        <v>Germany</v>
      </c>
      <c r="J1489" s="1">
        <f>_xlfn.XLOOKUP(order_details[[#This Row],[OrderID]], orders[OrderID], orders[Month])</f>
        <v>2</v>
      </c>
    </row>
    <row r="1490" spans="1:10" x14ac:dyDescent="0.35">
      <c r="A1490">
        <v>10817</v>
      </c>
      <c r="B1490">
        <v>62</v>
      </c>
      <c r="C1490">
        <v>49.3</v>
      </c>
      <c r="D1490">
        <v>25</v>
      </c>
      <c r="E1490">
        <v>0.15</v>
      </c>
      <c r="F1490">
        <v>1047.625</v>
      </c>
      <c r="G1490" t="str">
        <f>VLOOKUP(VLOOKUP(order_details[[#This Row],[ProductID]], products[], 4, FALSE), categories[], 2, FALSE)</f>
        <v>Confections</v>
      </c>
      <c r="H1490">
        <f>VLOOKUP(order_details[[#This Row],[ProductID]], products[], 4, FALSE)</f>
        <v>3</v>
      </c>
      <c r="I1490" t="str">
        <f>VLOOKUP(order_details[[#This Row],[OrderID]], orders[[OrderID]:[ShipCountry]], 14, FALSE)</f>
        <v>Germany</v>
      </c>
      <c r="J1490" s="1">
        <f>_xlfn.XLOOKUP(order_details[[#This Row],[OrderID]], orders[OrderID], orders[Month])</f>
        <v>2</v>
      </c>
    </row>
    <row r="1491" spans="1:10" x14ac:dyDescent="0.35">
      <c r="A1491">
        <v>10818</v>
      </c>
      <c r="B1491">
        <v>32</v>
      </c>
      <c r="C1491">
        <v>32</v>
      </c>
      <c r="D1491">
        <v>20</v>
      </c>
      <c r="E1491">
        <v>0</v>
      </c>
      <c r="F1491">
        <v>640</v>
      </c>
      <c r="G1491" t="str">
        <f>VLOOKUP(VLOOKUP(order_details[[#This Row],[ProductID]], products[], 4, FALSE), categories[], 2, FALSE)</f>
        <v>Dairy Products</v>
      </c>
      <c r="H1491">
        <f>VLOOKUP(order_details[[#This Row],[ProductID]], products[], 4, FALSE)</f>
        <v>4</v>
      </c>
      <c r="I1491" t="str">
        <f>VLOOKUP(order_details[[#This Row],[OrderID]], orders[[OrderID]:[ShipCountry]], 14, FALSE)</f>
        <v>Italy</v>
      </c>
      <c r="J1491" s="1">
        <f>_xlfn.XLOOKUP(order_details[[#This Row],[OrderID]], orders[OrderID], orders[Month])</f>
        <v>2</v>
      </c>
    </row>
    <row r="1492" spans="1:10" x14ac:dyDescent="0.35">
      <c r="A1492">
        <v>10818</v>
      </c>
      <c r="B1492">
        <v>41</v>
      </c>
      <c r="C1492">
        <v>9.65</v>
      </c>
      <c r="D1492">
        <v>20</v>
      </c>
      <c r="E1492">
        <v>0</v>
      </c>
      <c r="F1492">
        <v>193</v>
      </c>
      <c r="G1492" t="str">
        <f>VLOOKUP(VLOOKUP(order_details[[#This Row],[ProductID]], products[], 4, FALSE), categories[], 2, FALSE)</f>
        <v>Seafood</v>
      </c>
      <c r="H1492">
        <f>VLOOKUP(order_details[[#This Row],[ProductID]], products[], 4, FALSE)</f>
        <v>8</v>
      </c>
      <c r="I1492" t="str">
        <f>VLOOKUP(order_details[[#This Row],[OrderID]], orders[[OrderID]:[ShipCountry]], 14, FALSE)</f>
        <v>Italy</v>
      </c>
      <c r="J1492" s="1">
        <f>_xlfn.XLOOKUP(order_details[[#This Row],[OrderID]], orders[OrderID], orders[Month])</f>
        <v>2</v>
      </c>
    </row>
    <row r="1493" spans="1:10" x14ac:dyDescent="0.35">
      <c r="A1493">
        <v>10819</v>
      </c>
      <c r="B1493">
        <v>43</v>
      </c>
      <c r="C1493">
        <v>46</v>
      </c>
      <c r="D1493">
        <v>7</v>
      </c>
      <c r="E1493">
        <v>0</v>
      </c>
      <c r="F1493">
        <v>322</v>
      </c>
      <c r="G1493" t="str">
        <f>VLOOKUP(VLOOKUP(order_details[[#This Row],[ProductID]], products[], 4, FALSE), categories[], 2, FALSE)</f>
        <v>Beverages</v>
      </c>
      <c r="H1493">
        <f>VLOOKUP(order_details[[#This Row],[ProductID]], products[], 4, FALSE)</f>
        <v>1</v>
      </c>
      <c r="I1493" t="str">
        <f>VLOOKUP(order_details[[#This Row],[OrderID]], orders[[OrderID]:[ShipCountry]], 14, FALSE)</f>
        <v>Argentina</v>
      </c>
      <c r="J1493" s="1">
        <f>_xlfn.XLOOKUP(order_details[[#This Row],[OrderID]], orders[OrderID], orders[Month])</f>
        <v>2</v>
      </c>
    </row>
    <row r="1494" spans="1:10" x14ac:dyDescent="0.35">
      <c r="A1494">
        <v>10819</v>
      </c>
      <c r="B1494">
        <v>75</v>
      </c>
      <c r="C1494">
        <v>7.75</v>
      </c>
      <c r="D1494">
        <v>20</v>
      </c>
      <c r="E1494">
        <v>0</v>
      </c>
      <c r="F1494">
        <v>155</v>
      </c>
      <c r="G1494" t="str">
        <f>VLOOKUP(VLOOKUP(order_details[[#This Row],[ProductID]], products[], 4, FALSE), categories[], 2, FALSE)</f>
        <v>Beverages</v>
      </c>
      <c r="H1494">
        <f>VLOOKUP(order_details[[#This Row],[ProductID]], products[], 4, FALSE)</f>
        <v>1</v>
      </c>
      <c r="I1494" t="str">
        <f>VLOOKUP(order_details[[#This Row],[OrderID]], orders[[OrderID]:[ShipCountry]], 14, FALSE)</f>
        <v>Argentina</v>
      </c>
      <c r="J1494" s="1">
        <f>_xlfn.XLOOKUP(order_details[[#This Row],[OrderID]], orders[OrderID], orders[Month])</f>
        <v>2</v>
      </c>
    </row>
    <row r="1495" spans="1:10" x14ac:dyDescent="0.35">
      <c r="A1495">
        <v>10820</v>
      </c>
      <c r="B1495">
        <v>56</v>
      </c>
      <c r="C1495">
        <v>38</v>
      </c>
      <c r="D1495">
        <v>30</v>
      </c>
      <c r="E1495">
        <v>0</v>
      </c>
      <c r="F1495">
        <v>1140</v>
      </c>
      <c r="G1495" t="str">
        <f>VLOOKUP(VLOOKUP(order_details[[#This Row],[ProductID]], products[], 4, FALSE), categories[], 2, FALSE)</f>
        <v>Grains/Cereals</v>
      </c>
      <c r="H1495">
        <f>VLOOKUP(order_details[[#This Row],[ProductID]], products[], 4, FALSE)</f>
        <v>5</v>
      </c>
      <c r="I1495" t="str">
        <f>VLOOKUP(order_details[[#This Row],[OrderID]], orders[[OrderID]:[ShipCountry]], 14, FALSE)</f>
        <v>USA</v>
      </c>
      <c r="J1495" s="1">
        <f>_xlfn.XLOOKUP(order_details[[#This Row],[OrderID]], orders[OrderID], orders[Month])</f>
        <v>2</v>
      </c>
    </row>
    <row r="1496" spans="1:10" x14ac:dyDescent="0.35">
      <c r="A1496">
        <v>10821</v>
      </c>
      <c r="B1496">
        <v>35</v>
      </c>
      <c r="C1496">
        <v>18</v>
      </c>
      <c r="D1496">
        <v>20</v>
      </c>
      <c r="E1496">
        <v>0</v>
      </c>
      <c r="F1496">
        <v>360</v>
      </c>
      <c r="G1496" t="str">
        <f>VLOOKUP(VLOOKUP(order_details[[#This Row],[ProductID]], products[], 4, FALSE), categories[], 2, FALSE)</f>
        <v>Beverages</v>
      </c>
      <c r="H1496">
        <f>VLOOKUP(order_details[[#This Row],[ProductID]], products[], 4, FALSE)</f>
        <v>1</v>
      </c>
      <c r="I1496" t="str">
        <f>VLOOKUP(order_details[[#This Row],[OrderID]], orders[[OrderID]:[ShipCountry]], 14, FALSE)</f>
        <v>USA</v>
      </c>
      <c r="J1496" s="1">
        <f>_xlfn.XLOOKUP(order_details[[#This Row],[OrderID]], orders[OrderID], orders[Month])</f>
        <v>2</v>
      </c>
    </row>
    <row r="1497" spans="1:10" x14ac:dyDescent="0.35">
      <c r="A1497">
        <v>10821</v>
      </c>
      <c r="B1497">
        <v>51</v>
      </c>
      <c r="C1497">
        <v>53</v>
      </c>
      <c r="D1497">
        <v>6</v>
      </c>
      <c r="E1497">
        <v>0</v>
      </c>
      <c r="F1497">
        <v>318</v>
      </c>
      <c r="G1497" t="str">
        <f>VLOOKUP(VLOOKUP(order_details[[#This Row],[ProductID]], products[], 4, FALSE), categories[], 2, FALSE)</f>
        <v>Produce</v>
      </c>
      <c r="H1497">
        <f>VLOOKUP(order_details[[#This Row],[ProductID]], products[], 4, FALSE)</f>
        <v>7</v>
      </c>
      <c r="I1497" t="str">
        <f>VLOOKUP(order_details[[#This Row],[OrderID]], orders[[OrderID]:[ShipCountry]], 14, FALSE)</f>
        <v>USA</v>
      </c>
      <c r="J1497" s="1">
        <f>_xlfn.XLOOKUP(order_details[[#This Row],[OrderID]], orders[OrderID], orders[Month])</f>
        <v>2</v>
      </c>
    </row>
    <row r="1498" spans="1:10" x14ac:dyDescent="0.35">
      <c r="A1498">
        <v>10822</v>
      </c>
      <c r="B1498">
        <v>62</v>
      </c>
      <c r="C1498">
        <v>49.3</v>
      </c>
      <c r="D1498">
        <v>3</v>
      </c>
      <c r="E1498">
        <v>0</v>
      </c>
      <c r="F1498">
        <v>147.89999999999998</v>
      </c>
      <c r="G1498" t="str">
        <f>VLOOKUP(VLOOKUP(order_details[[#This Row],[ProductID]], products[], 4, FALSE), categories[], 2, FALSE)</f>
        <v>Confections</v>
      </c>
      <c r="H1498">
        <f>VLOOKUP(order_details[[#This Row],[ProductID]], products[], 4, FALSE)</f>
        <v>3</v>
      </c>
      <c r="I1498" t="str">
        <f>VLOOKUP(order_details[[#This Row],[OrderID]], orders[[OrderID]:[ShipCountry]], 14, FALSE)</f>
        <v>USA</v>
      </c>
      <c r="J1498" s="1">
        <f>_xlfn.XLOOKUP(order_details[[#This Row],[OrderID]], orders[OrderID], orders[Month])</f>
        <v>2</v>
      </c>
    </row>
    <row r="1499" spans="1:10" x14ac:dyDescent="0.35">
      <c r="A1499">
        <v>10822</v>
      </c>
      <c r="B1499">
        <v>70</v>
      </c>
      <c r="C1499">
        <v>15</v>
      </c>
      <c r="D1499">
        <v>6</v>
      </c>
      <c r="E1499">
        <v>0</v>
      </c>
      <c r="F1499">
        <v>90</v>
      </c>
      <c r="G1499" t="str">
        <f>VLOOKUP(VLOOKUP(order_details[[#This Row],[ProductID]], products[], 4, FALSE), categories[], 2, FALSE)</f>
        <v>Beverages</v>
      </c>
      <c r="H1499">
        <f>VLOOKUP(order_details[[#This Row],[ProductID]], products[], 4, FALSE)</f>
        <v>1</v>
      </c>
      <c r="I1499" t="str">
        <f>VLOOKUP(order_details[[#This Row],[OrderID]], orders[[OrderID]:[ShipCountry]], 14, FALSE)</f>
        <v>USA</v>
      </c>
      <c r="J1499" s="1">
        <f>_xlfn.XLOOKUP(order_details[[#This Row],[OrderID]], orders[OrderID], orders[Month])</f>
        <v>2</v>
      </c>
    </row>
    <row r="1500" spans="1:10" x14ac:dyDescent="0.35">
      <c r="A1500">
        <v>10823</v>
      </c>
      <c r="B1500">
        <v>11</v>
      </c>
      <c r="C1500">
        <v>21</v>
      </c>
      <c r="D1500">
        <v>20</v>
      </c>
      <c r="E1500">
        <v>0.1</v>
      </c>
      <c r="F1500">
        <v>378</v>
      </c>
      <c r="G1500" t="str">
        <f>VLOOKUP(VLOOKUP(order_details[[#This Row],[ProductID]], products[], 4, FALSE), categories[], 2, FALSE)</f>
        <v>Dairy Products</v>
      </c>
      <c r="H1500">
        <f>VLOOKUP(order_details[[#This Row],[ProductID]], products[], 4, FALSE)</f>
        <v>4</v>
      </c>
      <c r="I1500" t="str">
        <f>VLOOKUP(order_details[[#This Row],[OrderID]], orders[[OrderID]:[ShipCountry]], 14, FALSE)</f>
        <v>Venezuela</v>
      </c>
      <c r="J1500" s="1">
        <f>_xlfn.XLOOKUP(order_details[[#This Row],[OrderID]], orders[OrderID], orders[Month])</f>
        <v>2</v>
      </c>
    </row>
    <row r="1501" spans="1:10" x14ac:dyDescent="0.35">
      <c r="A1501">
        <v>10823</v>
      </c>
      <c r="B1501">
        <v>57</v>
      </c>
      <c r="C1501">
        <v>19.5</v>
      </c>
      <c r="D1501">
        <v>15</v>
      </c>
      <c r="E1501">
        <v>0</v>
      </c>
      <c r="F1501">
        <v>292.5</v>
      </c>
      <c r="G1501" t="str">
        <f>VLOOKUP(VLOOKUP(order_details[[#This Row],[ProductID]], products[], 4, FALSE), categories[], 2, FALSE)</f>
        <v>Grains/Cereals</v>
      </c>
      <c r="H1501">
        <f>VLOOKUP(order_details[[#This Row],[ProductID]], products[], 4, FALSE)</f>
        <v>5</v>
      </c>
      <c r="I1501" t="str">
        <f>VLOOKUP(order_details[[#This Row],[OrderID]], orders[[OrderID]:[ShipCountry]], 14, FALSE)</f>
        <v>Venezuela</v>
      </c>
      <c r="J1501" s="1">
        <f>_xlfn.XLOOKUP(order_details[[#This Row],[OrderID]], orders[OrderID], orders[Month])</f>
        <v>2</v>
      </c>
    </row>
    <row r="1502" spans="1:10" x14ac:dyDescent="0.35">
      <c r="A1502">
        <v>10823</v>
      </c>
      <c r="B1502">
        <v>59</v>
      </c>
      <c r="C1502">
        <v>55</v>
      </c>
      <c r="D1502">
        <v>40</v>
      </c>
      <c r="E1502">
        <v>0.1</v>
      </c>
      <c r="F1502">
        <v>1980</v>
      </c>
      <c r="G1502" t="str">
        <f>VLOOKUP(VLOOKUP(order_details[[#This Row],[ProductID]], products[], 4, FALSE), categories[], 2, FALSE)</f>
        <v>Dairy Products</v>
      </c>
      <c r="H1502">
        <f>VLOOKUP(order_details[[#This Row],[ProductID]], products[], 4, FALSE)</f>
        <v>4</v>
      </c>
      <c r="I1502" t="str">
        <f>VLOOKUP(order_details[[#This Row],[OrderID]], orders[[OrderID]:[ShipCountry]], 14, FALSE)</f>
        <v>Venezuela</v>
      </c>
      <c r="J1502" s="1">
        <f>_xlfn.XLOOKUP(order_details[[#This Row],[OrderID]], orders[OrderID], orders[Month])</f>
        <v>2</v>
      </c>
    </row>
    <row r="1503" spans="1:10" x14ac:dyDescent="0.35">
      <c r="A1503">
        <v>10823</v>
      </c>
      <c r="B1503">
        <v>77</v>
      </c>
      <c r="C1503">
        <v>13</v>
      </c>
      <c r="D1503">
        <v>15</v>
      </c>
      <c r="E1503">
        <v>0.1</v>
      </c>
      <c r="F1503">
        <v>175.5</v>
      </c>
      <c r="G1503" t="str">
        <f>VLOOKUP(VLOOKUP(order_details[[#This Row],[ProductID]], products[], 4, FALSE), categories[], 2, FALSE)</f>
        <v>Condiments</v>
      </c>
      <c r="H1503">
        <f>VLOOKUP(order_details[[#This Row],[ProductID]], products[], 4, FALSE)</f>
        <v>2</v>
      </c>
      <c r="I1503" t="str">
        <f>VLOOKUP(order_details[[#This Row],[OrderID]], orders[[OrderID]:[ShipCountry]], 14, FALSE)</f>
        <v>Venezuela</v>
      </c>
      <c r="J1503" s="1">
        <f>_xlfn.XLOOKUP(order_details[[#This Row],[OrderID]], orders[OrderID], orders[Month])</f>
        <v>2</v>
      </c>
    </row>
    <row r="1504" spans="1:10" x14ac:dyDescent="0.35">
      <c r="A1504">
        <v>10824</v>
      </c>
      <c r="B1504">
        <v>41</v>
      </c>
      <c r="C1504">
        <v>9.65</v>
      </c>
      <c r="D1504">
        <v>12</v>
      </c>
      <c r="E1504">
        <v>0</v>
      </c>
      <c r="F1504">
        <v>115.80000000000001</v>
      </c>
      <c r="G1504" t="str">
        <f>VLOOKUP(VLOOKUP(order_details[[#This Row],[ProductID]], products[], 4, FALSE), categories[], 2, FALSE)</f>
        <v>Seafood</v>
      </c>
      <c r="H1504">
        <f>VLOOKUP(order_details[[#This Row],[ProductID]], products[], 4, FALSE)</f>
        <v>8</v>
      </c>
      <c r="I1504" t="str">
        <f>VLOOKUP(order_details[[#This Row],[OrderID]], orders[[OrderID]:[ShipCountry]], 14, FALSE)</f>
        <v>Sweden</v>
      </c>
      <c r="J1504" s="1">
        <f>_xlfn.XLOOKUP(order_details[[#This Row],[OrderID]], orders[OrderID], orders[Month])</f>
        <v>2</v>
      </c>
    </row>
    <row r="1505" spans="1:10" x14ac:dyDescent="0.35">
      <c r="A1505">
        <v>10824</v>
      </c>
      <c r="B1505">
        <v>70</v>
      </c>
      <c r="C1505">
        <v>15</v>
      </c>
      <c r="D1505">
        <v>9</v>
      </c>
      <c r="E1505">
        <v>0</v>
      </c>
      <c r="F1505">
        <v>135</v>
      </c>
      <c r="G1505" t="str">
        <f>VLOOKUP(VLOOKUP(order_details[[#This Row],[ProductID]], products[], 4, FALSE), categories[], 2, FALSE)</f>
        <v>Beverages</v>
      </c>
      <c r="H1505">
        <f>VLOOKUP(order_details[[#This Row],[ProductID]], products[], 4, FALSE)</f>
        <v>1</v>
      </c>
      <c r="I1505" t="str">
        <f>VLOOKUP(order_details[[#This Row],[OrderID]], orders[[OrderID]:[ShipCountry]], 14, FALSE)</f>
        <v>Sweden</v>
      </c>
      <c r="J1505" s="1">
        <f>_xlfn.XLOOKUP(order_details[[#This Row],[OrderID]], orders[OrderID], orders[Month])</f>
        <v>2</v>
      </c>
    </row>
    <row r="1506" spans="1:10" x14ac:dyDescent="0.35">
      <c r="A1506">
        <v>10825</v>
      </c>
      <c r="B1506">
        <v>26</v>
      </c>
      <c r="C1506">
        <v>31.23</v>
      </c>
      <c r="D1506">
        <v>12</v>
      </c>
      <c r="E1506">
        <v>0</v>
      </c>
      <c r="F1506">
        <v>374.76</v>
      </c>
      <c r="G1506" t="str">
        <f>VLOOKUP(VLOOKUP(order_details[[#This Row],[ProductID]], products[], 4, FALSE), categories[], 2, FALSE)</f>
        <v>Confections</v>
      </c>
      <c r="H1506">
        <f>VLOOKUP(order_details[[#This Row],[ProductID]], products[], 4, FALSE)</f>
        <v>3</v>
      </c>
      <c r="I1506" t="str">
        <f>VLOOKUP(order_details[[#This Row],[OrderID]], orders[[OrderID]:[ShipCountry]], 14, FALSE)</f>
        <v>Germany</v>
      </c>
      <c r="J1506" s="1">
        <f>_xlfn.XLOOKUP(order_details[[#This Row],[OrderID]], orders[OrderID], orders[Month])</f>
        <v>2</v>
      </c>
    </row>
    <row r="1507" spans="1:10" x14ac:dyDescent="0.35">
      <c r="A1507">
        <v>10825</v>
      </c>
      <c r="B1507">
        <v>53</v>
      </c>
      <c r="C1507">
        <v>32.799999999999997</v>
      </c>
      <c r="D1507">
        <v>20</v>
      </c>
      <c r="E1507">
        <v>0</v>
      </c>
      <c r="F1507">
        <v>656</v>
      </c>
      <c r="G1507" t="str">
        <f>VLOOKUP(VLOOKUP(order_details[[#This Row],[ProductID]], products[], 4, FALSE), categories[], 2, FALSE)</f>
        <v>Meat/Poultry</v>
      </c>
      <c r="H1507">
        <f>VLOOKUP(order_details[[#This Row],[ProductID]], products[], 4, FALSE)</f>
        <v>6</v>
      </c>
      <c r="I1507" t="str">
        <f>VLOOKUP(order_details[[#This Row],[OrderID]], orders[[OrderID]:[ShipCountry]], 14, FALSE)</f>
        <v>Germany</v>
      </c>
      <c r="J1507" s="1">
        <f>_xlfn.XLOOKUP(order_details[[#This Row],[OrderID]], orders[OrderID], orders[Month])</f>
        <v>2</v>
      </c>
    </row>
    <row r="1508" spans="1:10" x14ac:dyDescent="0.35">
      <c r="A1508">
        <v>10826</v>
      </c>
      <c r="B1508">
        <v>31</v>
      </c>
      <c r="C1508">
        <v>12.5</v>
      </c>
      <c r="D1508">
        <v>35</v>
      </c>
      <c r="E1508">
        <v>0</v>
      </c>
      <c r="F1508">
        <v>437.5</v>
      </c>
      <c r="G1508" t="str">
        <f>VLOOKUP(VLOOKUP(order_details[[#This Row],[ProductID]], products[], 4, FALSE), categories[], 2, FALSE)</f>
        <v>Dairy Products</v>
      </c>
      <c r="H1508">
        <f>VLOOKUP(order_details[[#This Row],[ProductID]], products[], 4, FALSE)</f>
        <v>4</v>
      </c>
      <c r="I1508" t="str">
        <f>VLOOKUP(order_details[[#This Row],[OrderID]], orders[[OrderID]:[ShipCountry]], 14, FALSE)</f>
        <v>France</v>
      </c>
      <c r="J1508" s="1">
        <f>_xlfn.XLOOKUP(order_details[[#This Row],[OrderID]], orders[OrderID], orders[Month])</f>
        <v>2</v>
      </c>
    </row>
    <row r="1509" spans="1:10" x14ac:dyDescent="0.35">
      <c r="A1509">
        <v>10826</v>
      </c>
      <c r="B1509">
        <v>57</v>
      </c>
      <c r="C1509">
        <v>19.5</v>
      </c>
      <c r="D1509">
        <v>15</v>
      </c>
      <c r="E1509">
        <v>0</v>
      </c>
      <c r="F1509">
        <v>292.5</v>
      </c>
      <c r="G1509" t="str">
        <f>VLOOKUP(VLOOKUP(order_details[[#This Row],[ProductID]], products[], 4, FALSE), categories[], 2, FALSE)</f>
        <v>Grains/Cereals</v>
      </c>
      <c r="H1509">
        <f>VLOOKUP(order_details[[#This Row],[ProductID]], products[], 4, FALSE)</f>
        <v>5</v>
      </c>
      <c r="I1509" t="str">
        <f>VLOOKUP(order_details[[#This Row],[OrderID]], orders[[OrderID]:[ShipCountry]], 14, FALSE)</f>
        <v>France</v>
      </c>
      <c r="J1509" s="1">
        <f>_xlfn.XLOOKUP(order_details[[#This Row],[OrderID]], orders[OrderID], orders[Month])</f>
        <v>2</v>
      </c>
    </row>
    <row r="1510" spans="1:10" x14ac:dyDescent="0.35">
      <c r="A1510">
        <v>10827</v>
      </c>
      <c r="B1510">
        <v>10</v>
      </c>
      <c r="C1510">
        <v>31</v>
      </c>
      <c r="D1510">
        <v>15</v>
      </c>
      <c r="E1510">
        <v>0</v>
      </c>
      <c r="F1510">
        <v>465</v>
      </c>
      <c r="G1510" t="str">
        <f>VLOOKUP(VLOOKUP(order_details[[#This Row],[ProductID]], products[], 4, FALSE), categories[], 2, FALSE)</f>
        <v>Seafood</v>
      </c>
      <c r="H1510">
        <f>VLOOKUP(order_details[[#This Row],[ProductID]], products[], 4, FALSE)</f>
        <v>8</v>
      </c>
      <c r="I1510" t="str">
        <f>VLOOKUP(order_details[[#This Row],[OrderID]], orders[[OrderID]:[ShipCountry]], 14, FALSE)</f>
        <v>France</v>
      </c>
      <c r="J1510" s="1">
        <f>_xlfn.XLOOKUP(order_details[[#This Row],[OrderID]], orders[OrderID], orders[Month])</f>
        <v>2</v>
      </c>
    </row>
    <row r="1511" spans="1:10" x14ac:dyDescent="0.35">
      <c r="A1511">
        <v>10827</v>
      </c>
      <c r="B1511">
        <v>39</v>
      </c>
      <c r="C1511">
        <v>18</v>
      </c>
      <c r="D1511">
        <v>21</v>
      </c>
      <c r="E1511">
        <v>0</v>
      </c>
      <c r="F1511">
        <v>378</v>
      </c>
      <c r="G1511" t="str">
        <f>VLOOKUP(VLOOKUP(order_details[[#This Row],[ProductID]], products[], 4, FALSE), categories[], 2, FALSE)</f>
        <v>Beverages</v>
      </c>
      <c r="H1511">
        <f>VLOOKUP(order_details[[#This Row],[ProductID]], products[], 4, FALSE)</f>
        <v>1</v>
      </c>
      <c r="I1511" t="str">
        <f>VLOOKUP(order_details[[#This Row],[OrderID]], orders[[OrderID]:[ShipCountry]], 14, FALSE)</f>
        <v>France</v>
      </c>
      <c r="J1511" s="1">
        <f>_xlfn.XLOOKUP(order_details[[#This Row],[OrderID]], orders[OrderID], orders[Month])</f>
        <v>2</v>
      </c>
    </row>
    <row r="1512" spans="1:10" x14ac:dyDescent="0.35">
      <c r="A1512">
        <v>10828</v>
      </c>
      <c r="B1512">
        <v>20</v>
      </c>
      <c r="C1512">
        <v>81</v>
      </c>
      <c r="D1512">
        <v>5</v>
      </c>
      <c r="E1512">
        <v>0</v>
      </c>
      <c r="F1512">
        <v>405</v>
      </c>
      <c r="G1512" t="str">
        <f>VLOOKUP(VLOOKUP(order_details[[#This Row],[ProductID]], products[], 4, FALSE), categories[], 2, FALSE)</f>
        <v>Confections</v>
      </c>
      <c r="H1512">
        <f>VLOOKUP(order_details[[#This Row],[ProductID]], products[], 4, FALSE)</f>
        <v>3</v>
      </c>
      <c r="I1512" t="str">
        <f>VLOOKUP(order_details[[#This Row],[OrderID]], orders[[OrderID]:[ShipCountry]], 14, FALSE)</f>
        <v>Argentina</v>
      </c>
      <c r="J1512" s="1">
        <f>_xlfn.XLOOKUP(order_details[[#This Row],[OrderID]], orders[OrderID], orders[Month])</f>
        <v>2</v>
      </c>
    </row>
    <row r="1513" spans="1:10" x14ac:dyDescent="0.35">
      <c r="A1513">
        <v>10828</v>
      </c>
      <c r="B1513">
        <v>38</v>
      </c>
      <c r="C1513">
        <v>263.5</v>
      </c>
      <c r="D1513">
        <v>2</v>
      </c>
      <c r="E1513">
        <v>0</v>
      </c>
      <c r="F1513">
        <v>527</v>
      </c>
      <c r="G1513" t="str">
        <f>VLOOKUP(VLOOKUP(order_details[[#This Row],[ProductID]], products[], 4, FALSE), categories[], 2, FALSE)</f>
        <v>Beverages</v>
      </c>
      <c r="H1513">
        <f>VLOOKUP(order_details[[#This Row],[ProductID]], products[], 4, FALSE)</f>
        <v>1</v>
      </c>
      <c r="I1513" t="str">
        <f>VLOOKUP(order_details[[#This Row],[OrderID]], orders[[OrderID]:[ShipCountry]], 14, FALSE)</f>
        <v>Argentina</v>
      </c>
      <c r="J1513" s="1">
        <f>_xlfn.XLOOKUP(order_details[[#This Row],[OrderID]], orders[OrderID], orders[Month])</f>
        <v>2</v>
      </c>
    </row>
    <row r="1514" spans="1:10" x14ac:dyDescent="0.35">
      <c r="A1514">
        <v>10829</v>
      </c>
      <c r="B1514">
        <v>2</v>
      </c>
      <c r="C1514">
        <v>19</v>
      </c>
      <c r="D1514">
        <v>10</v>
      </c>
      <c r="E1514">
        <v>0</v>
      </c>
      <c r="F1514">
        <v>190</v>
      </c>
      <c r="G1514" t="str">
        <f>VLOOKUP(VLOOKUP(order_details[[#This Row],[ProductID]], products[], 4, FALSE), categories[], 2, FALSE)</f>
        <v>Beverages</v>
      </c>
      <c r="H1514">
        <f>VLOOKUP(order_details[[#This Row],[ProductID]], products[], 4, FALSE)</f>
        <v>1</v>
      </c>
      <c r="I1514" t="str">
        <f>VLOOKUP(order_details[[#This Row],[OrderID]], orders[[OrderID]:[ShipCountry]], 14, FALSE)</f>
        <v>UK</v>
      </c>
      <c r="J1514" s="1">
        <f>_xlfn.XLOOKUP(order_details[[#This Row],[OrderID]], orders[OrderID], orders[Month])</f>
        <v>2</v>
      </c>
    </row>
    <row r="1515" spans="1:10" x14ac:dyDescent="0.35">
      <c r="A1515">
        <v>10829</v>
      </c>
      <c r="B1515">
        <v>8</v>
      </c>
      <c r="C1515">
        <v>40</v>
      </c>
      <c r="D1515">
        <v>20</v>
      </c>
      <c r="E1515">
        <v>0</v>
      </c>
      <c r="F1515">
        <v>800</v>
      </c>
      <c r="G1515" t="str">
        <f>VLOOKUP(VLOOKUP(order_details[[#This Row],[ProductID]], products[], 4, FALSE), categories[], 2, FALSE)</f>
        <v>Condiments</v>
      </c>
      <c r="H1515">
        <f>VLOOKUP(order_details[[#This Row],[ProductID]], products[], 4, FALSE)</f>
        <v>2</v>
      </c>
      <c r="I1515" t="str">
        <f>VLOOKUP(order_details[[#This Row],[OrderID]], orders[[OrderID]:[ShipCountry]], 14, FALSE)</f>
        <v>UK</v>
      </c>
      <c r="J1515" s="1">
        <f>_xlfn.XLOOKUP(order_details[[#This Row],[OrderID]], orders[OrderID], orders[Month])</f>
        <v>2</v>
      </c>
    </row>
    <row r="1516" spans="1:10" x14ac:dyDescent="0.35">
      <c r="A1516">
        <v>10829</v>
      </c>
      <c r="B1516">
        <v>13</v>
      </c>
      <c r="C1516">
        <v>6</v>
      </c>
      <c r="D1516">
        <v>10</v>
      </c>
      <c r="E1516">
        <v>0</v>
      </c>
      <c r="F1516">
        <v>60</v>
      </c>
      <c r="G1516" t="str">
        <f>VLOOKUP(VLOOKUP(order_details[[#This Row],[ProductID]], products[], 4, FALSE), categories[], 2, FALSE)</f>
        <v>Seafood</v>
      </c>
      <c r="H1516">
        <f>VLOOKUP(order_details[[#This Row],[ProductID]], products[], 4, FALSE)</f>
        <v>8</v>
      </c>
      <c r="I1516" t="str">
        <f>VLOOKUP(order_details[[#This Row],[OrderID]], orders[[OrderID]:[ShipCountry]], 14, FALSE)</f>
        <v>UK</v>
      </c>
      <c r="J1516" s="1">
        <f>_xlfn.XLOOKUP(order_details[[#This Row],[OrderID]], orders[OrderID], orders[Month])</f>
        <v>2</v>
      </c>
    </row>
    <row r="1517" spans="1:10" x14ac:dyDescent="0.35">
      <c r="A1517">
        <v>10829</v>
      </c>
      <c r="B1517">
        <v>60</v>
      </c>
      <c r="C1517">
        <v>34</v>
      </c>
      <c r="D1517">
        <v>21</v>
      </c>
      <c r="E1517">
        <v>0</v>
      </c>
      <c r="F1517">
        <v>714</v>
      </c>
      <c r="G1517" t="str">
        <f>VLOOKUP(VLOOKUP(order_details[[#This Row],[ProductID]], products[], 4, FALSE), categories[], 2, FALSE)</f>
        <v>Dairy Products</v>
      </c>
      <c r="H1517">
        <f>VLOOKUP(order_details[[#This Row],[ProductID]], products[], 4, FALSE)</f>
        <v>4</v>
      </c>
      <c r="I1517" t="str">
        <f>VLOOKUP(order_details[[#This Row],[OrderID]], orders[[OrderID]:[ShipCountry]], 14, FALSE)</f>
        <v>UK</v>
      </c>
      <c r="J1517" s="1">
        <f>_xlfn.XLOOKUP(order_details[[#This Row],[OrderID]], orders[OrderID], orders[Month])</f>
        <v>2</v>
      </c>
    </row>
    <row r="1518" spans="1:10" x14ac:dyDescent="0.35">
      <c r="A1518">
        <v>10830</v>
      </c>
      <c r="B1518">
        <v>6</v>
      </c>
      <c r="C1518">
        <v>25</v>
      </c>
      <c r="D1518">
        <v>6</v>
      </c>
      <c r="E1518">
        <v>0</v>
      </c>
      <c r="F1518">
        <v>150</v>
      </c>
      <c r="G1518" t="str">
        <f>VLOOKUP(VLOOKUP(order_details[[#This Row],[ProductID]], products[], 4, FALSE), categories[], 2, FALSE)</f>
        <v>Condiments</v>
      </c>
      <c r="H1518">
        <f>VLOOKUP(order_details[[#This Row],[ProductID]], products[], 4, FALSE)</f>
        <v>2</v>
      </c>
      <c r="I1518" t="str">
        <f>VLOOKUP(order_details[[#This Row],[OrderID]], orders[[OrderID]:[ShipCountry]], 14, FALSE)</f>
        <v>Brazil</v>
      </c>
      <c r="J1518" s="1">
        <f>_xlfn.XLOOKUP(order_details[[#This Row],[OrderID]], orders[OrderID], orders[Month])</f>
        <v>2</v>
      </c>
    </row>
    <row r="1519" spans="1:10" x14ac:dyDescent="0.35">
      <c r="A1519">
        <v>10830</v>
      </c>
      <c r="B1519">
        <v>39</v>
      </c>
      <c r="C1519">
        <v>18</v>
      </c>
      <c r="D1519">
        <v>28</v>
      </c>
      <c r="E1519">
        <v>0</v>
      </c>
      <c r="F1519">
        <v>504</v>
      </c>
      <c r="G1519" t="str">
        <f>VLOOKUP(VLOOKUP(order_details[[#This Row],[ProductID]], products[], 4, FALSE), categories[], 2, FALSE)</f>
        <v>Beverages</v>
      </c>
      <c r="H1519">
        <f>VLOOKUP(order_details[[#This Row],[ProductID]], products[], 4, FALSE)</f>
        <v>1</v>
      </c>
      <c r="I1519" t="str">
        <f>VLOOKUP(order_details[[#This Row],[OrderID]], orders[[OrderID]:[ShipCountry]], 14, FALSE)</f>
        <v>Brazil</v>
      </c>
      <c r="J1519" s="1">
        <f>_xlfn.XLOOKUP(order_details[[#This Row],[OrderID]], orders[OrderID], orders[Month])</f>
        <v>2</v>
      </c>
    </row>
    <row r="1520" spans="1:10" x14ac:dyDescent="0.35">
      <c r="A1520">
        <v>10830</v>
      </c>
      <c r="B1520">
        <v>60</v>
      </c>
      <c r="C1520">
        <v>34</v>
      </c>
      <c r="D1520">
        <v>30</v>
      </c>
      <c r="E1520">
        <v>0</v>
      </c>
      <c r="F1520">
        <v>1020</v>
      </c>
      <c r="G1520" t="str">
        <f>VLOOKUP(VLOOKUP(order_details[[#This Row],[ProductID]], products[], 4, FALSE), categories[], 2, FALSE)</f>
        <v>Dairy Products</v>
      </c>
      <c r="H1520">
        <f>VLOOKUP(order_details[[#This Row],[ProductID]], products[], 4, FALSE)</f>
        <v>4</v>
      </c>
      <c r="I1520" t="str">
        <f>VLOOKUP(order_details[[#This Row],[OrderID]], orders[[OrderID]:[ShipCountry]], 14, FALSE)</f>
        <v>Brazil</v>
      </c>
      <c r="J1520" s="1">
        <f>_xlfn.XLOOKUP(order_details[[#This Row],[OrderID]], orders[OrderID], orders[Month])</f>
        <v>2</v>
      </c>
    </row>
    <row r="1521" spans="1:10" x14ac:dyDescent="0.35">
      <c r="A1521">
        <v>10830</v>
      </c>
      <c r="B1521">
        <v>68</v>
      </c>
      <c r="C1521">
        <v>12.5</v>
      </c>
      <c r="D1521">
        <v>24</v>
      </c>
      <c r="E1521">
        <v>0</v>
      </c>
      <c r="F1521">
        <v>300</v>
      </c>
      <c r="G1521" t="str">
        <f>VLOOKUP(VLOOKUP(order_details[[#This Row],[ProductID]], products[], 4, FALSE), categories[], 2, FALSE)</f>
        <v>Confections</v>
      </c>
      <c r="H1521">
        <f>VLOOKUP(order_details[[#This Row],[ProductID]], products[], 4, FALSE)</f>
        <v>3</v>
      </c>
      <c r="I1521" t="str">
        <f>VLOOKUP(order_details[[#This Row],[OrderID]], orders[[OrderID]:[ShipCountry]], 14, FALSE)</f>
        <v>Brazil</v>
      </c>
      <c r="J1521" s="1">
        <f>_xlfn.XLOOKUP(order_details[[#This Row],[OrderID]], orders[OrderID], orders[Month])</f>
        <v>2</v>
      </c>
    </row>
    <row r="1522" spans="1:10" x14ac:dyDescent="0.35">
      <c r="A1522">
        <v>10831</v>
      </c>
      <c r="B1522">
        <v>19</v>
      </c>
      <c r="C1522">
        <v>9.1999999999999993</v>
      </c>
      <c r="D1522">
        <v>2</v>
      </c>
      <c r="E1522">
        <v>0</v>
      </c>
      <c r="F1522">
        <v>18.399999999999999</v>
      </c>
      <c r="G1522" t="str">
        <f>VLOOKUP(VLOOKUP(order_details[[#This Row],[ProductID]], products[], 4, FALSE), categories[], 2, FALSE)</f>
        <v>Confections</v>
      </c>
      <c r="H1522">
        <f>VLOOKUP(order_details[[#This Row],[ProductID]], products[], 4, FALSE)</f>
        <v>3</v>
      </c>
      <c r="I1522" t="str">
        <f>VLOOKUP(order_details[[#This Row],[OrderID]], orders[[OrderID]:[ShipCountry]], 14, FALSE)</f>
        <v>Norway</v>
      </c>
      <c r="J1522" s="1">
        <f>_xlfn.XLOOKUP(order_details[[#This Row],[OrderID]], orders[OrderID], orders[Month])</f>
        <v>2</v>
      </c>
    </row>
    <row r="1523" spans="1:10" x14ac:dyDescent="0.35">
      <c r="A1523">
        <v>10831</v>
      </c>
      <c r="B1523">
        <v>35</v>
      </c>
      <c r="C1523">
        <v>18</v>
      </c>
      <c r="D1523">
        <v>8</v>
      </c>
      <c r="E1523">
        <v>0</v>
      </c>
      <c r="F1523">
        <v>144</v>
      </c>
      <c r="G1523" t="str">
        <f>VLOOKUP(VLOOKUP(order_details[[#This Row],[ProductID]], products[], 4, FALSE), categories[], 2, FALSE)</f>
        <v>Beverages</v>
      </c>
      <c r="H1523">
        <f>VLOOKUP(order_details[[#This Row],[ProductID]], products[], 4, FALSE)</f>
        <v>1</v>
      </c>
      <c r="I1523" t="str">
        <f>VLOOKUP(order_details[[#This Row],[OrderID]], orders[[OrderID]:[ShipCountry]], 14, FALSE)</f>
        <v>Norway</v>
      </c>
      <c r="J1523" s="1">
        <f>_xlfn.XLOOKUP(order_details[[#This Row],[OrderID]], orders[OrderID], orders[Month])</f>
        <v>2</v>
      </c>
    </row>
    <row r="1524" spans="1:10" x14ac:dyDescent="0.35">
      <c r="A1524">
        <v>10831</v>
      </c>
      <c r="B1524">
        <v>38</v>
      </c>
      <c r="C1524">
        <v>263.5</v>
      </c>
      <c r="D1524">
        <v>8</v>
      </c>
      <c r="E1524">
        <v>0</v>
      </c>
      <c r="F1524">
        <v>2108</v>
      </c>
      <c r="G1524" t="str">
        <f>VLOOKUP(VLOOKUP(order_details[[#This Row],[ProductID]], products[], 4, FALSE), categories[], 2, FALSE)</f>
        <v>Beverages</v>
      </c>
      <c r="H1524">
        <f>VLOOKUP(order_details[[#This Row],[ProductID]], products[], 4, FALSE)</f>
        <v>1</v>
      </c>
      <c r="I1524" t="str">
        <f>VLOOKUP(order_details[[#This Row],[OrderID]], orders[[OrderID]:[ShipCountry]], 14, FALSE)</f>
        <v>Norway</v>
      </c>
      <c r="J1524" s="1">
        <f>_xlfn.XLOOKUP(order_details[[#This Row],[OrderID]], orders[OrderID], orders[Month])</f>
        <v>2</v>
      </c>
    </row>
    <row r="1525" spans="1:10" x14ac:dyDescent="0.35">
      <c r="A1525">
        <v>10831</v>
      </c>
      <c r="B1525">
        <v>43</v>
      </c>
      <c r="C1525">
        <v>46</v>
      </c>
      <c r="D1525">
        <v>9</v>
      </c>
      <c r="E1525">
        <v>0</v>
      </c>
      <c r="F1525">
        <v>414</v>
      </c>
      <c r="G1525" t="str">
        <f>VLOOKUP(VLOOKUP(order_details[[#This Row],[ProductID]], products[], 4, FALSE), categories[], 2, FALSE)</f>
        <v>Beverages</v>
      </c>
      <c r="H1525">
        <f>VLOOKUP(order_details[[#This Row],[ProductID]], products[], 4, FALSE)</f>
        <v>1</v>
      </c>
      <c r="I1525" t="str">
        <f>VLOOKUP(order_details[[#This Row],[OrderID]], orders[[OrderID]:[ShipCountry]], 14, FALSE)</f>
        <v>Norway</v>
      </c>
      <c r="J1525" s="1">
        <f>_xlfn.XLOOKUP(order_details[[#This Row],[OrderID]], orders[OrderID], orders[Month])</f>
        <v>2</v>
      </c>
    </row>
    <row r="1526" spans="1:10" x14ac:dyDescent="0.35">
      <c r="A1526">
        <v>10832</v>
      </c>
      <c r="B1526">
        <v>13</v>
      </c>
      <c r="C1526">
        <v>6</v>
      </c>
      <c r="D1526">
        <v>3</v>
      </c>
      <c r="E1526">
        <v>0.2</v>
      </c>
      <c r="F1526">
        <v>14.4</v>
      </c>
      <c r="G1526" t="str">
        <f>VLOOKUP(VLOOKUP(order_details[[#This Row],[ProductID]], products[], 4, FALSE), categories[], 2, FALSE)</f>
        <v>Seafood</v>
      </c>
      <c r="H1526">
        <f>VLOOKUP(order_details[[#This Row],[ProductID]], products[], 4, FALSE)</f>
        <v>8</v>
      </c>
      <c r="I1526" t="str">
        <f>VLOOKUP(order_details[[#This Row],[OrderID]], orders[[OrderID]:[ShipCountry]], 14, FALSE)</f>
        <v>France</v>
      </c>
      <c r="J1526" s="1">
        <f>_xlfn.XLOOKUP(order_details[[#This Row],[OrderID]], orders[OrderID], orders[Month])</f>
        <v>2</v>
      </c>
    </row>
    <row r="1527" spans="1:10" x14ac:dyDescent="0.35">
      <c r="A1527">
        <v>10832</v>
      </c>
      <c r="B1527">
        <v>25</v>
      </c>
      <c r="C1527">
        <v>14</v>
      </c>
      <c r="D1527">
        <v>10</v>
      </c>
      <c r="E1527">
        <v>0.2</v>
      </c>
      <c r="F1527">
        <v>112</v>
      </c>
      <c r="G1527" t="str">
        <f>VLOOKUP(VLOOKUP(order_details[[#This Row],[ProductID]], products[], 4, FALSE), categories[], 2, FALSE)</f>
        <v>Confections</v>
      </c>
      <c r="H1527">
        <f>VLOOKUP(order_details[[#This Row],[ProductID]], products[], 4, FALSE)</f>
        <v>3</v>
      </c>
      <c r="I1527" t="str">
        <f>VLOOKUP(order_details[[#This Row],[OrderID]], orders[[OrderID]:[ShipCountry]], 14, FALSE)</f>
        <v>France</v>
      </c>
      <c r="J1527" s="1">
        <f>_xlfn.XLOOKUP(order_details[[#This Row],[OrderID]], orders[OrderID], orders[Month])</f>
        <v>2</v>
      </c>
    </row>
    <row r="1528" spans="1:10" x14ac:dyDescent="0.35">
      <c r="A1528">
        <v>10832</v>
      </c>
      <c r="B1528">
        <v>44</v>
      </c>
      <c r="C1528">
        <v>19.45</v>
      </c>
      <c r="D1528">
        <v>16</v>
      </c>
      <c r="E1528">
        <v>0.2</v>
      </c>
      <c r="F1528">
        <v>248.96</v>
      </c>
      <c r="G1528" t="str">
        <f>VLOOKUP(VLOOKUP(order_details[[#This Row],[ProductID]], products[], 4, FALSE), categories[], 2, FALSE)</f>
        <v>Condiments</v>
      </c>
      <c r="H1528">
        <f>VLOOKUP(order_details[[#This Row],[ProductID]], products[], 4, FALSE)</f>
        <v>2</v>
      </c>
      <c r="I1528" t="str">
        <f>VLOOKUP(order_details[[#This Row],[OrderID]], orders[[OrderID]:[ShipCountry]], 14, FALSE)</f>
        <v>France</v>
      </c>
      <c r="J1528" s="1">
        <f>_xlfn.XLOOKUP(order_details[[#This Row],[OrderID]], orders[OrderID], orders[Month])</f>
        <v>2</v>
      </c>
    </row>
    <row r="1529" spans="1:10" x14ac:dyDescent="0.35">
      <c r="A1529">
        <v>10832</v>
      </c>
      <c r="B1529">
        <v>64</v>
      </c>
      <c r="C1529">
        <v>33.25</v>
      </c>
      <c r="D1529">
        <v>3</v>
      </c>
      <c r="E1529">
        <v>0</v>
      </c>
      <c r="F1529">
        <v>99.75</v>
      </c>
      <c r="G1529" t="str">
        <f>VLOOKUP(VLOOKUP(order_details[[#This Row],[ProductID]], products[], 4, FALSE), categories[], 2, FALSE)</f>
        <v>Grains/Cereals</v>
      </c>
      <c r="H1529">
        <f>VLOOKUP(order_details[[#This Row],[ProductID]], products[], 4, FALSE)</f>
        <v>5</v>
      </c>
      <c r="I1529" t="str">
        <f>VLOOKUP(order_details[[#This Row],[OrderID]], orders[[OrderID]:[ShipCountry]], 14, FALSE)</f>
        <v>France</v>
      </c>
      <c r="J1529" s="1">
        <f>_xlfn.XLOOKUP(order_details[[#This Row],[OrderID]], orders[OrderID], orders[Month])</f>
        <v>2</v>
      </c>
    </row>
    <row r="1530" spans="1:10" x14ac:dyDescent="0.35">
      <c r="A1530">
        <v>10833</v>
      </c>
      <c r="B1530">
        <v>7</v>
      </c>
      <c r="C1530">
        <v>30</v>
      </c>
      <c r="D1530">
        <v>20</v>
      </c>
      <c r="E1530">
        <v>0.1</v>
      </c>
      <c r="F1530">
        <v>540</v>
      </c>
      <c r="G1530" t="str">
        <f>VLOOKUP(VLOOKUP(order_details[[#This Row],[ProductID]], products[], 4, FALSE), categories[], 2, FALSE)</f>
        <v>Produce</v>
      </c>
      <c r="H1530">
        <f>VLOOKUP(order_details[[#This Row],[ProductID]], products[], 4, FALSE)</f>
        <v>7</v>
      </c>
      <c r="I1530" t="str">
        <f>VLOOKUP(order_details[[#This Row],[OrderID]], orders[[OrderID]:[ShipCountry]], 14, FALSE)</f>
        <v>Germany</v>
      </c>
      <c r="J1530" s="1">
        <f>_xlfn.XLOOKUP(order_details[[#This Row],[OrderID]], orders[OrderID], orders[Month])</f>
        <v>2</v>
      </c>
    </row>
    <row r="1531" spans="1:10" x14ac:dyDescent="0.35">
      <c r="A1531">
        <v>10833</v>
      </c>
      <c r="B1531">
        <v>31</v>
      </c>
      <c r="C1531">
        <v>12.5</v>
      </c>
      <c r="D1531">
        <v>9</v>
      </c>
      <c r="E1531">
        <v>0.1</v>
      </c>
      <c r="F1531">
        <v>101.25</v>
      </c>
      <c r="G1531" t="str">
        <f>VLOOKUP(VLOOKUP(order_details[[#This Row],[ProductID]], products[], 4, FALSE), categories[], 2, FALSE)</f>
        <v>Dairy Products</v>
      </c>
      <c r="H1531">
        <f>VLOOKUP(order_details[[#This Row],[ProductID]], products[], 4, FALSE)</f>
        <v>4</v>
      </c>
      <c r="I1531" t="str">
        <f>VLOOKUP(order_details[[#This Row],[OrderID]], orders[[OrderID]:[ShipCountry]], 14, FALSE)</f>
        <v>Germany</v>
      </c>
      <c r="J1531" s="1">
        <f>_xlfn.XLOOKUP(order_details[[#This Row],[OrderID]], orders[OrderID], orders[Month])</f>
        <v>2</v>
      </c>
    </row>
    <row r="1532" spans="1:10" x14ac:dyDescent="0.35">
      <c r="A1532">
        <v>10833</v>
      </c>
      <c r="B1532">
        <v>53</v>
      </c>
      <c r="C1532">
        <v>32.799999999999997</v>
      </c>
      <c r="D1532">
        <v>9</v>
      </c>
      <c r="E1532">
        <v>0.1</v>
      </c>
      <c r="F1532">
        <v>265.68</v>
      </c>
      <c r="G1532" t="str">
        <f>VLOOKUP(VLOOKUP(order_details[[#This Row],[ProductID]], products[], 4, FALSE), categories[], 2, FALSE)</f>
        <v>Meat/Poultry</v>
      </c>
      <c r="H1532">
        <f>VLOOKUP(order_details[[#This Row],[ProductID]], products[], 4, FALSE)</f>
        <v>6</v>
      </c>
      <c r="I1532" t="str">
        <f>VLOOKUP(order_details[[#This Row],[OrderID]], orders[[OrderID]:[ShipCountry]], 14, FALSE)</f>
        <v>Germany</v>
      </c>
      <c r="J1532" s="1">
        <f>_xlfn.XLOOKUP(order_details[[#This Row],[OrderID]], orders[OrderID], orders[Month])</f>
        <v>2</v>
      </c>
    </row>
    <row r="1533" spans="1:10" x14ac:dyDescent="0.35">
      <c r="A1533">
        <v>10834</v>
      </c>
      <c r="B1533">
        <v>29</v>
      </c>
      <c r="C1533">
        <v>123.79</v>
      </c>
      <c r="D1533">
        <v>8</v>
      </c>
      <c r="E1533">
        <v>0.05</v>
      </c>
      <c r="F1533">
        <v>940.80399999999997</v>
      </c>
      <c r="G1533" t="str">
        <f>VLOOKUP(VLOOKUP(order_details[[#This Row],[ProductID]], products[], 4, FALSE), categories[], 2, FALSE)</f>
        <v>Meat/Poultry</v>
      </c>
      <c r="H1533">
        <f>VLOOKUP(order_details[[#This Row],[ProductID]], products[], 4, FALSE)</f>
        <v>6</v>
      </c>
      <c r="I1533" t="str">
        <f>VLOOKUP(order_details[[#This Row],[OrderID]], orders[[OrderID]:[ShipCountry]], 14, FALSE)</f>
        <v>Brazil</v>
      </c>
      <c r="J1533" s="1">
        <f>_xlfn.XLOOKUP(order_details[[#This Row],[OrderID]], orders[OrderID], orders[Month])</f>
        <v>2</v>
      </c>
    </row>
    <row r="1534" spans="1:10" x14ac:dyDescent="0.35">
      <c r="A1534">
        <v>10834</v>
      </c>
      <c r="B1534">
        <v>30</v>
      </c>
      <c r="C1534">
        <v>25.89</v>
      </c>
      <c r="D1534">
        <v>20</v>
      </c>
      <c r="E1534">
        <v>0.05</v>
      </c>
      <c r="F1534">
        <v>491.90999999999991</v>
      </c>
      <c r="G1534" t="str">
        <f>VLOOKUP(VLOOKUP(order_details[[#This Row],[ProductID]], products[], 4, FALSE), categories[], 2, FALSE)</f>
        <v>Seafood</v>
      </c>
      <c r="H1534">
        <f>VLOOKUP(order_details[[#This Row],[ProductID]], products[], 4, FALSE)</f>
        <v>8</v>
      </c>
      <c r="I1534" t="str">
        <f>VLOOKUP(order_details[[#This Row],[OrderID]], orders[[OrderID]:[ShipCountry]], 14, FALSE)</f>
        <v>Brazil</v>
      </c>
      <c r="J1534" s="1">
        <f>_xlfn.XLOOKUP(order_details[[#This Row],[OrderID]], orders[OrderID], orders[Month])</f>
        <v>2</v>
      </c>
    </row>
    <row r="1535" spans="1:10" x14ac:dyDescent="0.35">
      <c r="A1535">
        <v>10835</v>
      </c>
      <c r="B1535">
        <v>59</v>
      </c>
      <c r="C1535">
        <v>55</v>
      </c>
      <c r="D1535">
        <v>15</v>
      </c>
      <c r="E1535">
        <v>0</v>
      </c>
      <c r="F1535">
        <v>825</v>
      </c>
      <c r="G1535" t="str">
        <f>VLOOKUP(VLOOKUP(order_details[[#This Row],[ProductID]], products[], 4, FALSE), categories[], 2, FALSE)</f>
        <v>Dairy Products</v>
      </c>
      <c r="H1535">
        <f>VLOOKUP(order_details[[#This Row],[ProductID]], products[], 4, FALSE)</f>
        <v>4</v>
      </c>
      <c r="I1535" t="str">
        <f>VLOOKUP(order_details[[#This Row],[OrderID]], orders[[OrderID]:[ShipCountry]], 14, FALSE)</f>
        <v>Germany</v>
      </c>
      <c r="J1535" s="1">
        <f>_xlfn.XLOOKUP(order_details[[#This Row],[OrderID]], orders[OrderID], orders[Month])</f>
        <v>2</v>
      </c>
    </row>
    <row r="1536" spans="1:10" x14ac:dyDescent="0.35">
      <c r="A1536">
        <v>10835</v>
      </c>
      <c r="B1536">
        <v>77</v>
      </c>
      <c r="C1536">
        <v>13</v>
      </c>
      <c r="D1536">
        <v>2</v>
      </c>
      <c r="E1536">
        <v>0.2</v>
      </c>
      <c r="F1536">
        <v>20.8</v>
      </c>
      <c r="G1536" t="str">
        <f>VLOOKUP(VLOOKUP(order_details[[#This Row],[ProductID]], products[], 4, FALSE), categories[], 2, FALSE)</f>
        <v>Condiments</v>
      </c>
      <c r="H1536">
        <f>VLOOKUP(order_details[[#This Row],[ProductID]], products[], 4, FALSE)</f>
        <v>2</v>
      </c>
      <c r="I1536" t="str">
        <f>VLOOKUP(order_details[[#This Row],[OrderID]], orders[[OrderID]:[ShipCountry]], 14, FALSE)</f>
        <v>Germany</v>
      </c>
      <c r="J1536" s="1">
        <f>_xlfn.XLOOKUP(order_details[[#This Row],[OrderID]], orders[OrderID], orders[Month])</f>
        <v>2</v>
      </c>
    </row>
    <row r="1537" spans="1:10" x14ac:dyDescent="0.35">
      <c r="A1537">
        <v>10836</v>
      </c>
      <c r="B1537">
        <v>22</v>
      </c>
      <c r="C1537">
        <v>21</v>
      </c>
      <c r="D1537">
        <v>52</v>
      </c>
      <c r="E1537">
        <v>0</v>
      </c>
      <c r="F1537">
        <v>1092</v>
      </c>
      <c r="G1537" t="str">
        <f>VLOOKUP(VLOOKUP(order_details[[#This Row],[ProductID]], products[], 4, FALSE), categories[], 2, FALSE)</f>
        <v>Grains/Cereals</v>
      </c>
      <c r="H1537">
        <f>VLOOKUP(order_details[[#This Row],[ProductID]], products[], 4, FALSE)</f>
        <v>5</v>
      </c>
      <c r="I1537" t="str">
        <f>VLOOKUP(order_details[[#This Row],[OrderID]], orders[[OrderID]:[ShipCountry]], 14, FALSE)</f>
        <v>Austria</v>
      </c>
      <c r="J1537" s="1">
        <f>_xlfn.XLOOKUP(order_details[[#This Row],[OrderID]], orders[OrderID], orders[Month])</f>
        <v>2</v>
      </c>
    </row>
    <row r="1538" spans="1:10" x14ac:dyDescent="0.35">
      <c r="A1538">
        <v>10836</v>
      </c>
      <c r="B1538">
        <v>35</v>
      </c>
      <c r="C1538">
        <v>18</v>
      </c>
      <c r="D1538">
        <v>6</v>
      </c>
      <c r="E1538">
        <v>0</v>
      </c>
      <c r="F1538">
        <v>108</v>
      </c>
      <c r="G1538" t="str">
        <f>VLOOKUP(VLOOKUP(order_details[[#This Row],[ProductID]], products[], 4, FALSE), categories[], 2, FALSE)</f>
        <v>Beverages</v>
      </c>
      <c r="H1538">
        <f>VLOOKUP(order_details[[#This Row],[ProductID]], products[], 4, FALSE)</f>
        <v>1</v>
      </c>
      <c r="I1538" t="str">
        <f>VLOOKUP(order_details[[#This Row],[OrderID]], orders[[OrderID]:[ShipCountry]], 14, FALSE)</f>
        <v>Austria</v>
      </c>
      <c r="J1538" s="1">
        <f>_xlfn.XLOOKUP(order_details[[#This Row],[OrderID]], orders[OrderID], orders[Month])</f>
        <v>2</v>
      </c>
    </row>
    <row r="1539" spans="1:10" x14ac:dyDescent="0.35">
      <c r="A1539">
        <v>10836</v>
      </c>
      <c r="B1539">
        <v>57</v>
      </c>
      <c r="C1539">
        <v>19.5</v>
      </c>
      <c r="D1539">
        <v>24</v>
      </c>
      <c r="E1539">
        <v>0</v>
      </c>
      <c r="F1539">
        <v>468</v>
      </c>
      <c r="G1539" t="str">
        <f>VLOOKUP(VLOOKUP(order_details[[#This Row],[ProductID]], products[], 4, FALSE), categories[], 2, FALSE)</f>
        <v>Grains/Cereals</v>
      </c>
      <c r="H1539">
        <f>VLOOKUP(order_details[[#This Row],[ProductID]], products[], 4, FALSE)</f>
        <v>5</v>
      </c>
      <c r="I1539" t="str">
        <f>VLOOKUP(order_details[[#This Row],[OrderID]], orders[[OrderID]:[ShipCountry]], 14, FALSE)</f>
        <v>Austria</v>
      </c>
      <c r="J1539" s="1">
        <f>_xlfn.XLOOKUP(order_details[[#This Row],[OrderID]], orders[OrderID], orders[Month])</f>
        <v>2</v>
      </c>
    </row>
    <row r="1540" spans="1:10" x14ac:dyDescent="0.35">
      <c r="A1540">
        <v>10836</v>
      </c>
      <c r="B1540">
        <v>60</v>
      </c>
      <c r="C1540">
        <v>34</v>
      </c>
      <c r="D1540">
        <v>60</v>
      </c>
      <c r="E1540">
        <v>0</v>
      </c>
      <c r="F1540">
        <v>2040</v>
      </c>
      <c r="G1540" t="str">
        <f>VLOOKUP(VLOOKUP(order_details[[#This Row],[ProductID]], products[], 4, FALSE), categories[], 2, FALSE)</f>
        <v>Dairy Products</v>
      </c>
      <c r="H1540">
        <f>VLOOKUP(order_details[[#This Row],[ProductID]], products[], 4, FALSE)</f>
        <v>4</v>
      </c>
      <c r="I1540" t="str">
        <f>VLOOKUP(order_details[[#This Row],[OrderID]], orders[[OrderID]:[ShipCountry]], 14, FALSE)</f>
        <v>Austria</v>
      </c>
      <c r="J1540" s="1">
        <f>_xlfn.XLOOKUP(order_details[[#This Row],[OrderID]], orders[OrderID], orders[Month])</f>
        <v>2</v>
      </c>
    </row>
    <row r="1541" spans="1:10" x14ac:dyDescent="0.35">
      <c r="A1541">
        <v>10836</v>
      </c>
      <c r="B1541">
        <v>64</v>
      </c>
      <c r="C1541">
        <v>33.25</v>
      </c>
      <c r="D1541">
        <v>30</v>
      </c>
      <c r="E1541">
        <v>0</v>
      </c>
      <c r="F1541">
        <v>997.5</v>
      </c>
      <c r="G1541" t="str">
        <f>VLOOKUP(VLOOKUP(order_details[[#This Row],[ProductID]], products[], 4, FALSE), categories[], 2, FALSE)</f>
        <v>Grains/Cereals</v>
      </c>
      <c r="H1541">
        <f>VLOOKUP(order_details[[#This Row],[ProductID]], products[], 4, FALSE)</f>
        <v>5</v>
      </c>
      <c r="I1541" t="str">
        <f>VLOOKUP(order_details[[#This Row],[OrderID]], orders[[OrderID]:[ShipCountry]], 14, FALSE)</f>
        <v>Austria</v>
      </c>
      <c r="J1541" s="1">
        <f>_xlfn.XLOOKUP(order_details[[#This Row],[OrderID]], orders[OrderID], orders[Month])</f>
        <v>2</v>
      </c>
    </row>
    <row r="1542" spans="1:10" x14ac:dyDescent="0.35">
      <c r="A1542">
        <v>10837</v>
      </c>
      <c r="B1542">
        <v>13</v>
      </c>
      <c r="C1542">
        <v>6</v>
      </c>
      <c r="D1542">
        <v>6</v>
      </c>
      <c r="E1542">
        <v>0</v>
      </c>
      <c r="F1542">
        <v>36</v>
      </c>
      <c r="G1542" t="str">
        <f>VLOOKUP(VLOOKUP(order_details[[#This Row],[ProductID]], products[], 4, FALSE), categories[], 2, FALSE)</f>
        <v>Seafood</v>
      </c>
      <c r="H1542">
        <f>VLOOKUP(order_details[[#This Row],[ProductID]], products[], 4, FALSE)</f>
        <v>8</v>
      </c>
      <c r="I1542" t="str">
        <f>VLOOKUP(order_details[[#This Row],[OrderID]], orders[[OrderID]:[ShipCountry]], 14, FALSE)</f>
        <v>Sweden</v>
      </c>
      <c r="J1542" s="1">
        <f>_xlfn.XLOOKUP(order_details[[#This Row],[OrderID]], orders[OrderID], orders[Month])</f>
        <v>2</v>
      </c>
    </row>
    <row r="1543" spans="1:10" x14ac:dyDescent="0.35">
      <c r="A1543">
        <v>10837</v>
      </c>
      <c r="B1543">
        <v>40</v>
      </c>
      <c r="C1543">
        <v>18.399999999999999</v>
      </c>
      <c r="D1543">
        <v>25</v>
      </c>
      <c r="E1543">
        <v>0</v>
      </c>
      <c r="F1543">
        <v>459.99999999999994</v>
      </c>
      <c r="G1543" t="str">
        <f>VLOOKUP(VLOOKUP(order_details[[#This Row],[ProductID]], products[], 4, FALSE), categories[], 2, FALSE)</f>
        <v>Seafood</v>
      </c>
      <c r="H1543">
        <f>VLOOKUP(order_details[[#This Row],[ProductID]], products[], 4, FALSE)</f>
        <v>8</v>
      </c>
      <c r="I1543" t="str">
        <f>VLOOKUP(order_details[[#This Row],[OrderID]], orders[[OrderID]:[ShipCountry]], 14, FALSE)</f>
        <v>Sweden</v>
      </c>
      <c r="J1543" s="1">
        <f>_xlfn.XLOOKUP(order_details[[#This Row],[OrderID]], orders[OrderID], orders[Month])</f>
        <v>2</v>
      </c>
    </row>
    <row r="1544" spans="1:10" x14ac:dyDescent="0.35">
      <c r="A1544">
        <v>10837</v>
      </c>
      <c r="B1544">
        <v>47</v>
      </c>
      <c r="C1544">
        <v>9.5</v>
      </c>
      <c r="D1544">
        <v>40</v>
      </c>
      <c r="E1544">
        <v>0.25</v>
      </c>
      <c r="F1544">
        <v>285</v>
      </c>
      <c r="G1544" t="str">
        <f>VLOOKUP(VLOOKUP(order_details[[#This Row],[ProductID]], products[], 4, FALSE), categories[], 2, FALSE)</f>
        <v>Confections</v>
      </c>
      <c r="H1544">
        <f>VLOOKUP(order_details[[#This Row],[ProductID]], products[], 4, FALSE)</f>
        <v>3</v>
      </c>
      <c r="I1544" t="str">
        <f>VLOOKUP(order_details[[#This Row],[OrderID]], orders[[OrderID]:[ShipCountry]], 14, FALSE)</f>
        <v>Sweden</v>
      </c>
      <c r="J1544" s="1">
        <f>_xlfn.XLOOKUP(order_details[[#This Row],[OrderID]], orders[OrderID], orders[Month])</f>
        <v>2</v>
      </c>
    </row>
    <row r="1545" spans="1:10" x14ac:dyDescent="0.35">
      <c r="A1545">
        <v>10837</v>
      </c>
      <c r="B1545">
        <v>76</v>
      </c>
      <c r="C1545">
        <v>18</v>
      </c>
      <c r="D1545">
        <v>21</v>
      </c>
      <c r="E1545">
        <v>0.25</v>
      </c>
      <c r="F1545">
        <v>283.5</v>
      </c>
      <c r="G1545" t="str">
        <f>VLOOKUP(VLOOKUP(order_details[[#This Row],[ProductID]], products[], 4, FALSE), categories[], 2, FALSE)</f>
        <v>Beverages</v>
      </c>
      <c r="H1545">
        <f>VLOOKUP(order_details[[#This Row],[ProductID]], products[], 4, FALSE)</f>
        <v>1</v>
      </c>
      <c r="I1545" t="str">
        <f>VLOOKUP(order_details[[#This Row],[OrderID]], orders[[OrderID]:[ShipCountry]], 14, FALSE)</f>
        <v>Sweden</v>
      </c>
      <c r="J1545" s="1">
        <f>_xlfn.XLOOKUP(order_details[[#This Row],[OrderID]], orders[OrderID], orders[Month])</f>
        <v>2</v>
      </c>
    </row>
    <row r="1546" spans="1:10" x14ac:dyDescent="0.35">
      <c r="A1546">
        <v>10838</v>
      </c>
      <c r="B1546">
        <v>1</v>
      </c>
      <c r="C1546">
        <v>18</v>
      </c>
      <c r="D1546">
        <v>4</v>
      </c>
      <c r="E1546">
        <v>0.25</v>
      </c>
      <c r="F1546">
        <v>54</v>
      </c>
      <c r="G1546" t="str">
        <f>VLOOKUP(VLOOKUP(order_details[[#This Row],[ProductID]], products[], 4, FALSE), categories[], 2, FALSE)</f>
        <v>Beverages</v>
      </c>
      <c r="H1546">
        <f>VLOOKUP(order_details[[#This Row],[ProductID]], products[], 4, FALSE)</f>
        <v>1</v>
      </c>
      <c r="I1546" t="str">
        <f>VLOOKUP(order_details[[#This Row],[OrderID]], orders[[OrderID]:[ShipCountry]], 14, FALSE)</f>
        <v>Venezuela</v>
      </c>
      <c r="J1546" s="1">
        <f>_xlfn.XLOOKUP(order_details[[#This Row],[OrderID]], orders[OrderID], orders[Month])</f>
        <v>2</v>
      </c>
    </row>
    <row r="1547" spans="1:10" x14ac:dyDescent="0.35">
      <c r="A1547">
        <v>10838</v>
      </c>
      <c r="B1547">
        <v>18</v>
      </c>
      <c r="C1547">
        <v>62.5</v>
      </c>
      <c r="D1547">
        <v>25</v>
      </c>
      <c r="E1547">
        <v>0.25</v>
      </c>
      <c r="F1547">
        <v>1171.875</v>
      </c>
      <c r="G1547" t="str">
        <f>VLOOKUP(VLOOKUP(order_details[[#This Row],[ProductID]], products[], 4, FALSE), categories[], 2, FALSE)</f>
        <v>Seafood</v>
      </c>
      <c r="H1547">
        <f>VLOOKUP(order_details[[#This Row],[ProductID]], products[], 4, FALSE)</f>
        <v>8</v>
      </c>
      <c r="I1547" t="str">
        <f>VLOOKUP(order_details[[#This Row],[OrderID]], orders[[OrderID]:[ShipCountry]], 14, FALSE)</f>
        <v>Venezuela</v>
      </c>
      <c r="J1547" s="1">
        <f>_xlfn.XLOOKUP(order_details[[#This Row],[OrderID]], orders[OrderID], orders[Month])</f>
        <v>2</v>
      </c>
    </row>
    <row r="1548" spans="1:10" x14ac:dyDescent="0.35">
      <c r="A1548">
        <v>10838</v>
      </c>
      <c r="B1548">
        <v>36</v>
      </c>
      <c r="C1548">
        <v>19</v>
      </c>
      <c r="D1548">
        <v>50</v>
      </c>
      <c r="E1548">
        <v>0.25</v>
      </c>
      <c r="F1548">
        <v>712.5</v>
      </c>
      <c r="G1548" t="str">
        <f>VLOOKUP(VLOOKUP(order_details[[#This Row],[ProductID]], products[], 4, FALSE), categories[], 2, FALSE)</f>
        <v>Seafood</v>
      </c>
      <c r="H1548">
        <f>VLOOKUP(order_details[[#This Row],[ProductID]], products[], 4, FALSE)</f>
        <v>8</v>
      </c>
      <c r="I1548" t="str">
        <f>VLOOKUP(order_details[[#This Row],[OrderID]], orders[[OrderID]:[ShipCountry]], 14, FALSE)</f>
        <v>Venezuela</v>
      </c>
      <c r="J1548" s="1">
        <f>_xlfn.XLOOKUP(order_details[[#This Row],[OrderID]], orders[OrderID], orders[Month])</f>
        <v>2</v>
      </c>
    </row>
    <row r="1549" spans="1:10" x14ac:dyDescent="0.35">
      <c r="A1549">
        <v>10839</v>
      </c>
      <c r="B1549">
        <v>58</v>
      </c>
      <c r="C1549">
        <v>13.25</v>
      </c>
      <c r="D1549">
        <v>30</v>
      </c>
      <c r="E1549">
        <v>0.1</v>
      </c>
      <c r="F1549">
        <v>357.75</v>
      </c>
      <c r="G1549" t="str">
        <f>VLOOKUP(VLOOKUP(order_details[[#This Row],[ProductID]], products[], 4, FALSE), categories[], 2, FALSE)</f>
        <v>Seafood</v>
      </c>
      <c r="H1549">
        <f>VLOOKUP(order_details[[#This Row],[ProductID]], products[], 4, FALSE)</f>
        <v>8</v>
      </c>
      <c r="I1549" t="str">
        <f>VLOOKUP(order_details[[#This Row],[OrderID]], orders[[OrderID]:[ShipCountry]], 14, FALSE)</f>
        <v>Brazil</v>
      </c>
      <c r="J1549" s="1">
        <f>_xlfn.XLOOKUP(order_details[[#This Row],[OrderID]], orders[OrderID], orders[Month])</f>
        <v>2</v>
      </c>
    </row>
    <row r="1550" spans="1:10" x14ac:dyDescent="0.35">
      <c r="A1550">
        <v>10839</v>
      </c>
      <c r="B1550">
        <v>72</v>
      </c>
      <c r="C1550">
        <v>34.799999999999997</v>
      </c>
      <c r="D1550">
        <v>15</v>
      </c>
      <c r="E1550">
        <v>0.1</v>
      </c>
      <c r="F1550">
        <v>469.8</v>
      </c>
      <c r="G1550" t="str">
        <f>VLOOKUP(VLOOKUP(order_details[[#This Row],[ProductID]], products[], 4, FALSE), categories[], 2, FALSE)</f>
        <v>Dairy Products</v>
      </c>
      <c r="H1550">
        <f>VLOOKUP(order_details[[#This Row],[ProductID]], products[], 4, FALSE)</f>
        <v>4</v>
      </c>
      <c r="I1550" t="str">
        <f>VLOOKUP(order_details[[#This Row],[OrderID]], orders[[OrderID]:[ShipCountry]], 14, FALSE)</f>
        <v>Brazil</v>
      </c>
      <c r="J1550" s="1">
        <f>_xlfn.XLOOKUP(order_details[[#This Row],[OrderID]], orders[OrderID], orders[Month])</f>
        <v>2</v>
      </c>
    </row>
    <row r="1551" spans="1:10" x14ac:dyDescent="0.35">
      <c r="A1551">
        <v>10840</v>
      </c>
      <c r="B1551">
        <v>25</v>
      </c>
      <c r="C1551">
        <v>14</v>
      </c>
      <c r="D1551">
        <v>6</v>
      </c>
      <c r="E1551">
        <v>0.2</v>
      </c>
      <c r="F1551">
        <v>67.2</v>
      </c>
      <c r="G1551" t="str">
        <f>VLOOKUP(VLOOKUP(order_details[[#This Row],[ProductID]], products[], 4, FALSE), categories[], 2, FALSE)</f>
        <v>Confections</v>
      </c>
      <c r="H1551">
        <f>VLOOKUP(order_details[[#This Row],[ProductID]], products[], 4, FALSE)</f>
        <v>3</v>
      </c>
      <c r="I1551" t="str">
        <f>VLOOKUP(order_details[[#This Row],[OrderID]], orders[[OrderID]:[ShipCountry]], 14, FALSE)</f>
        <v>Venezuela</v>
      </c>
      <c r="J1551" s="1">
        <f>_xlfn.XLOOKUP(order_details[[#This Row],[OrderID]], orders[OrderID], orders[Month])</f>
        <v>2</v>
      </c>
    </row>
    <row r="1552" spans="1:10" x14ac:dyDescent="0.35">
      <c r="A1552">
        <v>10840</v>
      </c>
      <c r="B1552">
        <v>39</v>
      </c>
      <c r="C1552">
        <v>18</v>
      </c>
      <c r="D1552">
        <v>10</v>
      </c>
      <c r="E1552">
        <v>0.2</v>
      </c>
      <c r="F1552">
        <v>144</v>
      </c>
      <c r="G1552" t="str">
        <f>VLOOKUP(VLOOKUP(order_details[[#This Row],[ProductID]], products[], 4, FALSE), categories[], 2, FALSE)</f>
        <v>Beverages</v>
      </c>
      <c r="H1552">
        <f>VLOOKUP(order_details[[#This Row],[ProductID]], products[], 4, FALSE)</f>
        <v>1</v>
      </c>
      <c r="I1552" t="str">
        <f>VLOOKUP(order_details[[#This Row],[OrderID]], orders[[OrderID]:[ShipCountry]], 14, FALSE)</f>
        <v>Venezuela</v>
      </c>
      <c r="J1552" s="1">
        <f>_xlfn.XLOOKUP(order_details[[#This Row],[OrderID]], orders[OrderID], orders[Month])</f>
        <v>2</v>
      </c>
    </row>
    <row r="1553" spans="1:10" x14ac:dyDescent="0.35">
      <c r="A1553">
        <v>10841</v>
      </c>
      <c r="B1553">
        <v>10</v>
      </c>
      <c r="C1553">
        <v>31</v>
      </c>
      <c r="D1553">
        <v>16</v>
      </c>
      <c r="E1553">
        <v>0</v>
      </c>
      <c r="F1553">
        <v>496</v>
      </c>
      <c r="G1553" t="str">
        <f>VLOOKUP(VLOOKUP(order_details[[#This Row],[ProductID]], products[], 4, FALSE), categories[], 2, FALSE)</f>
        <v>Seafood</v>
      </c>
      <c r="H1553">
        <f>VLOOKUP(order_details[[#This Row],[ProductID]], products[], 4, FALSE)</f>
        <v>8</v>
      </c>
      <c r="I1553" t="str">
        <f>VLOOKUP(order_details[[#This Row],[OrderID]], orders[[OrderID]:[ShipCountry]], 14, FALSE)</f>
        <v>Belgium</v>
      </c>
      <c r="J1553" s="1">
        <f>_xlfn.XLOOKUP(order_details[[#This Row],[OrderID]], orders[OrderID], orders[Month])</f>
        <v>2</v>
      </c>
    </row>
    <row r="1554" spans="1:10" x14ac:dyDescent="0.35">
      <c r="A1554">
        <v>10841</v>
      </c>
      <c r="B1554">
        <v>56</v>
      </c>
      <c r="C1554">
        <v>38</v>
      </c>
      <c r="D1554">
        <v>30</v>
      </c>
      <c r="E1554">
        <v>0</v>
      </c>
      <c r="F1554">
        <v>1140</v>
      </c>
      <c r="G1554" t="str">
        <f>VLOOKUP(VLOOKUP(order_details[[#This Row],[ProductID]], products[], 4, FALSE), categories[], 2, FALSE)</f>
        <v>Grains/Cereals</v>
      </c>
      <c r="H1554">
        <f>VLOOKUP(order_details[[#This Row],[ProductID]], products[], 4, FALSE)</f>
        <v>5</v>
      </c>
      <c r="I1554" t="str">
        <f>VLOOKUP(order_details[[#This Row],[OrderID]], orders[[OrderID]:[ShipCountry]], 14, FALSE)</f>
        <v>Belgium</v>
      </c>
      <c r="J1554" s="1">
        <f>_xlfn.XLOOKUP(order_details[[#This Row],[OrderID]], orders[OrderID], orders[Month])</f>
        <v>2</v>
      </c>
    </row>
    <row r="1555" spans="1:10" x14ac:dyDescent="0.35">
      <c r="A1555">
        <v>10841</v>
      </c>
      <c r="B1555">
        <v>59</v>
      </c>
      <c r="C1555">
        <v>55</v>
      </c>
      <c r="D1555">
        <v>50</v>
      </c>
      <c r="E1555">
        <v>0</v>
      </c>
      <c r="F1555">
        <v>2750</v>
      </c>
      <c r="G1555" t="str">
        <f>VLOOKUP(VLOOKUP(order_details[[#This Row],[ProductID]], products[], 4, FALSE), categories[], 2, FALSE)</f>
        <v>Dairy Products</v>
      </c>
      <c r="H1555">
        <f>VLOOKUP(order_details[[#This Row],[ProductID]], products[], 4, FALSE)</f>
        <v>4</v>
      </c>
      <c r="I1555" t="str">
        <f>VLOOKUP(order_details[[#This Row],[OrderID]], orders[[OrderID]:[ShipCountry]], 14, FALSE)</f>
        <v>Belgium</v>
      </c>
      <c r="J1555" s="1">
        <f>_xlfn.XLOOKUP(order_details[[#This Row],[OrderID]], orders[OrderID], orders[Month])</f>
        <v>2</v>
      </c>
    </row>
    <row r="1556" spans="1:10" x14ac:dyDescent="0.35">
      <c r="A1556">
        <v>10841</v>
      </c>
      <c r="B1556">
        <v>77</v>
      </c>
      <c r="C1556">
        <v>13</v>
      </c>
      <c r="D1556">
        <v>15</v>
      </c>
      <c r="E1556">
        <v>0</v>
      </c>
      <c r="F1556">
        <v>195</v>
      </c>
      <c r="G1556" t="str">
        <f>VLOOKUP(VLOOKUP(order_details[[#This Row],[ProductID]], products[], 4, FALSE), categories[], 2, FALSE)</f>
        <v>Condiments</v>
      </c>
      <c r="H1556">
        <f>VLOOKUP(order_details[[#This Row],[ProductID]], products[], 4, FALSE)</f>
        <v>2</v>
      </c>
      <c r="I1556" t="str">
        <f>VLOOKUP(order_details[[#This Row],[OrderID]], orders[[OrderID]:[ShipCountry]], 14, FALSE)</f>
        <v>Belgium</v>
      </c>
      <c r="J1556" s="1">
        <f>_xlfn.XLOOKUP(order_details[[#This Row],[OrderID]], orders[OrderID], orders[Month])</f>
        <v>2</v>
      </c>
    </row>
    <row r="1557" spans="1:10" x14ac:dyDescent="0.35">
      <c r="A1557">
        <v>10842</v>
      </c>
      <c r="B1557">
        <v>11</v>
      </c>
      <c r="C1557">
        <v>21</v>
      </c>
      <c r="D1557">
        <v>15</v>
      </c>
      <c r="E1557">
        <v>0</v>
      </c>
      <c r="F1557">
        <v>315</v>
      </c>
      <c r="G1557" t="str">
        <f>VLOOKUP(VLOOKUP(order_details[[#This Row],[ProductID]], products[], 4, FALSE), categories[], 2, FALSE)</f>
        <v>Dairy Products</v>
      </c>
      <c r="H1557">
        <f>VLOOKUP(order_details[[#This Row],[ProductID]], products[], 4, FALSE)</f>
        <v>4</v>
      </c>
      <c r="I1557" t="str">
        <f>VLOOKUP(order_details[[#This Row],[OrderID]], orders[[OrderID]:[ShipCountry]], 14, FALSE)</f>
        <v>Mexico</v>
      </c>
      <c r="J1557" s="1">
        <f>_xlfn.XLOOKUP(order_details[[#This Row],[OrderID]], orders[OrderID], orders[Month])</f>
        <v>2</v>
      </c>
    </row>
    <row r="1558" spans="1:10" x14ac:dyDescent="0.35">
      <c r="A1558">
        <v>10842</v>
      </c>
      <c r="B1558">
        <v>43</v>
      </c>
      <c r="C1558">
        <v>46</v>
      </c>
      <c r="D1558">
        <v>5</v>
      </c>
      <c r="E1558">
        <v>0</v>
      </c>
      <c r="F1558">
        <v>230</v>
      </c>
      <c r="G1558" t="str">
        <f>VLOOKUP(VLOOKUP(order_details[[#This Row],[ProductID]], products[], 4, FALSE), categories[], 2, FALSE)</f>
        <v>Beverages</v>
      </c>
      <c r="H1558">
        <f>VLOOKUP(order_details[[#This Row],[ProductID]], products[], 4, FALSE)</f>
        <v>1</v>
      </c>
      <c r="I1558" t="str">
        <f>VLOOKUP(order_details[[#This Row],[OrderID]], orders[[OrderID]:[ShipCountry]], 14, FALSE)</f>
        <v>Mexico</v>
      </c>
      <c r="J1558" s="1">
        <f>_xlfn.XLOOKUP(order_details[[#This Row],[OrderID]], orders[OrderID], orders[Month])</f>
        <v>2</v>
      </c>
    </row>
    <row r="1559" spans="1:10" x14ac:dyDescent="0.35">
      <c r="A1559">
        <v>10842</v>
      </c>
      <c r="B1559">
        <v>68</v>
      </c>
      <c r="C1559">
        <v>12.5</v>
      </c>
      <c r="D1559">
        <v>20</v>
      </c>
      <c r="E1559">
        <v>0</v>
      </c>
      <c r="F1559">
        <v>250</v>
      </c>
      <c r="G1559" t="str">
        <f>VLOOKUP(VLOOKUP(order_details[[#This Row],[ProductID]], products[], 4, FALSE), categories[], 2, FALSE)</f>
        <v>Confections</v>
      </c>
      <c r="H1559">
        <f>VLOOKUP(order_details[[#This Row],[ProductID]], products[], 4, FALSE)</f>
        <v>3</v>
      </c>
      <c r="I1559" t="str">
        <f>VLOOKUP(order_details[[#This Row],[OrderID]], orders[[OrderID]:[ShipCountry]], 14, FALSE)</f>
        <v>Mexico</v>
      </c>
      <c r="J1559" s="1">
        <f>_xlfn.XLOOKUP(order_details[[#This Row],[OrderID]], orders[OrderID], orders[Month])</f>
        <v>2</v>
      </c>
    </row>
    <row r="1560" spans="1:10" x14ac:dyDescent="0.35">
      <c r="A1560">
        <v>10842</v>
      </c>
      <c r="B1560">
        <v>70</v>
      </c>
      <c r="C1560">
        <v>15</v>
      </c>
      <c r="D1560">
        <v>12</v>
      </c>
      <c r="E1560">
        <v>0</v>
      </c>
      <c r="F1560">
        <v>180</v>
      </c>
      <c r="G1560" t="str">
        <f>VLOOKUP(VLOOKUP(order_details[[#This Row],[ProductID]], products[], 4, FALSE), categories[], 2, FALSE)</f>
        <v>Beverages</v>
      </c>
      <c r="H1560">
        <f>VLOOKUP(order_details[[#This Row],[ProductID]], products[], 4, FALSE)</f>
        <v>1</v>
      </c>
      <c r="I1560" t="str">
        <f>VLOOKUP(order_details[[#This Row],[OrderID]], orders[[OrderID]:[ShipCountry]], 14, FALSE)</f>
        <v>Mexico</v>
      </c>
      <c r="J1560" s="1">
        <f>_xlfn.XLOOKUP(order_details[[#This Row],[OrderID]], orders[OrderID], orders[Month])</f>
        <v>2</v>
      </c>
    </row>
    <row r="1561" spans="1:10" x14ac:dyDescent="0.35">
      <c r="A1561">
        <v>10843</v>
      </c>
      <c r="B1561">
        <v>51</v>
      </c>
      <c r="C1561">
        <v>53</v>
      </c>
      <c r="D1561">
        <v>4</v>
      </c>
      <c r="E1561">
        <v>0.25</v>
      </c>
      <c r="F1561">
        <v>159</v>
      </c>
      <c r="G1561" t="str">
        <f>VLOOKUP(VLOOKUP(order_details[[#This Row],[ProductID]], products[], 4, FALSE), categories[], 2, FALSE)</f>
        <v>Produce</v>
      </c>
      <c r="H1561">
        <f>VLOOKUP(order_details[[#This Row],[ProductID]], products[], 4, FALSE)</f>
        <v>7</v>
      </c>
      <c r="I1561" t="str">
        <f>VLOOKUP(order_details[[#This Row],[OrderID]], orders[[OrderID]:[ShipCountry]], 14, FALSE)</f>
        <v>France</v>
      </c>
      <c r="J1561" s="1">
        <f>_xlfn.XLOOKUP(order_details[[#This Row],[OrderID]], orders[OrderID], orders[Month])</f>
        <v>2</v>
      </c>
    </row>
    <row r="1562" spans="1:10" x14ac:dyDescent="0.35">
      <c r="A1562">
        <v>10844</v>
      </c>
      <c r="B1562">
        <v>22</v>
      </c>
      <c r="C1562">
        <v>21</v>
      </c>
      <c r="D1562">
        <v>35</v>
      </c>
      <c r="E1562">
        <v>0</v>
      </c>
      <c r="F1562">
        <v>735</v>
      </c>
      <c r="G1562" t="str">
        <f>VLOOKUP(VLOOKUP(order_details[[#This Row],[ProductID]], products[], 4, FALSE), categories[], 2, FALSE)</f>
        <v>Grains/Cereals</v>
      </c>
      <c r="H1562">
        <f>VLOOKUP(order_details[[#This Row],[ProductID]], products[], 4, FALSE)</f>
        <v>5</v>
      </c>
      <c r="I1562" t="str">
        <f>VLOOKUP(order_details[[#This Row],[OrderID]], orders[[OrderID]:[ShipCountry]], 14, FALSE)</f>
        <v>Austria</v>
      </c>
      <c r="J1562" s="1">
        <f>_xlfn.XLOOKUP(order_details[[#This Row],[OrderID]], orders[OrderID], orders[Month])</f>
        <v>2</v>
      </c>
    </row>
    <row r="1563" spans="1:10" x14ac:dyDescent="0.35">
      <c r="A1563">
        <v>10845</v>
      </c>
      <c r="B1563">
        <v>23</v>
      </c>
      <c r="C1563">
        <v>9</v>
      </c>
      <c r="D1563">
        <v>70</v>
      </c>
      <c r="E1563">
        <v>0.1</v>
      </c>
      <c r="F1563">
        <v>567</v>
      </c>
      <c r="G1563" t="str">
        <f>VLOOKUP(VLOOKUP(order_details[[#This Row],[ProductID]], products[], 4, FALSE), categories[], 2, FALSE)</f>
        <v>Grains/Cereals</v>
      </c>
      <c r="H1563">
        <f>VLOOKUP(order_details[[#This Row],[ProductID]], products[], 4, FALSE)</f>
        <v>5</v>
      </c>
      <c r="I1563" t="str">
        <f>VLOOKUP(order_details[[#This Row],[OrderID]], orders[[OrderID]:[ShipCountry]], 14, FALSE)</f>
        <v>Germany</v>
      </c>
      <c r="J1563" s="1">
        <f>_xlfn.XLOOKUP(order_details[[#This Row],[OrderID]], orders[OrderID], orders[Month])</f>
        <v>2</v>
      </c>
    </row>
    <row r="1564" spans="1:10" x14ac:dyDescent="0.35">
      <c r="A1564">
        <v>10845</v>
      </c>
      <c r="B1564">
        <v>35</v>
      </c>
      <c r="C1564">
        <v>18</v>
      </c>
      <c r="D1564">
        <v>25</v>
      </c>
      <c r="E1564">
        <v>0.1</v>
      </c>
      <c r="F1564">
        <v>405</v>
      </c>
      <c r="G1564" t="str">
        <f>VLOOKUP(VLOOKUP(order_details[[#This Row],[ProductID]], products[], 4, FALSE), categories[], 2, FALSE)</f>
        <v>Beverages</v>
      </c>
      <c r="H1564">
        <f>VLOOKUP(order_details[[#This Row],[ProductID]], products[], 4, FALSE)</f>
        <v>1</v>
      </c>
      <c r="I1564" t="str">
        <f>VLOOKUP(order_details[[#This Row],[OrderID]], orders[[OrderID]:[ShipCountry]], 14, FALSE)</f>
        <v>Germany</v>
      </c>
      <c r="J1564" s="1">
        <f>_xlfn.XLOOKUP(order_details[[#This Row],[OrderID]], orders[OrderID], orders[Month])</f>
        <v>2</v>
      </c>
    </row>
    <row r="1565" spans="1:10" x14ac:dyDescent="0.35">
      <c r="A1565">
        <v>10845</v>
      </c>
      <c r="B1565">
        <v>42</v>
      </c>
      <c r="C1565">
        <v>14</v>
      </c>
      <c r="D1565">
        <v>42</v>
      </c>
      <c r="E1565">
        <v>0.1</v>
      </c>
      <c r="F1565">
        <v>529.20000000000005</v>
      </c>
      <c r="G1565" t="str">
        <f>VLOOKUP(VLOOKUP(order_details[[#This Row],[ProductID]], products[], 4, FALSE), categories[], 2, FALSE)</f>
        <v>Grains/Cereals</v>
      </c>
      <c r="H1565">
        <f>VLOOKUP(order_details[[#This Row],[ProductID]], products[], 4, FALSE)</f>
        <v>5</v>
      </c>
      <c r="I1565" t="str">
        <f>VLOOKUP(order_details[[#This Row],[OrderID]], orders[[OrderID]:[ShipCountry]], 14, FALSE)</f>
        <v>Germany</v>
      </c>
      <c r="J1565" s="1">
        <f>_xlfn.XLOOKUP(order_details[[#This Row],[OrderID]], orders[OrderID], orders[Month])</f>
        <v>2</v>
      </c>
    </row>
    <row r="1566" spans="1:10" x14ac:dyDescent="0.35">
      <c r="A1566">
        <v>10845</v>
      </c>
      <c r="B1566">
        <v>58</v>
      </c>
      <c r="C1566">
        <v>13.25</v>
      </c>
      <c r="D1566">
        <v>60</v>
      </c>
      <c r="E1566">
        <v>0.1</v>
      </c>
      <c r="F1566">
        <v>715.5</v>
      </c>
      <c r="G1566" t="str">
        <f>VLOOKUP(VLOOKUP(order_details[[#This Row],[ProductID]], products[], 4, FALSE), categories[], 2, FALSE)</f>
        <v>Seafood</v>
      </c>
      <c r="H1566">
        <f>VLOOKUP(order_details[[#This Row],[ProductID]], products[], 4, FALSE)</f>
        <v>8</v>
      </c>
      <c r="I1566" t="str">
        <f>VLOOKUP(order_details[[#This Row],[OrderID]], orders[[OrderID]:[ShipCountry]], 14, FALSE)</f>
        <v>Germany</v>
      </c>
      <c r="J1566" s="1">
        <f>_xlfn.XLOOKUP(order_details[[#This Row],[OrderID]], orders[OrderID], orders[Month])</f>
        <v>2</v>
      </c>
    </row>
    <row r="1567" spans="1:10" x14ac:dyDescent="0.35">
      <c r="A1567">
        <v>10845</v>
      </c>
      <c r="B1567">
        <v>64</v>
      </c>
      <c r="C1567">
        <v>33.25</v>
      </c>
      <c r="D1567">
        <v>48</v>
      </c>
      <c r="E1567">
        <v>0</v>
      </c>
      <c r="F1567">
        <v>1596</v>
      </c>
      <c r="G1567" t="str">
        <f>VLOOKUP(VLOOKUP(order_details[[#This Row],[ProductID]], products[], 4, FALSE), categories[], 2, FALSE)</f>
        <v>Grains/Cereals</v>
      </c>
      <c r="H1567">
        <f>VLOOKUP(order_details[[#This Row],[ProductID]], products[], 4, FALSE)</f>
        <v>5</v>
      </c>
      <c r="I1567" t="str">
        <f>VLOOKUP(order_details[[#This Row],[OrderID]], orders[[OrderID]:[ShipCountry]], 14, FALSE)</f>
        <v>Germany</v>
      </c>
      <c r="J1567" s="1">
        <f>_xlfn.XLOOKUP(order_details[[#This Row],[OrderID]], orders[OrderID], orders[Month])</f>
        <v>2</v>
      </c>
    </row>
    <row r="1568" spans="1:10" x14ac:dyDescent="0.35">
      <c r="A1568">
        <v>10846</v>
      </c>
      <c r="B1568">
        <v>4</v>
      </c>
      <c r="C1568">
        <v>22</v>
      </c>
      <c r="D1568">
        <v>21</v>
      </c>
      <c r="E1568">
        <v>0</v>
      </c>
      <c r="F1568">
        <v>462</v>
      </c>
      <c r="G1568" t="str">
        <f>VLOOKUP(VLOOKUP(order_details[[#This Row],[ProductID]], products[], 4, FALSE), categories[], 2, FALSE)</f>
        <v>Condiments</v>
      </c>
      <c r="H1568">
        <f>VLOOKUP(order_details[[#This Row],[ProductID]], products[], 4, FALSE)</f>
        <v>2</v>
      </c>
      <c r="I1568" t="str">
        <f>VLOOKUP(order_details[[#This Row],[OrderID]], orders[[OrderID]:[ShipCountry]], 14, FALSE)</f>
        <v>Belgium</v>
      </c>
      <c r="J1568" s="1">
        <f>_xlfn.XLOOKUP(order_details[[#This Row],[OrderID]], orders[OrderID], orders[Month])</f>
        <v>2</v>
      </c>
    </row>
    <row r="1569" spans="1:10" x14ac:dyDescent="0.35">
      <c r="A1569">
        <v>10846</v>
      </c>
      <c r="B1569">
        <v>70</v>
      </c>
      <c r="C1569">
        <v>15</v>
      </c>
      <c r="D1569">
        <v>30</v>
      </c>
      <c r="E1569">
        <v>0</v>
      </c>
      <c r="F1569">
        <v>450</v>
      </c>
      <c r="G1569" t="str">
        <f>VLOOKUP(VLOOKUP(order_details[[#This Row],[ProductID]], products[], 4, FALSE), categories[], 2, FALSE)</f>
        <v>Beverages</v>
      </c>
      <c r="H1569">
        <f>VLOOKUP(order_details[[#This Row],[ProductID]], products[], 4, FALSE)</f>
        <v>1</v>
      </c>
      <c r="I1569" t="str">
        <f>VLOOKUP(order_details[[#This Row],[OrderID]], orders[[OrderID]:[ShipCountry]], 14, FALSE)</f>
        <v>Belgium</v>
      </c>
      <c r="J1569" s="1">
        <f>_xlfn.XLOOKUP(order_details[[#This Row],[OrderID]], orders[OrderID], orders[Month])</f>
        <v>2</v>
      </c>
    </row>
    <row r="1570" spans="1:10" x14ac:dyDescent="0.35">
      <c r="A1570">
        <v>10846</v>
      </c>
      <c r="B1570">
        <v>74</v>
      </c>
      <c r="C1570">
        <v>10</v>
      </c>
      <c r="D1570">
        <v>20</v>
      </c>
      <c r="E1570">
        <v>0</v>
      </c>
      <c r="F1570">
        <v>200</v>
      </c>
      <c r="G1570" t="str">
        <f>VLOOKUP(VLOOKUP(order_details[[#This Row],[ProductID]], products[], 4, FALSE), categories[], 2, FALSE)</f>
        <v>Produce</v>
      </c>
      <c r="H1570">
        <f>VLOOKUP(order_details[[#This Row],[ProductID]], products[], 4, FALSE)</f>
        <v>7</v>
      </c>
      <c r="I1570" t="str">
        <f>VLOOKUP(order_details[[#This Row],[OrderID]], orders[[OrderID]:[ShipCountry]], 14, FALSE)</f>
        <v>Belgium</v>
      </c>
      <c r="J1570" s="1">
        <f>_xlfn.XLOOKUP(order_details[[#This Row],[OrderID]], orders[OrderID], orders[Month])</f>
        <v>2</v>
      </c>
    </row>
    <row r="1571" spans="1:10" x14ac:dyDescent="0.35">
      <c r="A1571">
        <v>10847</v>
      </c>
      <c r="B1571">
        <v>1</v>
      </c>
      <c r="C1571">
        <v>18</v>
      </c>
      <c r="D1571">
        <v>80</v>
      </c>
      <c r="E1571">
        <v>0.2</v>
      </c>
      <c r="F1571">
        <v>1152</v>
      </c>
      <c r="G1571" t="str">
        <f>VLOOKUP(VLOOKUP(order_details[[#This Row],[ProductID]], products[], 4, FALSE), categories[], 2, FALSE)</f>
        <v>Beverages</v>
      </c>
      <c r="H1571">
        <f>VLOOKUP(order_details[[#This Row],[ProductID]], products[], 4, FALSE)</f>
        <v>1</v>
      </c>
      <c r="I1571" t="str">
        <f>VLOOKUP(order_details[[#This Row],[OrderID]], orders[[OrderID]:[ShipCountry]], 14, FALSE)</f>
        <v>USA</v>
      </c>
      <c r="J1571" s="1">
        <f>_xlfn.XLOOKUP(order_details[[#This Row],[OrderID]], orders[OrderID], orders[Month])</f>
        <v>2</v>
      </c>
    </row>
    <row r="1572" spans="1:10" x14ac:dyDescent="0.35">
      <c r="A1572">
        <v>10847</v>
      </c>
      <c r="B1572">
        <v>19</v>
      </c>
      <c r="C1572">
        <v>9.1999999999999993</v>
      </c>
      <c r="D1572">
        <v>12</v>
      </c>
      <c r="E1572">
        <v>0.2</v>
      </c>
      <c r="F1572">
        <v>88.32</v>
      </c>
      <c r="G1572" t="str">
        <f>VLOOKUP(VLOOKUP(order_details[[#This Row],[ProductID]], products[], 4, FALSE), categories[], 2, FALSE)</f>
        <v>Confections</v>
      </c>
      <c r="H1572">
        <f>VLOOKUP(order_details[[#This Row],[ProductID]], products[], 4, FALSE)</f>
        <v>3</v>
      </c>
      <c r="I1572" t="str">
        <f>VLOOKUP(order_details[[#This Row],[OrderID]], orders[[OrderID]:[ShipCountry]], 14, FALSE)</f>
        <v>USA</v>
      </c>
      <c r="J1572" s="1">
        <f>_xlfn.XLOOKUP(order_details[[#This Row],[OrderID]], orders[OrderID], orders[Month])</f>
        <v>2</v>
      </c>
    </row>
    <row r="1573" spans="1:10" x14ac:dyDescent="0.35">
      <c r="A1573">
        <v>10847</v>
      </c>
      <c r="B1573">
        <v>37</v>
      </c>
      <c r="C1573">
        <v>26</v>
      </c>
      <c r="D1573">
        <v>60</v>
      </c>
      <c r="E1573">
        <v>0.2</v>
      </c>
      <c r="F1573">
        <v>1248</v>
      </c>
      <c r="G1573" t="str">
        <f>VLOOKUP(VLOOKUP(order_details[[#This Row],[ProductID]], products[], 4, FALSE), categories[], 2, FALSE)</f>
        <v>Seafood</v>
      </c>
      <c r="H1573">
        <f>VLOOKUP(order_details[[#This Row],[ProductID]], products[], 4, FALSE)</f>
        <v>8</v>
      </c>
      <c r="I1573" t="str">
        <f>VLOOKUP(order_details[[#This Row],[OrderID]], orders[[OrderID]:[ShipCountry]], 14, FALSE)</f>
        <v>USA</v>
      </c>
      <c r="J1573" s="1">
        <f>_xlfn.XLOOKUP(order_details[[#This Row],[OrderID]], orders[OrderID], orders[Month])</f>
        <v>2</v>
      </c>
    </row>
    <row r="1574" spans="1:10" x14ac:dyDescent="0.35">
      <c r="A1574">
        <v>10847</v>
      </c>
      <c r="B1574">
        <v>45</v>
      </c>
      <c r="C1574">
        <v>9.5</v>
      </c>
      <c r="D1574">
        <v>36</v>
      </c>
      <c r="E1574">
        <v>0.2</v>
      </c>
      <c r="F1574">
        <v>273.60000000000002</v>
      </c>
      <c r="G1574" t="str">
        <f>VLOOKUP(VLOOKUP(order_details[[#This Row],[ProductID]], products[], 4, FALSE), categories[], 2, FALSE)</f>
        <v>Seafood</v>
      </c>
      <c r="H1574">
        <f>VLOOKUP(order_details[[#This Row],[ProductID]], products[], 4, FALSE)</f>
        <v>8</v>
      </c>
      <c r="I1574" t="str">
        <f>VLOOKUP(order_details[[#This Row],[OrderID]], orders[[OrderID]:[ShipCountry]], 14, FALSE)</f>
        <v>USA</v>
      </c>
      <c r="J1574" s="1">
        <f>_xlfn.XLOOKUP(order_details[[#This Row],[OrderID]], orders[OrderID], orders[Month])</f>
        <v>2</v>
      </c>
    </row>
    <row r="1575" spans="1:10" x14ac:dyDescent="0.35">
      <c r="A1575">
        <v>10847</v>
      </c>
      <c r="B1575">
        <v>60</v>
      </c>
      <c r="C1575">
        <v>34</v>
      </c>
      <c r="D1575">
        <v>45</v>
      </c>
      <c r="E1575">
        <v>0.2</v>
      </c>
      <c r="F1575">
        <v>1224</v>
      </c>
      <c r="G1575" t="str">
        <f>VLOOKUP(VLOOKUP(order_details[[#This Row],[ProductID]], products[], 4, FALSE), categories[], 2, FALSE)</f>
        <v>Dairy Products</v>
      </c>
      <c r="H1575">
        <f>VLOOKUP(order_details[[#This Row],[ProductID]], products[], 4, FALSE)</f>
        <v>4</v>
      </c>
      <c r="I1575" t="str">
        <f>VLOOKUP(order_details[[#This Row],[OrderID]], orders[[OrderID]:[ShipCountry]], 14, FALSE)</f>
        <v>USA</v>
      </c>
      <c r="J1575" s="1">
        <f>_xlfn.XLOOKUP(order_details[[#This Row],[OrderID]], orders[OrderID], orders[Month])</f>
        <v>2</v>
      </c>
    </row>
    <row r="1576" spans="1:10" x14ac:dyDescent="0.35">
      <c r="A1576">
        <v>10847</v>
      </c>
      <c r="B1576">
        <v>71</v>
      </c>
      <c r="C1576">
        <v>21.5</v>
      </c>
      <c r="D1576">
        <v>55</v>
      </c>
      <c r="E1576">
        <v>0.2</v>
      </c>
      <c r="F1576">
        <v>946</v>
      </c>
      <c r="G1576" t="str">
        <f>VLOOKUP(VLOOKUP(order_details[[#This Row],[ProductID]], products[], 4, FALSE), categories[], 2, FALSE)</f>
        <v>Dairy Products</v>
      </c>
      <c r="H1576">
        <f>VLOOKUP(order_details[[#This Row],[ProductID]], products[], 4, FALSE)</f>
        <v>4</v>
      </c>
      <c r="I1576" t="str">
        <f>VLOOKUP(order_details[[#This Row],[OrderID]], orders[[OrderID]:[ShipCountry]], 14, FALSE)</f>
        <v>USA</v>
      </c>
      <c r="J1576" s="1">
        <f>_xlfn.XLOOKUP(order_details[[#This Row],[OrderID]], orders[OrderID], orders[Month])</f>
        <v>2</v>
      </c>
    </row>
    <row r="1577" spans="1:10" x14ac:dyDescent="0.35">
      <c r="A1577">
        <v>10848</v>
      </c>
      <c r="B1577">
        <v>5</v>
      </c>
      <c r="C1577">
        <v>21.35</v>
      </c>
      <c r="D1577">
        <v>30</v>
      </c>
      <c r="E1577">
        <v>0</v>
      </c>
      <c r="F1577">
        <v>640.5</v>
      </c>
      <c r="G1577" t="str">
        <f>VLOOKUP(VLOOKUP(order_details[[#This Row],[ProductID]], products[], 4, FALSE), categories[], 2, FALSE)</f>
        <v>Condiments</v>
      </c>
      <c r="H1577">
        <f>VLOOKUP(order_details[[#This Row],[ProductID]], products[], 4, FALSE)</f>
        <v>2</v>
      </c>
      <c r="I1577" t="str">
        <f>VLOOKUP(order_details[[#This Row],[OrderID]], orders[[OrderID]:[ShipCountry]], 14, FALSE)</f>
        <v>UK</v>
      </c>
      <c r="J1577" s="1">
        <f>_xlfn.XLOOKUP(order_details[[#This Row],[OrderID]], orders[OrderID], orders[Month])</f>
        <v>2</v>
      </c>
    </row>
    <row r="1578" spans="1:10" x14ac:dyDescent="0.35">
      <c r="A1578">
        <v>10848</v>
      </c>
      <c r="B1578">
        <v>9</v>
      </c>
      <c r="C1578">
        <v>97</v>
      </c>
      <c r="D1578">
        <v>3</v>
      </c>
      <c r="E1578">
        <v>0</v>
      </c>
      <c r="F1578">
        <v>291</v>
      </c>
      <c r="G1578" t="str">
        <f>VLOOKUP(VLOOKUP(order_details[[#This Row],[ProductID]], products[], 4, FALSE), categories[], 2, FALSE)</f>
        <v>Meat/Poultry</v>
      </c>
      <c r="H1578">
        <f>VLOOKUP(order_details[[#This Row],[ProductID]], products[], 4, FALSE)</f>
        <v>6</v>
      </c>
      <c r="I1578" t="str">
        <f>VLOOKUP(order_details[[#This Row],[OrderID]], orders[[OrderID]:[ShipCountry]], 14, FALSE)</f>
        <v>UK</v>
      </c>
      <c r="J1578" s="1">
        <f>_xlfn.XLOOKUP(order_details[[#This Row],[OrderID]], orders[OrderID], orders[Month])</f>
        <v>2</v>
      </c>
    </row>
    <row r="1579" spans="1:10" x14ac:dyDescent="0.35">
      <c r="A1579">
        <v>10849</v>
      </c>
      <c r="B1579">
        <v>3</v>
      </c>
      <c r="C1579">
        <v>10</v>
      </c>
      <c r="D1579">
        <v>49</v>
      </c>
      <c r="E1579">
        <v>0</v>
      </c>
      <c r="F1579">
        <v>490</v>
      </c>
      <c r="G1579" t="str">
        <f>VLOOKUP(VLOOKUP(order_details[[#This Row],[ProductID]], products[], 4, FALSE), categories[], 2, FALSE)</f>
        <v>Condiments</v>
      </c>
      <c r="H1579">
        <f>VLOOKUP(order_details[[#This Row],[ProductID]], products[], 4, FALSE)</f>
        <v>2</v>
      </c>
      <c r="I1579" t="str">
        <f>VLOOKUP(order_details[[#This Row],[OrderID]], orders[[OrderID]:[ShipCountry]], 14, FALSE)</f>
        <v>Germany</v>
      </c>
      <c r="J1579" s="1">
        <f>_xlfn.XLOOKUP(order_details[[#This Row],[OrderID]], orders[OrderID], orders[Month])</f>
        <v>2</v>
      </c>
    </row>
    <row r="1580" spans="1:10" x14ac:dyDescent="0.35">
      <c r="A1580">
        <v>10849</v>
      </c>
      <c r="B1580">
        <v>26</v>
      </c>
      <c r="C1580">
        <v>31.23</v>
      </c>
      <c r="D1580">
        <v>18</v>
      </c>
      <c r="E1580">
        <v>0.15</v>
      </c>
      <c r="F1580">
        <v>477.81899999999996</v>
      </c>
      <c r="G1580" t="str">
        <f>VLOOKUP(VLOOKUP(order_details[[#This Row],[ProductID]], products[], 4, FALSE), categories[], 2, FALSE)</f>
        <v>Confections</v>
      </c>
      <c r="H1580">
        <f>VLOOKUP(order_details[[#This Row],[ProductID]], products[], 4, FALSE)</f>
        <v>3</v>
      </c>
      <c r="I1580" t="str">
        <f>VLOOKUP(order_details[[#This Row],[OrderID]], orders[[OrderID]:[ShipCountry]], 14, FALSE)</f>
        <v>Germany</v>
      </c>
      <c r="J1580" s="1">
        <f>_xlfn.XLOOKUP(order_details[[#This Row],[OrderID]], orders[OrderID], orders[Month])</f>
        <v>2</v>
      </c>
    </row>
    <row r="1581" spans="1:10" x14ac:dyDescent="0.35">
      <c r="A1581">
        <v>10850</v>
      </c>
      <c r="B1581">
        <v>25</v>
      </c>
      <c r="C1581">
        <v>14</v>
      </c>
      <c r="D1581">
        <v>20</v>
      </c>
      <c r="E1581">
        <v>0.15</v>
      </c>
      <c r="F1581">
        <v>238</v>
      </c>
      <c r="G1581" t="str">
        <f>VLOOKUP(VLOOKUP(order_details[[#This Row],[ProductID]], products[], 4, FALSE), categories[], 2, FALSE)</f>
        <v>Confections</v>
      </c>
      <c r="H1581">
        <f>VLOOKUP(order_details[[#This Row],[ProductID]], products[], 4, FALSE)</f>
        <v>3</v>
      </c>
      <c r="I1581" t="str">
        <f>VLOOKUP(order_details[[#This Row],[OrderID]], orders[[OrderID]:[ShipCountry]], 14, FALSE)</f>
        <v>France</v>
      </c>
      <c r="J1581" s="1">
        <f>_xlfn.XLOOKUP(order_details[[#This Row],[OrderID]], orders[OrderID], orders[Month])</f>
        <v>2</v>
      </c>
    </row>
    <row r="1582" spans="1:10" x14ac:dyDescent="0.35">
      <c r="A1582">
        <v>10850</v>
      </c>
      <c r="B1582">
        <v>33</v>
      </c>
      <c r="C1582">
        <v>2.5</v>
      </c>
      <c r="D1582">
        <v>4</v>
      </c>
      <c r="E1582">
        <v>0.15</v>
      </c>
      <c r="F1582">
        <v>8.5</v>
      </c>
      <c r="G1582" t="str">
        <f>VLOOKUP(VLOOKUP(order_details[[#This Row],[ProductID]], products[], 4, FALSE), categories[], 2, FALSE)</f>
        <v>Dairy Products</v>
      </c>
      <c r="H1582">
        <f>VLOOKUP(order_details[[#This Row],[ProductID]], products[], 4, FALSE)</f>
        <v>4</v>
      </c>
      <c r="I1582" t="str">
        <f>VLOOKUP(order_details[[#This Row],[OrderID]], orders[[OrderID]:[ShipCountry]], 14, FALSE)</f>
        <v>France</v>
      </c>
      <c r="J1582" s="1">
        <f>_xlfn.XLOOKUP(order_details[[#This Row],[OrderID]], orders[OrderID], orders[Month])</f>
        <v>2</v>
      </c>
    </row>
    <row r="1583" spans="1:10" x14ac:dyDescent="0.35">
      <c r="A1583">
        <v>10850</v>
      </c>
      <c r="B1583">
        <v>70</v>
      </c>
      <c r="C1583">
        <v>15</v>
      </c>
      <c r="D1583">
        <v>30</v>
      </c>
      <c r="E1583">
        <v>0.15</v>
      </c>
      <c r="F1583">
        <v>382.5</v>
      </c>
      <c r="G1583" t="str">
        <f>VLOOKUP(VLOOKUP(order_details[[#This Row],[ProductID]], products[], 4, FALSE), categories[], 2, FALSE)</f>
        <v>Beverages</v>
      </c>
      <c r="H1583">
        <f>VLOOKUP(order_details[[#This Row],[ProductID]], products[], 4, FALSE)</f>
        <v>1</v>
      </c>
      <c r="I1583" t="str">
        <f>VLOOKUP(order_details[[#This Row],[OrderID]], orders[[OrderID]:[ShipCountry]], 14, FALSE)</f>
        <v>France</v>
      </c>
      <c r="J1583" s="1">
        <f>_xlfn.XLOOKUP(order_details[[#This Row],[OrderID]], orders[OrderID], orders[Month])</f>
        <v>2</v>
      </c>
    </row>
    <row r="1584" spans="1:10" x14ac:dyDescent="0.35">
      <c r="A1584">
        <v>10851</v>
      </c>
      <c r="B1584">
        <v>2</v>
      </c>
      <c r="C1584">
        <v>19</v>
      </c>
      <c r="D1584">
        <v>5</v>
      </c>
      <c r="E1584">
        <v>0.05</v>
      </c>
      <c r="F1584">
        <v>90.25</v>
      </c>
      <c r="G1584" t="str">
        <f>VLOOKUP(VLOOKUP(order_details[[#This Row],[ProductID]], products[], 4, FALSE), categories[], 2, FALSE)</f>
        <v>Beverages</v>
      </c>
      <c r="H1584">
        <f>VLOOKUP(order_details[[#This Row],[ProductID]], products[], 4, FALSE)</f>
        <v>1</v>
      </c>
      <c r="I1584" t="str">
        <f>VLOOKUP(order_details[[#This Row],[OrderID]], orders[[OrderID]:[ShipCountry]], 14, FALSE)</f>
        <v>Brazil</v>
      </c>
      <c r="J1584" s="1">
        <f>_xlfn.XLOOKUP(order_details[[#This Row],[OrderID]], orders[OrderID], orders[Month])</f>
        <v>2</v>
      </c>
    </row>
    <row r="1585" spans="1:10" x14ac:dyDescent="0.35">
      <c r="A1585">
        <v>10851</v>
      </c>
      <c r="B1585">
        <v>25</v>
      </c>
      <c r="C1585">
        <v>14</v>
      </c>
      <c r="D1585">
        <v>10</v>
      </c>
      <c r="E1585">
        <v>0.05</v>
      </c>
      <c r="F1585">
        <v>133</v>
      </c>
      <c r="G1585" t="str">
        <f>VLOOKUP(VLOOKUP(order_details[[#This Row],[ProductID]], products[], 4, FALSE), categories[], 2, FALSE)</f>
        <v>Confections</v>
      </c>
      <c r="H1585">
        <f>VLOOKUP(order_details[[#This Row],[ProductID]], products[], 4, FALSE)</f>
        <v>3</v>
      </c>
      <c r="I1585" t="str">
        <f>VLOOKUP(order_details[[#This Row],[OrderID]], orders[[OrderID]:[ShipCountry]], 14, FALSE)</f>
        <v>Brazil</v>
      </c>
      <c r="J1585" s="1">
        <f>_xlfn.XLOOKUP(order_details[[#This Row],[OrderID]], orders[OrderID], orders[Month])</f>
        <v>2</v>
      </c>
    </row>
    <row r="1586" spans="1:10" x14ac:dyDescent="0.35">
      <c r="A1586">
        <v>10851</v>
      </c>
      <c r="B1586">
        <v>57</v>
      </c>
      <c r="C1586">
        <v>19.5</v>
      </c>
      <c r="D1586">
        <v>10</v>
      </c>
      <c r="E1586">
        <v>0.05</v>
      </c>
      <c r="F1586">
        <v>185.25</v>
      </c>
      <c r="G1586" t="str">
        <f>VLOOKUP(VLOOKUP(order_details[[#This Row],[ProductID]], products[], 4, FALSE), categories[], 2, FALSE)</f>
        <v>Grains/Cereals</v>
      </c>
      <c r="H1586">
        <f>VLOOKUP(order_details[[#This Row],[ProductID]], products[], 4, FALSE)</f>
        <v>5</v>
      </c>
      <c r="I1586" t="str">
        <f>VLOOKUP(order_details[[#This Row],[OrderID]], orders[[OrderID]:[ShipCountry]], 14, FALSE)</f>
        <v>Brazil</v>
      </c>
      <c r="J1586" s="1">
        <f>_xlfn.XLOOKUP(order_details[[#This Row],[OrderID]], orders[OrderID], orders[Month])</f>
        <v>2</v>
      </c>
    </row>
    <row r="1587" spans="1:10" x14ac:dyDescent="0.35">
      <c r="A1587">
        <v>10851</v>
      </c>
      <c r="B1587">
        <v>59</v>
      </c>
      <c r="C1587">
        <v>55</v>
      </c>
      <c r="D1587">
        <v>42</v>
      </c>
      <c r="E1587">
        <v>0.05</v>
      </c>
      <c r="F1587">
        <v>2194.5</v>
      </c>
      <c r="G1587" t="str">
        <f>VLOOKUP(VLOOKUP(order_details[[#This Row],[ProductID]], products[], 4, FALSE), categories[], 2, FALSE)</f>
        <v>Dairy Products</v>
      </c>
      <c r="H1587">
        <f>VLOOKUP(order_details[[#This Row],[ProductID]], products[], 4, FALSE)</f>
        <v>4</v>
      </c>
      <c r="I1587" t="str">
        <f>VLOOKUP(order_details[[#This Row],[OrderID]], orders[[OrderID]:[ShipCountry]], 14, FALSE)</f>
        <v>Brazil</v>
      </c>
      <c r="J1587" s="1">
        <f>_xlfn.XLOOKUP(order_details[[#This Row],[OrderID]], orders[OrderID], orders[Month])</f>
        <v>2</v>
      </c>
    </row>
    <row r="1588" spans="1:10" x14ac:dyDescent="0.35">
      <c r="A1588">
        <v>10852</v>
      </c>
      <c r="B1588">
        <v>2</v>
      </c>
      <c r="C1588">
        <v>19</v>
      </c>
      <c r="D1588">
        <v>15</v>
      </c>
      <c r="E1588">
        <v>0</v>
      </c>
      <c r="F1588">
        <v>285</v>
      </c>
      <c r="G1588" t="str">
        <f>VLOOKUP(VLOOKUP(order_details[[#This Row],[ProductID]], products[], 4, FALSE), categories[], 2, FALSE)</f>
        <v>Beverages</v>
      </c>
      <c r="H1588">
        <f>VLOOKUP(order_details[[#This Row],[ProductID]], products[], 4, FALSE)</f>
        <v>1</v>
      </c>
      <c r="I1588" t="str">
        <f>VLOOKUP(order_details[[#This Row],[OrderID]], orders[[OrderID]:[ShipCountry]], 14, FALSE)</f>
        <v>USA</v>
      </c>
      <c r="J1588" s="1">
        <f>_xlfn.XLOOKUP(order_details[[#This Row],[OrderID]], orders[OrderID], orders[Month])</f>
        <v>2</v>
      </c>
    </row>
    <row r="1589" spans="1:10" x14ac:dyDescent="0.35">
      <c r="A1589">
        <v>10852</v>
      </c>
      <c r="B1589">
        <v>17</v>
      </c>
      <c r="C1589">
        <v>39</v>
      </c>
      <c r="D1589">
        <v>6</v>
      </c>
      <c r="E1589">
        <v>0</v>
      </c>
      <c r="F1589">
        <v>234</v>
      </c>
      <c r="G1589" t="str">
        <f>VLOOKUP(VLOOKUP(order_details[[#This Row],[ProductID]], products[], 4, FALSE), categories[], 2, FALSE)</f>
        <v>Meat/Poultry</v>
      </c>
      <c r="H1589">
        <f>VLOOKUP(order_details[[#This Row],[ProductID]], products[], 4, FALSE)</f>
        <v>6</v>
      </c>
      <c r="I1589" t="str">
        <f>VLOOKUP(order_details[[#This Row],[OrderID]], orders[[OrderID]:[ShipCountry]], 14, FALSE)</f>
        <v>USA</v>
      </c>
      <c r="J1589" s="1">
        <f>_xlfn.XLOOKUP(order_details[[#This Row],[OrderID]], orders[OrderID], orders[Month])</f>
        <v>2</v>
      </c>
    </row>
    <row r="1590" spans="1:10" x14ac:dyDescent="0.35">
      <c r="A1590">
        <v>10852</v>
      </c>
      <c r="B1590">
        <v>62</v>
      </c>
      <c r="C1590">
        <v>49.3</v>
      </c>
      <c r="D1590">
        <v>50</v>
      </c>
      <c r="E1590">
        <v>0</v>
      </c>
      <c r="F1590">
        <v>2465</v>
      </c>
      <c r="G1590" t="str">
        <f>VLOOKUP(VLOOKUP(order_details[[#This Row],[ProductID]], products[], 4, FALSE), categories[], 2, FALSE)</f>
        <v>Confections</v>
      </c>
      <c r="H1590">
        <f>VLOOKUP(order_details[[#This Row],[ProductID]], products[], 4, FALSE)</f>
        <v>3</v>
      </c>
      <c r="I1590" t="str">
        <f>VLOOKUP(order_details[[#This Row],[OrderID]], orders[[OrderID]:[ShipCountry]], 14, FALSE)</f>
        <v>USA</v>
      </c>
      <c r="J1590" s="1">
        <f>_xlfn.XLOOKUP(order_details[[#This Row],[OrderID]], orders[OrderID], orders[Month])</f>
        <v>2</v>
      </c>
    </row>
    <row r="1591" spans="1:10" x14ac:dyDescent="0.35">
      <c r="A1591">
        <v>10853</v>
      </c>
      <c r="B1591">
        <v>18</v>
      </c>
      <c r="C1591">
        <v>62.5</v>
      </c>
      <c r="D1591">
        <v>10</v>
      </c>
      <c r="E1591">
        <v>0</v>
      </c>
      <c r="F1591">
        <v>625</v>
      </c>
      <c r="G1591" t="str">
        <f>VLOOKUP(VLOOKUP(order_details[[#This Row],[ProductID]], products[], 4, FALSE), categories[], 2, FALSE)</f>
        <v>Seafood</v>
      </c>
      <c r="H1591">
        <f>VLOOKUP(order_details[[#This Row],[ProductID]], products[], 4, FALSE)</f>
        <v>8</v>
      </c>
      <c r="I1591" t="str">
        <f>VLOOKUP(order_details[[#This Row],[OrderID]], orders[[OrderID]:[ShipCountry]], 14, FALSE)</f>
        <v>Germany</v>
      </c>
      <c r="J1591" s="1">
        <f>_xlfn.XLOOKUP(order_details[[#This Row],[OrderID]], orders[OrderID], orders[Month])</f>
        <v>2</v>
      </c>
    </row>
    <row r="1592" spans="1:10" x14ac:dyDescent="0.35">
      <c r="A1592">
        <v>10854</v>
      </c>
      <c r="B1592">
        <v>10</v>
      </c>
      <c r="C1592">
        <v>31</v>
      </c>
      <c r="D1592">
        <v>100</v>
      </c>
      <c r="E1592">
        <v>0.15</v>
      </c>
      <c r="F1592">
        <v>2635</v>
      </c>
      <c r="G1592" t="str">
        <f>VLOOKUP(VLOOKUP(order_details[[#This Row],[ProductID]], products[], 4, FALSE), categories[], 2, FALSE)</f>
        <v>Seafood</v>
      </c>
      <c r="H1592">
        <f>VLOOKUP(order_details[[#This Row],[ProductID]], products[], 4, FALSE)</f>
        <v>8</v>
      </c>
      <c r="I1592" t="str">
        <f>VLOOKUP(order_details[[#This Row],[OrderID]], orders[[OrderID]:[ShipCountry]], 14, FALSE)</f>
        <v>Austria</v>
      </c>
      <c r="J1592" s="1">
        <f>_xlfn.XLOOKUP(order_details[[#This Row],[OrderID]], orders[OrderID], orders[Month])</f>
        <v>2</v>
      </c>
    </row>
    <row r="1593" spans="1:10" x14ac:dyDescent="0.35">
      <c r="A1593">
        <v>10854</v>
      </c>
      <c r="B1593">
        <v>13</v>
      </c>
      <c r="C1593">
        <v>6</v>
      </c>
      <c r="D1593">
        <v>65</v>
      </c>
      <c r="E1593">
        <v>0.15</v>
      </c>
      <c r="F1593">
        <v>331.5</v>
      </c>
      <c r="G1593" t="str">
        <f>VLOOKUP(VLOOKUP(order_details[[#This Row],[ProductID]], products[], 4, FALSE), categories[], 2, FALSE)</f>
        <v>Seafood</v>
      </c>
      <c r="H1593">
        <f>VLOOKUP(order_details[[#This Row],[ProductID]], products[], 4, FALSE)</f>
        <v>8</v>
      </c>
      <c r="I1593" t="str">
        <f>VLOOKUP(order_details[[#This Row],[OrderID]], orders[[OrderID]:[ShipCountry]], 14, FALSE)</f>
        <v>Austria</v>
      </c>
      <c r="J1593" s="1">
        <f>_xlfn.XLOOKUP(order_details[[#This Row],[OrderID]], orders[OrderID], orders[Month])</f>
        <v>2</v>
      </c>
    </row>
    <row r="1594" spans="1:10" x14ac:dyDescent="0.35">
      <c r="A1594">
        <v>10855</v>
      </c>
      <c r="B1594">
        <v>16</v>
      </c>
      <c r="C1594">
        <v>17.45</v>
      </c>
      <c r="D1594">
        <v>50</v>
      </c>
      <c r="E1594">
        <v>0</v>
      </c>
      <c r="F1594">
        <v>872.5</v>
      </c>
      <c r="G1594" t="str">
        <f>VLOOKUP(VLOOKUP(order_details[[#This Row],[ProductID]], products[], 4, FALSE), categories[], 2, FALSE)</f>
        <v>Confections</v>
      </c>
      <c r="H1594">
        <f>VLOOKUP(order_details[[#This Row],[ProductID]], products[], 4, FALSE)</f>
        <v>3</v>
      </c>
      <c r="I1594" t="str">
        <f>VLOOKUP(order_details[[#This Row],[OrderID]], orders[[OrderID]:[ShipCountry]], 14, FALSE)</f>
        <v>USA</v>
      </c>
      <c r="J1594" s="1">
        <f>_xlfn.XLOOKUP(order_details[[#This Row],[OrderID]], orders[OrderID], orders[Month])</f>
        <v>2</v>
      </c>
    </row>
    <row r="1595" spans="1:10" x14ac:dyDescent="0.35">
      <c r="A1595">
        <v>10855</v>
      </c>
      <c r="B1595">
        <v>31</v>
      </c>
      <c r="C1595">
        <v>12.5</v>
      </c>
      <c r="D1595">
        <v>14</v>
      </c>
      <c r="E1595">
        <v>0</v>
      </c>
      <c r="F1595">
        <v>175</v>
      </c>
      <c r="G1595" t="str">
        <f>VLOOKUP(VLOOKUP(order_details[[#This Row],[ProductID]], products[], 4, FALSE), categories[], 2, FALSE)</f>
        <v>Dairy Products</v>
      </c>
      <c r="H1595">
        <f>VLOOKUP(order_details[[#This Row],[ProductID]], products[], 4, FALSE)</f>
        <v>4</v>
      </c>
      <c r="I1595" t="str">
        <f>VLOOKUP(order_details[[#This Row],[OrderID]], orders[[OrderID]:[ShipCountry]], 14, FALSE)</f>
        <v>USA</v>
      </c>
      <c r="J1595" s="1">
        <f>_xlfn.XLOOKUP(order_details[[#This Row],[OrderID]], orders[OrderID], orders[Month])</f>
        <v>2</v>
      </c>
    </row>
    <row r="1596" spans="1:10" x14ac:dyDescent="0.35">
      <c r="A1596">
        <v>10855</v>
      </c>
      <c r="B1596">
        <v>56</v>
      </c>
      <c r="C1596">
        <v>38</v>
      </c>
      <c r="D1596">
        <v>24</v>
      </c>
      <c r="E1596">
        <v>0</v>
      </c>
      <c r="F1596">
        <v>912</v>
      </c>
      <c r="G1596" t="str">
        <f>VLOOKUP(VLOOKUP(order_details[[#This Row],[ProductID]], products[], 4, FALSE), categories[], 2, FALSE)</f>
        <v>Grains/Cereals</v>
      </c>
      <c r="H1596">
        <f>VLOOKUP(order_details[[#This Row],[ProductID]], products[], 4, FALSE)</f>
        <v>5</v>
      </c>
      <c r="I1596" t="str">
        <f>VLOOKUP(order_details[[#This Row],[OrderID]], orders[[OrderID]:[ShipCountry]], 14, FALSE)</f>
        <v>USA</v>
      </c>
      <c r="J1596" s="1">
        <f>_xlfn.XLOOKUP(order_details[[#This Row],[OrderID]], orders[OrderID], orders[Month])</f>
        <v>2</v>
      </c>
    </row>
    <row r="1597" spans="1:10" x14ac:dyDescent="0.35">
      <c r="A1597">
        <v>10855</v>
      </c>
      <c r="B1597">
        <v>65</v>
      </c>
      <c r="C1597">
        <v>21.05</v>
      </c>
      <c r="D1597">
        <v>15</v>
      </c>
      <c r="E1597">
        <v>0.15</v>
      </c>
      <c r="F1597">
        <v>268.38749999999999</v>
      </c>
      <c r="G1597" t="str">
        <f>VLOOKUP(VLOOKUP(order_details[[#This Row],[ProductID]], products[], 4, FALSE), categories[], 2, FALSE)</f>
        <v>Condiments</v>
      </c>
      <c r="H1597">
        <f>VLOOKUP(order_details[[#This Row],[ProductID]], products[], 4, FALSE)</f>
        <v>2</v>
      </c>
      <c r="I1597" t="str">
        <f>VLOOKUP(order_details[[#This Row],[OrderID]], orders[[OrderID]:[ShipCountry]], 14, FALSE)</f>
        <v>USA</v>
      </c>
      <c r="J1597" s="1">
        <f>_xlfn.XLOOKUP(order_details[[#This Row],[OrderID]], orders[OrderID], orders[Month])</f>
        <v>2</v>
      </c>
    </row>
    <row r="1598" spans="1:10" x14ac:dyDescent="0.35">
      <c r="A1598">
        <v>10856</v>
      </c>
      <c r="B1598">
        <v>2</v>
      </c>
      <c r="C1598">
        <v>19</v>
      </c>
      <c r="D1598">
        <v>20</v>
      </c>
      <c r="E1598">
        <v>0</v>
      </c>
      <c r="F1598">
        <v>380</v>
      </c>
      <c r="G1598" t="str">
        <f>VLOOKUP(VLOOKUP(order_details[[#This Row],[ProductID]], products[], 4, FALSE), categories[], 2, FALSE)</f>
        <v>Beverages</v>
      </c>
      <c r="H1598">
        <f>VLOOKUP(order_details[[#This Row],[ProductID]], products[], 4, FALSE)</f>
        <v>1</v>
      </c>
      <c r="I1598" t="str">
        <f>VLOOKUP(order_details[[#This Row],[OrderID]], orders[[OrderID]:[ShipCountry]], 14, FALSE)</f>
        <v>Mexico</v>
      </c>
      <c r="J1598" s="1">
        <f>_xlfn.XLOOKUP(order_details[[#This Row],[OrderID]], orders[OrderID], orders[Month])</f>
        <v>2</v>
      </c>
    </row>
    <row r="1599" spans="1:10" x14ac:dyDescent="0.35">
      <c r="A1599">
        <v>10856</v>
      </c>
      <c r="B1599">
        <v>42</v>
      </c>
      <c r="C1599">
        <v>14</v>
      </c>
      <c r="D1599">
        <v>20</v>
      </c>
      <c r="E1599">
        <v>0</v>
      </c>
      <c r="F1599">
        <v>280</v>
      </c>
      <c r="G1599" t="str">
        <f>VLOOKUP(VLOOKUP(order_details[[#This Row],[ProductID]], products[], 4, FALSE), categories[], 2, FALSE)</f>
        <v>Grains/Cereals</v>
      </c>
      <c r="H1599">
        <f>VLOOKUP(order_details[[#This Row],[ProductID]], products[], 4, FALSE)</f>
        <v>5</v>
      </c>
      <c r="I1599" t="str">
        <f>VLOOKUP(order_details[[#This Row],[OrderID]], orders[[OrderID]:[ShipCountry]], 14, FALSE)</f>
        <v>Mexico</v>
      </c>
      <c r="J1599" s="1">
        <f>_xlfn.XLOOKUP(order_details[[#This Row],[OrderID]], orders[OrderID], orders[Month])</f>
        <v>2</v>
      </c>
    </row>
    <row r="1600" spans="1:10" x14ac:dyDescent="0.35">
      <c r="A1600">
        <v>10857</v>
      </c>
      <c r="B1600">
        <v>3</v>
      </c>
      <c r="C1600">
        <v>10</v>
      </c>
      <c r="D1600">
        <v>30</v>
      </c>
      <c r="E1600">
        <v>0</v>
      </c>
      <c r="F1600">
        <v>300</v>
      </c>
      <c r="G1600" t="str">
        <f>VLOOKUP(VLOOKUP(order_details[[#This Row],[ProductID]], products[], 4, FALSE), categories[], 2, FALSE)</f>
        <v>Condiments</v>
      </c>
      <c r="H1600">
        <f>VLOOKUP(order_details[[#This Row],[ProductID]], products[], 4, FALSE)</f>
        <v>2</v>
      </c>
      <c r="I1600" t="str">
        <f>VLOOKUP(order_details[[#This Row],[OrderID]], orders[[OrderID]:[ShipCountry]], 14, FALSE)</f>
        <v>Sweden</v>
      </c>
      <c r="J1600" s="1">
        <f>_xlfn.XLOOKUP(order_details[[#This Row],[OrderID]], orders[OrderID], orders[Month])</f>
        <v>2</v>
      </c>
    </row>
    <row r="1601" spans="1:10" x14ac:dyDescent="0.35">
      <c r="A1601">
        <v>10857</v>
      </c>
      <c r="B1601">
        <v>26</v>
      </c>
      <c r="C1601">
        <v>31.23</v>
      </c>
      <c r="D1601">
        <v>35</v>
      </c>
      <c r="E1601">
        <v>0.25</v>
      </c>
      <c r="F1601">
        <v>819.78749999999991</v>
      </c>
      <c r="G1601" t="str">
        <f>VLOOKUP(VLOOKUP(order_details[[#This Row],[ProductID]], products[], 4, FALSE), categories[], 2, FALSE)</f>
        <v>Confections</v>
      </c>
      <c r="H1601">
        <f>VLOOKUP(order_details[[#This Row],[ProductID]], products[], 4, FALSE)</f>
        <v>3</v>
      </c>
      <c r="I1601" t="str">
        <f>VLOOKUP(order_details[[#This Row],[OrderID]], orders[[OrderID]:[ShipCountry]], 14, FALSE)</f>
        <v>Sweden</v>
      </c>
      <c r="J1601" s="1">
        <f>_xlfn.XLOOKUP(order_details[[#This Row],[OrderID]], orders[OrderID], orders[Month])</f>
        <v>2</v>
      </c>
    </row>
    <row r="1602" spans="1:10" x14ac:dyDescent="0.35">
      <c r="A1602">
        <v>10857</v>
      </c>
      <c r="B1602">
        <v>29</v>
      </c>
      <c r="C1602">
        <v>123.79</v>
      </c>
      <c r="D1602">
        <v>10</v>
      </c>
      <c r="E1602">
        <v>0.25</v>
      </c>
      <c r="F1602">
        <v>928.42500000000007</v>
      </c>
      <c r="G1602" t="str">
        <f>VLOOKUP(VLOOKUP(order_details[[#This Row],[ProductID]], products[], 4, FALSE), categories[], 2, FALSE)</f>
        <v>Meat/Poultry</v>
      </c>
      <c r="H1602">
        <f>VLOOKUP(order_details[[#This Row],[ProductID]], products[], 4, FALSE)</f>
        <v>6</v>
      </c>
      <c r="I1602" t="str">
        <f>VLOOKUP(order_details[[#This Row],[OrderID]], orders[[OrderID]:[ShipCountry]], 14, FALSE)</f>
        <v>Sweden</v>
      </c>
      <c r="J1602" s="1">
        <f>_xlfn.XLOOKUP(order_details[[#This Row],[OrderID]], orders[OrderID], orders[Month])</f>
        <v>2</v>
      </c>
    </row>
    <row r="1603" spans="1:10" x14ac:dyDescent="0.35">
      <c r="A1603">
        <v>10858</v>
      </c>
      <c r="B1603">
        <v>7</v>
      </c>
      <c r="C1603">
        <v>30</v>
      </c>
      <c r="D1603">
        <v>5</v>
      </c>
      <c r="E1603">
        <v>0</v>
      </c>
      <c r="F1603">
        <v>150</v>
      </c>
      <c r="G1603" t="str">
        <f>VLOOKUP(VLOOKUP(order_details[[#This Row],[ProductID]], products[], 4, FALSE), categories[], 2, FALSE)</f>
        <v>Produce</v>
      </c>
      <c r="H1603">
        <f>VLOOKUP(order_details[[#This Row],[ProductID]], products[], 4, FALSE)</f>
        <v>7</v>
      </c>
      <c r="I1603" t="str">
        <f>VLOOKUP(order_details[[#This Row],[OrderID]], orders[[OrderID]:[ShipCountry]], 14, FALSE)</f>
        <v>France</v>
      </c>
      <c r="J1603" s="1">
        <f>_xlfn.XLOOKUP(order_details[[#This Row],[OrderID]], orders[OrderID], orders[Month])</f>
        <v>2</v>
      </c>
    </row>
    <row r="1604" spans="1:10" x14ac:dyDescent="0.35">
      <c r="A1604">
        <v>10858</v>
      </c>
      <c r="B1604">
        <v>27</v>
      </c>
      <c r="C1604">
        <v>43.9</v>
      </c>
      <c r="D1604">
        <v>10</v>
      </c>
      <c r="E1604">
        <v>0</v>
      </c>
      <c r="F1604">
        <v>439</v>
      </c>
      <c r="G1604" t="str">
        <f>VLOOKUP(VLOOKUP(order_details[[#This Row],[ProductID]], products[], 4, FALSE), categories[], 2, FALSE)</f>
        <v>Confections</v>
      </c>
      <c r="H1604">
        <f>VLOOKUP(order_details[[#This Row],[ProductID]], products[], 4, FALSE)</f>
        <v>3</v>
      </c>
      <c r="I1604" t="str">
        <f>VLOOKUP(order_details[[#This Row],[OrderID]], orders[[OrderID]:[ShipCountry]], 14, FALSE)</f>
        <v>France</v>
      </c>
      <c r="J1604" s="1">
        <f>_xlfn.XLOOKUP(order_details[[#This Row],[OrderID]], orders[OrderID], orders[Month])</f>
        <v>2</v>
      </c>
    </row>
    <row r="1605" spans="1:10" x14ac:dyDescent="0.35">
      <c r="A1605">
        <v>10858</v>
      </c>
      <c r="B1605">
        <v>70</v>
      </c>
      <c r="C1605">
        <v>15</v>
      </c>
      <c r="D1605">
        <v>4</v>
      </c>
      <c r="E1605">
        <v>0</v>
      </c>
      <c r="F1605">
        <v>60</v>
      </c>
      <c r="G1605" t="str">
        <f>VLOOKUP(VLOOKUP(order_details[[#This Row],[ProductID]], products[], 4, FALSE), categories[], 2, FALSE)</f>
        <v>Beverages</v>
      </c>
      <c r="H1605">
        <f>VLOOKUP(order_details[[#This Row],[ProductID]], products[], 4, FALSE)</f>
        <v>1</v>
      </c>
      <c r="I1605" t="str">
        <f>VLOOKUP(order_details[[#This Row],[OrderID]], orders[[OrderID]:[ShipCountry]], 14, FALSE)</f>
        <v>France</v>
      </c>
      <c r="J1605" s="1">
        <f>_xlfn.XLOOKUP(order_details[[#This Row],[OrderID]], orders[OrderID], orders[Month])</f>
        <v>2</v>
      </c>
    </row>
    <row r="1606" spans="1:10" x14ac:dyDescent="0.35">
      <c r="A1606">
        <v>10859</v>
      </c>
      <c r="B1606">
        <v>24</v>
      </c>
      <c r="C1606">
        <v>4.5</v>
      </c>
      <c r="D1606">
        <v>40</v>
      </c>
      <c r="E1606">
        <v>0.25</v>
      </c>
      <c r="F1606">
        <v>135</v>
      </c>
      <c r="G1606" t="str">
        <f>VLOOKUP(VLOOKUP(order_details[[#This Row],[ProductID]], products[], 4, FALSE), categories[], 2, FALSE)</f>
        <v>Beverages</v>
      </c>
      <c r="H1606">
        <f>VLOOKUP(order_details[[#This Row],[ProductID]], products[], 4, FALSE)</f>
        <v>1</v>
      </c>
      <c r="I1606" t="str">
        <f>VLOOKUP(order_details[[#This Row],[OrderID]], orders[[OrderID]:[ShipCountry]], 14, FALSE)</f>
        <v>Germany</v>
      </c>
      <c r="J1606" s="1">
        <f>_xlfn.XLOOKUP(order_details[[#This Row],[OrderID]], orders[OrderID], orders[Month])</f>
        <v>2</v>
      </c>
    </row>
    <row r="1607" spans="1:10" x14ac:dyDescent="0.35">
      <c r="A1607">
        <v>10859</v>
      </c>
      <c r="B1607">
        <v>54</v>
      </c>
      <c r="C1607">
        <v>7.45</v>
      </c>
      <c r="D1607">
        <v>35</v>
      </c>
      <c r="E1607">
        <v>0.25</v>
      </c>
      <c r="F1607">
        <v>195.5625</v>
      </c>
      <c r="G1607" t="str">
        <f>VLOOKUP(VLOOKUP(order_details[[#This Row],[ProductID]], products[], 4, FALSE), categories[], 2, FALSE)</f>
        <v>Meat/Poultry</v>
      </c>
      <c r="H1607">
        <f>VLOOKUP(order_details[[#This Row],[ProductID]], products[], 4, FALSE)</f>
        <v>6</v>
      </c>
      <c r="I1607" t="str">
        <f>VLOOKUP(order_details[[#This Row],[OrderID]], orders[[OrderID]:[ShipCountry]], 14, FALSE)</f>
        <v>Germany</v>
      </c>
      <c r="J1607" s="1">
        <f>_xlfn.XLOOKUP(order_details[[#This Row],[OrderID]], orders[OrderID], orders[Month])</f>
        <v>2</v>
      </c>
    </row>
    <row r="1608" spans="1:10" x14ac:dyDescent="0.35">
      <c r="A1608">
        <v>10859</v>
      </c>
      <c r="B1608">
        <v>64</v>
      </c>
      <c r="C1608">
        <v>33.25</v>
      </c>
      <c r="D1608">
        <v>30</v>
      </c>
      <c r="E1608">
        <v>0.25</v>
      </c>
      <c r="F1608">
        <v>748.125</v>
      </c>
      <c r="G1608" t="str">
        <f>VLOOKUP(VLOOKUP(order_details[[#This Row],[ProductID]], products[], 4, FALSE), categories[], 2, FALSE)</f>
        <v>Grains/Cereals</v>
      </c>
      <c r="H1608">
        <f>VLOOKUP(order_details[[#This Row],[ProductID]], products[], 4, FALSE)</f>
        <v>5</v>
      </c>
      <c r="I1608" t="str">
        <f>VLOOKUP(order_details[[#This Row],[OrderID]], orders[[OrderID]:[ShipCountry]], 14, FALSE)</f>
        <v>Germany</v>
      </c>
      <c r="J1608" s="1">
        <f>_xlfn.XLOOKUP(order_details[[#This Row],[OrderID]], orders[OrderID], orders[Month])</f>
        <v>2</v>
      </c>
    </row>
    <row r="1609" spans="1:10" x14ac:dyDescent="0.35">
      <c r="A1609">
        <v>10860</v>
      </c>
      <c r="B1609">
        <v>51</v>
      </c>
      <c r="C1609">
        <v>53</v>
      </c>
      <c r="D1609">
        <v>3</v>
      </c>
      <c r="E1609">
        <v>0</v>
      </c>
      <c r="F1609">
        <v>159</v>
      </c>
      <c r="G1609" t="str">
        <f>VLOOKUP(VLOOKUP(order_details[[#This Row],[ProductID]], products[], 4, FALSE), categories[], 2, FALSE)</f>
        <v>Produce</v>
      </c>
      <c r="H1609">
        <f>VLOOKUP(order_details[[#This Row],[ProductID]], products[], 4, FALSE)</f>
        <v>7</v>
      </c>
      <c r="I1609" t="str">
        <f>VLOOKUP(order_details[[#This Row],[OrderID]], orders[[OrderID]:[ShipCountry]], 14, FALSE)</f>
        <v>France</v>
      </c>
      <c r="J1609" s="1">
        <f>_xlfn.XLOOKUP(order_details[[#This Row],[OrderID]], orders[OrderID], orders[Month])</f>
        <v>2</v>
      </c>
    </row>
    <row r="1610" spans="1:10" x14ac:dyDescent="0.35">
      <c r="A1610">
        <v>10860</v>
      </c>
      <c r="B1610">
        <v>76</v>
      </c>
      <c r="C1610">
        <v>18</v>
      </c>
      <c r="D1610">
        <v>20</v>
      </c>
      <c r="E1610">
        <v>0</v>
      </c>
      <c r="F1610">
        <v>360</v>
      </c>
      <c r="G1610" t="str">
        <f>VLOOKUP(VLOOKUP(order_details[[#This Row],[ProductID]], products[], 4, FALSE), categories[], 2, FALSE)</f>
        <v>Beverages</v>
      </c>
      <c r="H1610">
        <f>VLOOKUP(order_details[[#This Row],[ProductID]], products[], 4, FALSE)</f>
        <v>1</v>
      </c>
      <c r="I1610" t="str">
        <f>VLOOKUP(order_details[[#This Row],[OrderID]], orders[[OrderID]:[ShipCountry]], 14, FALSE)</f>
        <v>France</v>
      </c>
      <c r="J1610" s="1">
        <f>_xlfn.XLOOKUP(order_details[[#This Row],[OrderID]], orders[OrderID], orders[Month])</f>
        <v>2</v>
      </c>
    </row>
    <row r="1611" spans="1:10" x14ac:dyDescent="0.35">
      <c r="A1611">
        <v>10861</v>
      </c>
      <c r="B1611">
        <v>17</v>
      </c>
      <c r="C1611">
        <v>39</v>
      </c>
      <c r="D1611">
        <v>42</v>
      </c>
      <c r="E1611">
        <v>0</v>
      </c>
      <c r="F1611">
        <v>1638</v>
      </c>
      <c r="G1611" t="str">
        <f>VLOOKUP(VLOOKUP(order_details[[#This Row],[ProductID]], products[], 4, FALSE), categories[], 2, FALSE)</f>
        <v>Meat/Poultry</v>
      </c>
      <c r="H1611">
        <f>VLOOKUP(order_details[[#This Row],[ProductID]], products[], 4, FALSE)</f>
        <v>6</v>
      </c>
      <c r="I1611" t="str">
        <f>VLOOKUP(order_details[[#This Row],[OrderID]], orders[[OrderID]:[ShipCountry]], 14, FALSE)</f>
        <v>USA</v>
      </c>
      <c r="J1611" s="1">
        <f>_xlfn.XLOOKUP(order_details[[#This Row],[OrderID]], orders[OrderID], orders[Month])</f>
        <v>3</v>
      </c>
    </row>
    <row r="1612" spans="1:10" x14ac:dyDescent="0.35">
      <c r="A1612">
        <v>10861</v>
      </c>
      <c r="B1612">
        <v>18</v>
      </c>
      <c r="C1612">
        <v>62.5</v>
      </c>
      <c r="D1612">
        <v>20</v>
      </c>
      <c r="E1612">
        <v>0</v>
      </c>
      <c r="F1612">
        <v>1250</v>
      </c>
      <c r="G1612" t="str">
        <f>VLOOKUP(VLOOKUP(order_details[[#This Row],[ProductID]], products[], 4, FALSE), categories[], 2, FALSE)</f>
        <v>Seafood</v>
      </c>
      <c r="H1612">
        <f>VLOOKUP(order_details[[#This Row],[ProductID]], products[], 4, FALSE)</f>
        <v>8</v>
      </c>
      <c r="I1612" t="str">
        <f>VLOOKUP(order_details[[#This Row],[OrderID]], orders[[OrderID]:[ShipCountry]], 14, FALSE)</f>
        <v>USA</v>
      </c>
      <c r="J1612" s="1">
        <f>_xlfn.XLOOKUP(order_details[[#This Row],[OrderID]], orders[OrderID], orders[Month])</f>
        <v>3</v>
      </c>
    </row>
    <row r="1613" spans="1:10" x14ac:dyDescent="0.35">
      <c r="A1613">
        <v>10861</v>
      </c>
      <c r="B1613">
        <v>21</v>
      </c>
      <c r="C1613">
        <v>10</v>
      </c>
      <c r="D1613">
        <v>40</v>
      </c>
      <c r="E1613">
        <v>0</v>
      </c>
      <c r="F1613">
        <v>400</v>
      </c>
      <c r="G1613" t="str">
        <f>VLOOKUP(VLOOKUP(order_details[[#This Row],[ProductID]], products[], 4, FALSE), categories[], 2, FALSE)</f>
        <v>Confections</v>
      </c>
      <c r="H1613">
        <f>VLOOKUP(order_details[[#This Row],[ProductID]], products[], 4, FALSE)</f>
        <v>3</v>
      </c>
      <c r="I1613" t="str">
        <f>VLOOKUP(order_details[[#This Row],[OrderID]], orders[[OrderID]:[ShipCountry]], 14, FALSE)</f>
        <v>USA</v>
      </c>
      <c r="J1613" s="1">
        <f>_xlfn.XLOOKUP(order_details[[#This Row],[OrderID]], orders[OrderID], orders[Month])</f>
        <v>3</v>
      </c>
    </row>
    <row r="1614" spans="1:10" x14ac:dyDescent="0.35">
      <c r="A1614">
        <v>10861</v>
      </c>
      <c r="B1614">
        <v>33</v>
      </c>
      <c r="C1614">
        <v>2.5</v>
      </c>
      <c r="D1614">
        <v>35</v>
      </c>
      <c r="E1614">
        <v>0</v>
      </c>
      <c r="F1614">
        <v>87.5</v>
      </c>
      <c r="G1614" t="str">
        <f>VLOOKUP(VLOOKUP(order_details[[#This Row],[ProductID]], products[], 4, FALSE), categories[], 2, FALSE)</f>
        <v>Dairy Products</v>
      </c>
      <c r="H1614">
        <f>VLOOKUP(order_details[[#This Row],[ProductID]], products[], 4, FALSE)</f>
        <v>4</v>
      </c>
      <c r="I1614" t="str">
        <f>VLOOKUP(order_details[[#This Row],[OrderID]], orders[[OrderID]:[ShipCountry]], 14, FALSE)</f>
        <v>USA</v>
      </c>
      <c r="J1614" s="1">
        <f>_xlfn.XLOOKUP(order_details[[#This Row],[OrderID]], orders[OrderID], orders[Month])</f>
        <v>3</v>
      </c>
    </row>
    <row r="1615" spans="1:10" x14ac:dyDescent="0.35">
      <c r="A1615">
        <v>10861</v>
      </c>
      <c r="B1615">
        <v>62</v>
      </c>
      <c r="C1615">
        <v>49.3</v>
      </c>
      <c r="D1615">
        <v>3</v>
      </c>
      <c r="E1615">
        <v>0</v>
      </c>
      <c r="F1615">
        <v>147.89999999999998</v>
      </c>
      <c r="G1615" t="str">
        <f>VLOOKUP(VLOOKUP(order_details[[#This Row],[ProductID]], products[], 4, FALSE), categories[], 2, FALSE)</f>
        <v>Confections</v>
      </c>
      <c r="H1615">
        <f>VLOOKUP(order_details[[#This Row],[ProductID]], products[], 4, FALSE)</f>
        <v>3</v>
      </c>
      <c r="I1615" t="str">
        <f>VLOOKUP(order_details[[#This Row],[OrderID]], orders[[OrderID]:[ShipCountry]], 14, FALSE)</f>
        <v>USA</v>
      </c>
      <c r="J1615" s="1">
        <f>_xlfn.XLOOKUP(order_details[[#This Row],[OrderID]], orders[OrderID], orders[Month])</f>
        <v>3</v>
      </c>
    </row>
    <row r="1616" spans="1:10" x14ac:dyDescent="0.35">
      <c r="A1616">
        <v>10862</v>
      </c>
      <c r="B1616">
        <v>11</v>
      </c>
      <c r="C1616">
        <v>21</v>
      </c>
      <c r="D1616">
        <v>25</v>
      </c>
      <c r="E1616">
        <v>0</v>
      </c>
      <c r="F1616">
        <v>525</v>
      </c>
      <c r="G1616" t="str">
        <f>VLOOKUP(VLOOKUP(order_details[[#This Row],[ProductID]], products[], 4, FALSE), categories[], 2, FALSE)</f>
        <v>Dairy Products</v>
      </c>
      <c r="H1616">
        <f>VLOOKUP(order_details[[#This Row],[ProductID]], products[], 4, FALSE)</f>
        <v>4</v>
      </c>
      <c r="I1616" t="str">
        <f>VLOOKUP(order_details[[#This Row],[OrderID]], orders[[OrderID]:[ShipCountry]], 14, FALSE)</f>
        <v>Germany</v>
      </c>
      <c r="J1616" s="1">
        <f>_xlfn.XLOOKUP(order_details[[#This Row],[OrderID]], orders[OrderID], orders[Month])</f>
        <v>3</v>
      </c>
    </row>
    <row r="1617" spans="1:10" x14ac:dyDescent="0.35">
      <c r="A1617">
        <v>10862</v>
      </c>
      <c r="B1617">
        <v>52</v>
      </c>
      <c r="C1617">
        <v>7</v>
      </c>
      <c r="D1617">
        <v>8</v>
      </c>
      <c r="E1617">
        <v>0</v>
      </c>
      <c r="F1617">
        <v>56</v>
      </c>
      <c r="G1617" t="str">
        <f>VLOOKUP(VLOOKUP(order_details[[#This Row],[ProductID]], products[], 4, FALSE), categories[], 2, FALSE)</f>
        <v>Grains/Cereals</v>
      </c>
      <c r="H1617">
        <f>VLOOKUP(order_details[[#This Row],[ProductID]], products[], 4, FALSE)</f>
        <v>5</v>
      </c>
      <c r="I1617" t="str">
        <f>VLOOKUP(order_details[[#This Row],[OrderID]], orders[[OrderID]:[ShipCountry]], 14, FALSE)</f>
        <v>Germany</v>
      </c>
      <c r="J1617" s="1">
        <f>_xlfn.XLOOKUP(order_details[[#This Row],[OrderID]], orders[OrderID], orders[Month])</f>
        <v>3</v>
      </c>
    </row>
    <row r="1618" spans="1:10" x14ac:dyDescent="0.35">
      <c r="A1618">
        <v>10863</v>
      </c>
      <c r="B1618">
        <v>1</v>
      </c>
      <c r="C1618">
        <v>18</v>
      </c>
      <c r="D1618">
        <v>20</v>
      </c>
      <c r="E1618">
        <v>0.15</v>
      </c>
      <c r="F1618">
        <v>306</v>
      </c>
      <c r="G1618" t="str">
        <f>VLOOKUP(VLOOKUP(order_details[[#This Row],[ProductID]], products[], 4, FALSE), categories[], 2, FALSE)</f>
        <v>Beverages</v>
      </c>
      <c r="H1618">
        <f>VLOOKUP(order_details[[#This Row],[ProductID]], products[], 4, FALSE)</f>
        <v>1</v>
      </c>
      <c r="I1618" t="str">
        <f>VLOOKUP(order_details[[#This Row],[OrderID]], orders[[OrderID]:[ShipCountry]], 14, FALSE)</f>
        <v>Venezuela</v>
      </c>
      <c r="J1618" s="1">
        <f>_xlfn.XLOOKUP(order_details[[#This Row],[OrderID]], orders[OrderID], orders[Month])</f>
        <v>3</v>
      </c>
    </row>
    <row r="1619" spans="1:10" x14ac:dyDescent="0.35">
      <c r="A1619">
        <v>10863</v>
      </c>
      <c r="B1619">
        <v>58</v>
      </c>
      <c r="C1619">
        <v>13.25</v>
      </c>
      <c r="D1619">
        <v>12</v>
      </c>
      <c r="E1619">
        <v>0.15</v>
      </c>
      <c r="F1619">
        <v>135.15</v>
      </c>
      <c r="G1619" t="str">
        <f>VLOOKUP(VLOOKUP(order_details[[#This Row],[ProductID]], products[], 4, FALSE), categories[], 2, FALSE)</f>
        <v>Seafood</v>
      </c>
      <c r="H1619">
        <f>VLOOKUP(order_details[[#This Row],[ProductID]], products[], 4, FALSE)</f>
        <v>8</v>
      </c>
      <c r="I1619" t="str">
        <f>VLOOKUP(order_details[[#This Row],[OrderID]], orders[[OrderID]:[ShipCountry]], 14, FALSE)</f>
        <v>Venezuela</v>
      </c>
      <c r="J1619" s="1">
        <f>_xlfn.XLOOKUP(order_details[[#This Row],[OrderID]], orders[OrderID], orders[Month])</f>
        <v>3</v>
      </c>
    </row>
    <row r="1620" spans="1:10" x14ac:dyDescent="0.35">
      <c r="A1620">
        <v>10864</v>
      </c>
      <c r="B1620">
        <v>35</v>
      </c>
      <c r="C1620">
        <v>18</v>
      </c>
      <c r="D1620">
        <v>4</v>
      </c>
      <c r="E1620">
        <v>0</v>
      </c>
      <c r="F1620">
        <v>72</v>
      </c>
      <c r="G1620" t="str">
        <f>VLOOKUP(VLOOKUP(order_details[[#This Row],[ProductID]], products[], 4, FALSE), categories[], 2, FALSE)</f>
        <v>Beverages</v>
      </c>
      <c r="H1620">
        <f>VLOOKUP(order_details[[#This Row],[ProductID]], products[], 4, FALSE)</f>
        <v>1</v>
      </c>
      <c r="I1620" t="str">
        <f>VLOOKUP(order_details[[#This Row],[OrderID]], orders[[OrderID]:[ShipCountry]], 14, FALSE)</f>
        <v>UK</v>
      </c>
      <c r="J1620" s="1">
        <f>_xlfn.XLOOKUP(order_details[[#This Row],[OrderID]], orders[OrderID], orders[Month])</f>
        <v>3</v>
      </c>
    </row>
    <row r="1621" spans="1:10" x14ac:dyDescent="0.35">
      <c r="A1621">
        <v>10864</v>
      </c>
      <c r="B1621">
        <v>67</v>
      </c>
      <c r="C1621">
        <v>14</v>
      </c>
      <c r="D1621">
        <v>15</v>
      </c>
      <c r="E1621">
        <v>0</v>
      </c>
      <c r="F1621">
        <v>210</v>
      </c>
      <c r="G1621" t="str">
        <f>VLOOKUP(VLOOKUP(order_details[[#This Row],[ProductID]], products[], 4, FALSE), categories[], 2, FALSE)</f>
        <v>Beverages</v>
      </c>
      <c r="H1621">
        <f>VLOOKUP(order_details[[#This Row],[ProductID]], products[], 4, FALSE)</f>
        <v>1</v>
      </c>
      <c r="I1621" t="str">
        <f>VLOOKUP(order_details[[#This Row],[OrderID]], orders[[OrderID]:[ShipCountry]], 14, FALSE)</f>
        <v>UK</v>
      </c>
      <c r="J1621" s="1">
        <f>_xlfn.XLOOKUP(order_details[[#This Row],[OrderID]], orders[OrderID], orders[Month])</f>
        <v>3</v>
      </c>
    </row>
    <row r="1622" spans="1:10" x14ac:dyDescent="0.35">
      <c r="A1622">
        <v>10865</v>
      </c>
      <c r="B1622">
        <v>38</v>
      </c>
      <c r="C1622">
        <v>263.5</v>
      </c>
      <c r="D1622">
        <v>60</v>
      </c>
      <c r="E1622">
        <v>0.05</v>
      </c>
      <c r="F1622">
        <v>15019.5</v>
      </c>
      <c r="G1622" t="str">
        <f>VLOOKUP(VLOOKUP(order_details[[#This Row],[ProductID]], products[], 4, FALSE), categories[], 2, FALSE)</f>
        <v>Beverages</v>
      </c>
      <c r="H1622">
        <f>VLOOKUP(order_details[[#This Row],[ProductID]], products[], 4, FALSE)</f>
        <v>1</v>
      </c>
      <c r="I1622" t="str">
        <f>VLOOKUP(order_details[[#This Row],[OrderID]], orders[[OrderID]:[ShipCountry]], 14, FALSE)</f>
        <v>Germany</v>
      </c>
      <c r="J1622" s="1">
        <f>_xlfn.XLOOKUP(order_details[[#This Row],[OrderID]], orders[OrderID], orders[Month])</f>
        <v>3</v>
      </c>
    </row>
    <row r="1623" spans="1:10" x14ac:dyDescent="0.35">
      <c r="A1623">
        <v>10865</v>
      </c>
      <c r="B1623">
        <v>39</v>
      </c>
      <c r="C1623">
        <v>18</v>
      </c>
      <c r="D1623">
        <v>80</v>
      </c>
      <c r="E1623">
        <v>0.05</v>
      </c>
      <c r="F1623">
        <v>1368</v>
      </c>
      <c r="G1623" t="str">
        <f>VLOOKUP(VLOOKUP(order_details[[#This Row],[ProductID]], products[], 4, FALSE), categories[], 2, FALSE)</f>
        <v>Beverages</v>
      </c>
      <c r="H1623">
        <f>VLOOKUP(order_details[[#This Row],[ProductID]], products[], 4, FALSE)</f>
        <v>1</v>
      </c>
      <c r="I1623" t="str">
        <f>VLOOKUP(order_details[[#This Row],[OrderID]], orders[[OrderID]:[ShipCountry]], 14, FALSE)</f>
        <v>Germany</v>
      </c>
      <c r="J1623" s="1">
        <f>_xlfn.XLOOKUP(order_details[[#This Row],[OrderID]], orders[OrderID], orders[Month])</f>
        <v>3</v>
      </c>
    </row>
    <row r="1624" spans="1:10" x14ac:dyDescent="0.35">
      <c r="A1624">
        <v>10866</v>
      </c>
      <c r="B1624">
        <v>2</v>
      </c>
      <c r="C1624">
        <v>19</v>
      </c>
      <c r="D1624">
        <v>21</v>
      </c>
      <c r="E1624">
        <v>0.25</v>
      </c>
      <c r="F1624">
        <v>299.25</v>
      </c>
      <c r="G1624" t="str">
        <f>VLOOKUP(VLOOKUP(order_details[[#This Row],[ProductID]], products[], 4, FALSE), categories[], 2, FALSE)</f>
        <v>Beverages</v>
      </c>
      <c r="H1624">
        <f>VLOOKUP(order_details[[#This Row],[ProductID]], products[], 4, FALSE)</f>
        <v>1</v>
      </c>
      <c r="I1624" t="str">
        <f>VLOOKUP(order_details[[#This Row],[OrderID]], orders[[OrderID]:[ShipCountry]], 14, FALSE)</f>
        <v>Sweden</v>
      </c>
      <c r="J1624" s="1">
        <f>_xlfn.XLOOKUP(order_details[[#This Row],[OrderID]], orders[OrderID], orders[Month])</f>
        <v>3</v>
      </c>
    </row>
    <row r="1625" spans="1:10" x14ac:dyDescent="0.35">
      <c r="A1625">
        <v>10866</v>
      </c>
      <c r="B1625">
        <v>24</v>
      </c>
      <c r="C1625">
        <v>4.5</v>
      </c>
      <c r="D1625">
        <v>6</v>
      </c>
      <c r="E1625">
        <v>0.25</v>
      </c>
      <c r="F1625">
        <v>20.25</v>
      </c>
      <c r="G1625" t="str">
        <f>VLOOKUP(VLOOKUP(order_details[[#This Row],[ProductID]], products[], 4, FALSE), categories[], 2, FALSE)</f>
        <v>Beverages</v>
      </c>
      <c r="H1625">
        <f>VLOOKUP(order_details[[#This Row],[ProductID]], products[], 4, FALSE)</f>
        <v>1</v>
      </c>
      <c r="I1625" t="str">
        <f>VLOOKUP(order_details[[#This Row],[OrderID]], orders[[OrderID]:[ShipCountry]], 14, FALSE)</f>
        <v>Sweden</v>
      </c>
      <c r="J1625" s="1">
        <f>_xlfn.XLOOKUP(order_details[[#This Row],[OrderID]], orders[OrderID], orders[Month])</f>
        <v>3</v>
      </c>
    </row>
    <row r="1626" spans="1:10" x14ac:dyDescent="0.35">
      <c r="A1626">
        <v>10866</v>
      </c>
      <c r="B1626">
        <v>30</v>
      </c>
      <c r="C1626">
        <v>25.89</v>
      </c>
      <c r="D1626">
        <v>40</v>
      </c>
      <c r="E1626">
        <v>0.25</v>
      </c>
      <c r="F1626">
        <v>776.69999999999993</v>
      </c>
      <c r="G1626" t="str">
        <f>VLOOKUP(VLOOKUP(order_details[[#This Row],[ProductID]], products[], 4, FALSE), categories[], 2, FALSE)</f>
        <v>Seafood</v>
      </c>
      <c r="H1626">
        <f>VLOOKUP(order_details[[#This Row],[ProductID]], products[], 4, FALSE)</f>
        <v>8</v>
      </c>
      <c r="I1626" t="str">
        <f>VLOOKUP(order_details[[#This Row],[OrderID]], orders[[OrderID]:[ShipCountry]], 14, FALSE)</f>
        <v>Sweden</v>
      </c>
      <c r="J1626" s="1">
        <f>_xlfn.XLOOKUP(order_details[[#This Row],[OrderID]], orders[OrderID], orders[Month])</f>
        <v>3</v>
      </c>
    </row>
    <row r="1627" spans="1:10" x14ac:dyDescent="0.35">
      <c r="A1627">
        <v>10867</v>
      </c>
      <c r="B1627">
        <v>53</v>
      </c>
      <c r="C1627">
        <v>32.799999999999997</v>
      </c>
      <c r="D1627">
        <v>3</v>
      </c>
      <c r="E1627">
        <v>0</v>
      </c>
      <c r="F1627">
        <v>98.399999999999991</v>
      </c>
      <c r="G1627" t="str">
        <f>VLOOKUP(VLOOKUP(order_details[[#This Row],[ProductID]], products[], 4, FALSE), categories[], 2, FALSE)</f>
        <v>Meat/Poultry</v>
      </c>
      <c r="H1627">
        <f>VLOOKUP(order_details[[#This Row],[ProductID]], products[], 4, FALSE)</f>
        <v>6</v>
      </c>
      <c r="I1627" t="str">
        <f>VLOOKUP(order_details[[#This Row],[OrderID]], orders[[OrderID]:[ShipCountry]], 14, FALSE)</f>
        <v>USA</v>
      </c>
      <c r="J1627" s="1">
        <f>_xlfn.XLOOKUP(order_details[[#This Row],[OrderID]], orders[OrderID], orders[Month])</f>
        <v>3</v>
      </c>
    </row>
    <row r="1628" spans="1:10" x14ac:dyDescent="0.35">
      <c r="A1628">
        <v>10868</v>
      </c>
      <c r="B1628">
        <v>26</v>
      </c>
      <c r="C1628">
        <v>31.23</v>
      </c>
      <c r="D1628">
        <v>20</v>
      </c>
      <c r="E1628">
        <v>0</v>
      </c>
      <c r="F1628">
        <v>624.6</v>
      </c>
      <c r="G1628" t="str">
        <f>VLOOKUP(VLOOKUP(order_details[[#This Row],[ProductID]], products[], 4, FALSE), categories[], 2, FALSE)</f>
        <v>Confections</v>
      </c>
      <c r="H1628">
        <f>VLOOKUP(order_details[[#This Row],[ProductID]], products[], 4, FALSE)</f>
        <v>3</v>
      </c>
      <c r="I1628" t="str">
        <f>VLOOKUP(order_details[[#This Row],[OrderID]], orders[[OrderID]:[ShipCountry]], 14, FALSE)</f>
        <v>Brazil</v>
      </c>
      <c r="J1628" s="1">
        <f>_xlfn.XLOOKUP(order_details[[#This Row],[OrderID]], orders[OrderID], orders[Month])</f>
        <v>3</v>
      </c>
    </row>
    <row r="1629" spans="1:10" x14ac:dyDescent="0.35">
      <c r="A1629">
        <v>10868</v>
      </c>
      <c r="B1629">
        <v>35</v>
      </c>
      <c r="C1629">
        <v>18</v>
      </c>
      <c r="D1629">
        <v>30</v>
      </c>
      <c r="E1629">
        <v>0</v>
      </c>
      <c r="F1629">
        <v>540</v>
      </c>
      <c r="G1629" t="str">
        <f>VLOOKUP(VLOOKUP(order_details[[#This Row],[ProductID]], products[], 4, FALSE), categories[], 2, FALSE)</f>
        <v>Beverages</v>
      </c>
      <c r="H1629">
        <f>VLOOKUP(order_details[[#This Row],[ProductID]], products[], 4, FALSE)</f>
        <v>1</v>
      </c>
      <c r="I1629" t="str">
        <f>VLOOKUP(order_details[[#This Row],[OrderID]], orders[[OrderID]:[ShipCountry]], 14, FALSE)</f>
        <v>Brazil</v>
      </c>
      <c r="J1629" s="1">
        <f>_xlfn.XLOOKUP(order_details[[#This Row],[OrderID]], orders[OrderID], orders[Month])</f>
        <v>3</v>
      </c>
    </row>
    <row r="1630" spans="1:10" x14ac:dyDescent="0.35">
      <c r="A1630">
        <v>10868</v>
      </c>
      <c r="B1630">
        <v>49</v>
      </c>
      <c r="C1630">
        <v>20</v>
      </c>
      <c r="D1630">
        <v>42</v>
      </c>
      <c r="E1630">
        <v>0.1</v>
      </c>
      <c r="F1630">
        <v>756</v>
      </c>
      <c r="G1630" t="str">
        <f>VLOOKUP(VLOOKUP(order_details[[#This Row],[ProductID]], products[], 4, FALSE), categories[], 2, FALSE)</f>
        <v>Confections</v>
      </c>
      <c r="H1630">
        <f>VLOOKUP(order_details[[#This Row],[ProductID]], products[], 4, FALSE)</f>
        <v>3</v>
      </c>
      <c r="I1630" t="str">
        <f>VLOOKUP(order_details[[#This Row],[OrderID]], orders[[OrderID]:[ShipCountry]], 14, FALSE)</f>
        <v>Brazil</v>
      </c>
      <c r="J1630" s="1">
        <f>_xlfn.XLOOKUP(order_details[[#This Row],[OrderID]], orders[OrderID], orders[Month])</f>
        <v>3</v>
      </c>
    </row>
    <row r="1631" spans="1:10" x14ac:dyDescent="0.35">
      <c r="A1631">
        <v>10869</v>
      </c>
      <c r="B1631">
        <v>1</v>
      </c>
      <c r="C1631">
        <v>18</v>
      </c>
      <c r="D1631">
        <v>40</v>
      </c>
      <c r="E1631">
        <v>0</v>
      </c>
      <c r="F1631">
        <v>720</v>
      </c>
      <c r="G1631" t="str">
        <f>VLOOKUP(VLOOKUP(order_details[[#This Row],[ProductID]], products[], 4, FALSE), categories[], 2, FALSE)</f>
        <v>Beverages</v>
      </c>
      <c r="H1631">
        <f>VLOOKUP(order_details[[#This Row],[ProductID]], products[], 4, FALSE)</f>
        <v>1</v>
      </c>
      <c r="I1631" t="str">
        <f>VLOOKUP(order_details[[#This Row],[OrderID]], orders[[OrderID]:[ShipCountry]], 14, FALSE)</f>
        <v>UK</v>
      </c>
      <c r="J1631" s="1">
        <f>_xlfn.XLOOKUP(order_details[[#This Row],[OrderID]], orders[OrderID], orders[Month])</f>
        <v>3</v>
      </c>
    </row>
    <row r="1632" spans="1:10" x14ac:dyDescent="0.35">
      <c r="A1632">
        <v>10869</v>
      </c>
      <c r="B1632">
        <v>11</v>
      </c>
      <c r="C1632">
        <v>21</v>
      </c>
      <c r="D1632">
        <v>10</v>
      </c>
      <c r="E1632">
        <v>0</v>
      </c>
      <c r="F1632">
        <v>210</v>
      </c>
      <c r="G1632" t="str">
        <f>VLOOKUP(VLOOKUP(order_details[[#This Row],[ProductID]], products[], 4, FALSE), categories[], 2, FALSE)</f>
        <v>Dairy Products</v>
      </c>
      <c r="H1632">
        <f>VLOOKUP(order_details[[#This Row],[ProductID]], products[], 4, FALSE)</f>
        <v>4</v>
      </c>
      <c r="I1632" t="str">
        <f>VLOOKUP(order_details[[#This Row],[OrderID]], orders[[OrderID]:[ShipCountry]], 14, FALSE)</f>
        <v>UK</v>
      </c>
      <c r="J1632" s="1">
        <f>_xlfn.XLOOKUP(order_details[[#This Row],[OrderID]], orders[OrderID], orders[Month])</f>
        <v>3</v>
      </c>
    </row>
    <row r="1633" spans="1:10" x14ac:dyDescent="0.35">
      <c r="A1633">
        <v>10869</v>
      </c>
      <c r="B1633">
        <v>23</v>
      </c>
      <c r="C1633">
        <v>9</v>
      </c>
      <c r="D1633">
        <v>50</v>
      </c>
      <c r="E1633">
        <v>0</v>
      </c>
      <c r="F1633">
        <v>450</v>
      </c>
      <c r="G1633" t="str">
        <f>VLOOKUP(VLOOKUP(order_details[[#This Row],[ProductID]], products[], 4, FALSE), categories[], 2, FALSE)</f>
        <v>Grains/Cereals</v>
      </c>
      <c r="H1633">
        <f>VLOOKUP(order_details[[#This Row],[ProductID]], products[], 4, FALSE)</f>
        <v>5</v>
      </c>
      <c r="I1633" t="str">
        <f>VLOOKUP(order_details[[#This Row],[OrderID]], orders[[OrderID]:[ShipCountry]], 14, FALSE)</f>
        <v>UK</v>
      </c>
      <c r="J1633" s="1">
        <f>_xlfn.XLOOKUP(order_details[[#This Row],[OrderID]], orders[OrderID], orders[Month])</f>
        <v>3</v>
      </c>
    </row>
    <row r="1634" spans="1:10" x14ac:dyDescent="0.35">
      <c r="A1634">
        <v>10869</v>
      </c>
      <c r="B1634">
        <v>68</v>
      </c>
      <c r="C1634">
        <v>12.5</v>
      </c>
      <c r="D1634">
        <v>20</v>
      </c>
      <c r="E1634">
        <v>0</v>
      </c>
      <c r="F1634">
        <v>250</v>
      </c>
      <c r="G1634" t="str">
        <f>VLOOKUP(VLOOKUP(order_details[[#This Row],[ProductID]], products[], 4, FALSE), categories[], 2, FALSE)</f>
        <v>Confections</v>
      </c>
      <c r="H1634">
        <f>VLOOKUP(order_details[[#This Row],[ProductID]], products[], 4, FALSE)</f>
        <v>3</v>
      </c>
      <c r="I1634" t="str">
        <f>VLOOKUP(order_details[[#This Row],[OrderID]], orders[[OrderID]:[ShipCountry]], 14, FALSE)</f>
        <v>UK</v>
      </c>
      <c r="J1634" s="1">
        <f>_xlfn.XLOOKUP(order_details[[#This Row],[OrderID]], orders[OrderID], orders[Month])</f>
        <v>3</v>
      </c>
    </row>
    <row r="1635" spans="1:10" x14ac:dyDescent="0.35">
      <c r="A1635">
        <v>10870</v>
      </c>
      <c r="B1635">
        <v>35</v>
      </c>
      <c r="C1635">
        <v>18</v>
      </c>
      <c r="D1635">
        <v>3</v>
      </c>
      <c r="E1635">
        <v>0</v>
      </c>
      <c r="F1635">
        <v>54</v>
      </c>
      <c r="G1635" t="str">
        <f>VLOOKUP(VLOOKUP(order_details[[#This Row],[ProductID]], products[], 4, FALSE), categories[], 2, FALSE)</f>
        <v>Beverages</v>
      </c>
      <c r="H1635">
        <f>VLOOKUP(order_details[[#This Row],[ProductID]], products[], 4, FALSE)</f>
        <v>1</v>
      </c>
      <c r="I1635" t="str">
        <f>VLOOKUP(order_details[[#This Row],[OrderID]], orders[[OrderID]:[ShipCountry]], 14, FALSE)</f>
        <v>Poland</v>
      </c>
      <c r="J1635" s="1">
        <f>_xlfn.XLOOKUP(order_details[[#This Row],[OrderID]], orders[OrderID], orders[Month])</f>
        <v>3</v>
      </c>
    </row>
    <row r="1636" spans="1:10" x14ac:dyDescent="0.35">
      <c r="A1636">
        <v>10870</v>
      </c>
      <c r="B1636">
        <v>51</v>
      </c>
      <c r="C1636">
        <v>53</v>
      </c>
      <c r="D1636">
        <v>2</v>
      </c>
      <c r="E1636">
        <v>0</v>
      </c>
      <c r="F1636">
        <v>106</v>
      </c>
      <c r="G1636" t="str">
        <f>VLOOKUP(VLOOKUP(order_details[[#This Row],[ProductID]], products[], 4, FALSE), categories[], 2, FALSE)</f>
        <v>Produce</v>
      </c>
      <c r="H1636">
        <f>VLOOKUP(order_details[[#This Row],[ProductID]], products[], 4, FALSE)</f>
        <v>7</v>
      </c>
      <c r="I1636" t="str">
        <f>VLOOKUP(order_details[[#This Row],[OrderID]], orders[[OrderID]:[ShipCountry]], 14, FALSE)</f>
        <v>Poland</v>
      </c>
      <c r="J1636" s="1">
        <f>_xlfn.XLOOKUP(order_details[[#This Row],[OrderID]], orders[OrderID], orders[Month])</f>
        <v>3</v>
      </c>
    </row>
    <row r="1637" spans="1:10" x14ac:dyDescent="0.35">
      <c r="A1637">
        <v>10871</v>
      </c>
      <c r="B1637">
        <v>6</v>
      </c>
      <c r="C1637">
        <v>25</v>
      </c>
      <c r="D1637">
        <v>50</v>
      </c>
      <c r="E1637">
        <v>0.05</v>
      </c>
      <c r="F1637">
        <v>1187.5</v>
      </c>
      <c r="G1637" t="str">
        <f>VLOOKUP(VLOOKUP(order_details[[#This Row],[ProductID]], products[], 4, FALSE), categories[], 2, FALSE)</f>
        <v>Condiments</v>
      </c>
      <c r="H1637">
        <f>VLOOKUP(order_details[[#This Row],[ProductID]], products[], 4, FALSE)</f>
        <v>2</v>
      </c>
      <c r="I1637" t="str">
        <f>VLOOKUP(order_details[[#This Row],[OrderID]], orders[[OrderID]:[ShipCountry]], 14, FALSE)</f>
        <v>France</v>
      </c>
      <c r="J1637" s="1">
        <f>_xlfn.XLOOKUP(order_details[[#This Row],[OrderID]], orders[OrderID], orders[Month])</f>
        <v>3</v>
      </c>
    </row>
    <row r="1638" spans="1:10" x14ac:dyDescent="0.35">
      <c r="A1638">
        <v>10871</v>
      </c>
      <c r="B1638">
        <v>16</v>
      </c>
      <c r="C1638">
        <v>17.45</v>
      </c>
      <c r="D1638">
        <v>12</v>
      </c>
      <c r="E1638">
        <v>0.05</v>
      </c>
      <c r="F1638">
        <v>198.92999999999998</v>
      </c>
      <c r="G1638" t="str">
        <f>VLOOKUP(VLOOKUP(order_details[[#This Row],[ProductID]], products[], 4, FALSE), categories[], 2, FALSE)</f>
        <v>Confections</v>
      </c>
      <c r="H1638">
        <f>VLOOKUP(order_details[[#This Row],[ProductID]], products[], 4, FALSE)</f>
        <v>3</v>
      </c>
      <c r="I1638" t="str">
        <f>VLOOKUP(order_details[[#This Row],[OrderID]], orders[[OrderID]:[ShipCountry]], 14, FALSE)</f>
        <v>France</v>
      </c>
      <c r="J1638" s="1">
        <f>_xlfn.XLOOKUP(order_details[[#This Row],[OrderID]], orders[OrderID], orders[Month])</f>
        <v>3</v>
      </c>
    </row>
    <row r="1639" spans="1:10" x14ac:dyDescent="0.35">
      <c r="A1639">
        <v>10871</v>
      </c>
      <c r="B1639">
        <v>17</v>
      </c>
      <c r="C1639">
        <v>39</v>
      </c>
      <c r="D1639">
        <v>16</v>
      </c>
      <c r="E1639">
        <v>0.05</v>
      </c>
      <c r="F1639">
        <v>592.79999999999995</v>
      </c>
      <c r="G1639" t="str">
        <f>VLOOKUP(VLOOKUP(order_details[[#This Row],[ProductID]], products[], 4, FALSE), categories[], 2, FALSE)</f>
        <v>Meat/Poultry</v>
      </c>
      <c r="H1639">
        <f>VLOOKUP(order_details[[#This Row],[ProductID]], products[], 4, FALSE)</f>
        <v>6</v>
      </c>
      <c r="I1639" t="str">
        <f>VLOOKUP(order_details[[#This Row],[OrderID]], orders[[OrderID]:[ShipCountry]], 14, FALSE)</f>
        <v>France</v>
      </c>
      <c r="J1639" s="1">
        <f>_xlfn.XLOOKUP(order_details[[#This Row],[OrderID]], orders[OrderID], orders[Month])</f>
        <v>3</v>
      </c>
    </row>
    <row r="1640" spans="1:10" x14ac:dyDescent="0.35">
      <c r="A1640">
        <v>10872</v>
      </c>
      <c r="B1640">
        <v>55</v>
      </c>
      <c r="C1640">
        <v>24</v>
      </c>
      <c r="D1640">
        <v>10</v>
      </c>
      <c r="E1640">
        <v>0.05</v>
      </c>
      <c r="F1640">
        <v>228</v>
      </c>
      <c r="G1640" t="str">
        <f>VLOOKUP(VLOOKUP(order_details[[#This Row],[ProductID]], products[], 4, FALSE), categories[], 2, FALSE)</f>
        <v>Meat/Poultry</v>
      </c>
      <c r="H1640">
        <f>VLOOKUP(order_details[[#This Row],[ProductID]], products[], 4, FALSE)</f>
        <v>6</v>
      </c>
      <c r="I1640" t="str">
        <f>VLOOKUP(order_details[[#This Row],[OrderID]], orders[[OrderID]:[ShipCountry]], 14, FALSE)</f>
        <v>Spain</v>
      </c>
      <c r="J1640" s="1">
        <f>_xlfn.XLOOKUP(order_details[[#This Row],[OrderID]], orders[OrderID], orders[Month])</f>
        <v>3</v>
      </c>
    </row>
    <row r="1641" spans="1:10" x14ac:dyDescent="0.35">
      <c r="A1641">
        <v>10872</v>
      </c>
      <c r="B1641">
        <v>62</v>
      </c>
      <c r="C1641">
        <v>49.3</v>
      </c>
      <c r="D1641">
        <v>20</v>
      </c>
      <c r="E1641">
        <v>0.05</v>
      </c>
      <c r="F1641">
        <v>936.69999999999993</v>
      </c>
      <c r="G1641" t="str">
        <f>VLOOKUP(VLOOKUP(order_details[[#This Row],[ProductID]], products[], 4, FALSE), categories[], 2, FALSE)</f>
        <v>Confections</v>
      </c>
      <c r="H1641">
        <f>VLOOKUP(order_details[[#This Row],[ProductID]], products[], 4, FALSE)</f>
        <v>3</v>
      </c>
      <c r="I1641" t="str">
        <f>VLOOKUP(order_details[[#This Row],[OrderID]], orders[[OrderID]:[ShipCountry]], 14, FALSE)</f>
        <v>Spain</v>
      </c>
      <c r="J1641" s="1">
        <f>_xlfn.XLOOKUP(order_details[[#This Row],[OrderID]], orders[OrderID], orders[Month])</f>
        <v>3</v>
      </c>
    </row>
    <row r="1642" spans="1:10" x14ac:dyDescent="0.35">
      <c r="A1642">
        <v>10872</v>
      </c>
      <c r="B1642">
        <v>64</v>
      </c>
      <c r="C1642">
        <v>33.25</v>
      </c>
      <c r="D1642">
        <v>15</v>
      </c>
      <c r="E1642">
        <v>0.05</v>
      </c>
      <c r="F1642">
        <v>473.8125</v>
      </c>
      <c r="G1642" t="str">
        <f>VLOOKUP(VLOOKUP(order_details[[#This Row],[ProductID]], products[], 4, FALSE), categories[], 2, FALSE)</f>
        <v>Grains/Cereals</v>
      </c>
      <c r="H1642">
        <f>VLOOKUP(order_details[[#This Row],[ProductID]], products[], 4, FALSE)</f>
        <v>5</v>
      </c>
      <c r="I1642" t="str">
        <f>VLOOKUP(order_details[[#This Row],[OrderID]], orders[[OrderID]:[ShipCountry]], 14, FALSE)</f>
        <v>Spain</v>
      </c>
      <c r="J1642" s="1">
        <f>_xlfn.XLOOKUP(order_details[[#This Row],[OrderID]], orders[OrderID], orders[Month])</f>
        <v>3</v>
      </c>
    </row>
    <row r="1643" spans="1:10" x14ac:dyDescent="0.35">
      <c r="A1643">
        <v>10872</v>
      </c>
      <c r="B1643">
        <v>65</v>
      </c>
      <c r="C1643">
        <v>21.05</v>
      </c>
      <c r="D1643">
        <v>21</v>
      </c>
      <c r="E1643">
        <v>0.05</v>
      </c>
      <c r="F1643">
        <v>419.94749999999999</v>
      </c>
      <c r="G1643" t="str">
        <f>VLOOKUP(VLOOKUP(order_details[[#This Row],[ProductID]], products[], 4, FALSE), categories[], 2, FALSE)</f>
        <v>Condiments</v>
      </c>
      <c r="H1643">
        <f>VLOOKUP(order_details[[#This Row],[ProductID]], products[], 4, FALSE)</f>
        <v>2</v>
      </c>
      <c r="I1643" t="str">
        <f>VLOOKUP(order_details[[#This Row],[OrderID]], orders[[OrderID]:[ShipCountry]], 14, FALSE)</f>
        <v>Spain</v>
      </c>
      <c r="J1643" s="1">
        <f>_xlfn.XLOOKUP(order_details[[#This Row],[OrderID]], orders[OrderID], orders[Month])</f>
        <v>3</v>
      </c>
    </row>
    <row r="1644" spans="1:10" x14ac:dyDescent="0.35">
      <c r="A1644">
        <v>10873</v>
      </c>
      <c r="B1644">
        <v>21</v>
      </c>
      <c r="C1644">
        <v>10</v>
      </c>
      <c r="D1644">
        <v>20</v>
      </c>
      <c r="E1644">
        <v>0</v>
      </c>
      <c r="F1644">
        <v>200</v>
      </c>
      <c r="G1644" t="str">
        <f>VLOOKUP(VLOOKUP(order_details[[#This Row],[ProductID]], products[], 4, FALSE), categories[], 2, FALSE)</f>
        <v>Confections</v>
      </c>
      <c r="H1644">
        <f>VLOOKUP(order_details[[#This Row],[ProductID]], products[], 4, FALSE)</f>
        <v>3</v>
      </c>
      <c r="I1644" t="str">
        <f>VLOOKUP(order_details[[#This Row],[OrderID]], orders[[OrderID]:[ShipCountry]], 14, FALSE)</f>
        <v>Finland</v>
      </c>
      <c r="J1644" s="1">
        <f>_xlfn.XLOOKUP(order_details[[#This Row],[OrderID]], orders[OrderID], orders[Month])</f>
        <v>3</v>
      </c>
    </row>
    <row r="1645" spans="1:10" x14ac:dyDescent="0.35">
      <c r="A1645">
        <v>10873</v>
      </c>
      <c r="B1645">
        <v>28</v>
      </c>
      <c r="C1645">
        <v>45.6</v>
      </c>
      <c r="D1645">
        <v>3</v>
      </c>
      <c r="E1645">
        <v>0</v>
      </c>
      <c r="F1645">
        <v>136.80000000000001</v>
      </c>
      <c r="G1645" t="str">
        <f>VLOOKUP(VLOOKUP(order_details[[#This Row],[ProductID]], products[], 4, FALSE), categories[], 2, FALSE)</f>
        <v>Produce</v>
      </c>
      <c r="H1645">
        <f>VLOOKUP(order_details[[#This Row],[ProductID]], products[], 4, FALSE)</f>
        <v>7</v>
      </c>
      <c r="I1645" t="str">
        <f>VLOOKUP(order_details[[#This Row],[OrderID]], orders[[OrderID]:[ShipCountry]], 14, FALSE)</f>
        <v>Finland</v>
      </c>
      <c r="J1645" s="1">
        <f>_xlfn.XLOOKUP(order_details[[#This Row],[OrderID]], orders[OrderID], orders[Month])</f>
        <v>3</v>
      </c>
    </row>
    <row r="1646" spans="1:10" x14ac:dyDescent="0.35">
      <c r="A1646">
        <v>10874</v>
      </c>
      <c r="B1646">
        <v>10</v>
      </c>
      <c r="C1646">
        <v>31</v>
      </c>
      <c r="D1646">
        <v>10</v>
      </c>
      <c r="E1646">
        <v>0</v>
      </c>
      <c r="F1646">
        <v>310</v>
      </c>
      <c r="G1646" t="str">
        <f>VLOOKUP(VLOOKUP(order_details[[#This Row],[ProductID]], products[], 4, FALSE), categories[], 2, FALSE)</f>
        <v>Seafood</v>
      </c>
      <c r="H1646">
        <f>VLOOKUP(order_details[[#This Row],[ProductID]], products[], 4, FALSE)</f>
        <v>8</v>
      </c>
      <c r="I1646" t="str">
        <f>VLOOKUP(order_details[[#This Row],[OrderID]], orders[[OrderID]:[ShipCountry]], 14, FALSE)</f>
        <v>Spain</v>
      </c>
      <c r="J1646" s="1">
        <f>_xlfn.XLOOKUP(order_details[[#This Row],[OrderID]], orders[OrderID], orders[Month])</f>
        <v>3</v>
      </c>
    </row>
    <row r="1647" spans="1:10" x14ac:dyDescent="0.35">
      <c r="A1647">
        <v>10875</v>
      </c>
      <c r="B1647">
        <v>19</v>
      </c>
      <c r="C1647">
        <v>9.1999999999999993</v>
      </c>
      <c r="D1647">
        <v>25</v>
      </c>
      <c r="E1647">
        <v>0</v>
      </c>
      <c r="F1647">
        <v>229.99999999999997</v>
      </c>
      <c r="G1647" t="str">
        <f>VLOOKUP(VLOOKUP(order_details[[#This Row],[ProductID]], products[], 4, FALSE), categories[], 2, FALSE)</f>
        <v>Confections</v>
      </c>
      <c r="H1647">
        <f>VLOOKUP(order_details[[#This Row],[ProductID]], products[], 4, FALSE)</f>
        <v>3</v>
      </c>
      <c r="I1647" t="str">
        <f>VLOOKUP(order_details[[#This Row],[OrderID]], orders[[OrderID]:[ShipCountry]], 14, FALSE)</f>
        <v>Sweden</v>
      </c>
      <c r="J1647" s="1">
        <f>_xlfn.XLOOKUP(order_details[[#This Row],[OrderID]], orders[OrderID], orders[Month])</f>
        <v>3</v>
      </c>
    </row>
    <row r="1648" spans="1:10" x14ac:dyDescent="0.35">
      <c r="A1648">
        <v>10875</v>
      </c>
      <c r="B1648">
        <v>47</v>
      </c>
      <c r="C1648">
        <v>9.5</v>
      </c>
      <c r="D1648">
        <v>21</v>
      </c>
      <c r="E1648">
        <v>0.1</v>
      </c>
      <c r="F1648">
        <v>179.55</v>
      </c>
      <c r="G1648" t="str">
        <f>VLOOKUP(VLOOKUP(order_details[[#This Row],[ProductID]], products[], 4, FALSE), categories[], 2, FALSE)</f>
        <v>Confections</v>
      </c>
      <c r="H1648">
        <f>VLOOKUP(order_details[[#This Row],[ProductID]], products[], 4, FALSE)</f>
        <v>3</v>
      </c>
      <c r="I1648" t="str">
        <f>VLOOKUP(order_details[[#This Row],[OrderID]], orders[[OrderID]:[ShipCountry]], 14, FALSE)</f>
        <v>Sweden</v>
      </c>
      <c r="J1648" s="1">
        <f>_xlfn.XLOOKUP(order_details[[#This Row],[OrderID]], orders[OrderID], orders[Month])</f>
        <v>3</v>
      </c>
    </row>
    <row r="1649" spans="1:10" x14ac:dyDescent="0.35">
      <c r="A1649">
        <v>10875</v>
      </c>
      <c r="B1649">
        <v>49</v>
      </c>
      <c r="C1649">
        <v>20</v>
      </c>
      <c r="D1649">
        <v>15</v>
      </c>
      <c r="E1649">
        <v>0</v>
      </c>
      <c r="F1649">
        <v>300</v>
      </c>
      <c r="G1649" t="str">
        <f>VLOOKUP(VLOOKUP(order_details[[#This Row],[ProductID]], products[], 4, FALSE), categories[], 2, FALSE)</f>
        <v>Confections</v>
      </c>
      <c r="H1649">
        <f>VLOOKUP(order_details[[#This Row],[ProductID]], products[], 4, FALSE)</f>
        <v>3</v>
      </c>
      <c r="I1649" t="str">
        <f>VLOOKUP(order_details[[#This Row],[OrderID]], orders[[OrderID]:[ShipCountry]], 14, FALSE)</f>
        <v>Sweden</v>
      </c>
      <c r="J1649" s="1">
        <f>_xlfn.XLOOKUP(order_details[[#This Row],[OrderID]], orders[OrderID], orders[Month])</f>
        <v>3</v>
      </c>
    </row>
    <row r="1650" spans="1:10" x14ac:dyDescent="0.35">
      <c r="A1650">
        <v>10876</v>
      </c>
      <c r="B1650">
        <v>46</v>
      </c>
      <c r="C1650">
        <v>12</v>
      </c>
      <c r="D1650">
        <v>21</v>
      </c>
      <c r="E1650">
        <v>0</v>
      </c>
      <c r="F1650">
        <v>252</v>
      </c>
      <c r="G1650" t="str">
        <f>VLOOKUP(VLOOKUP(order_details[[#This Row],[ProductID]], products[], 4, FALSE), categories[], 2, FALSE)</f>
        <v>Seafood</v>
      </c>
      <c r="H1650">
        <f>VLOOKUP(order_details[[#This Row],[ProductID]], products[], 4, FALSE)</f>
        <v>8</v>
      </c>
      <c r="I1650" t="str">
        <f>VLOOKUP(order_details[[#This Row],[OrderID]], orders[[OrderID]:[ShipCountry]], 14, FALSE)</f>
        <v>France</v>
      </c>
      <c r="J1650" s="1">
        <f>_xlfn.XLOOKUP(order_details[[#This Row],[OrderID]], orders[OrderID], orders[Month])</f>
        <v>3</v>
      </c>
    </row>
    <row r="1651" spans="1:10" x14ac:dyDescent="0.35">
      <c r="A1651">
        <v>10876</v>
      </c>
      <c r="B1651">
        <v>64</v>
      </c>
      <c r="C1651">
        <v>33.25</v>
      </c>
      <c r="D1651">
        <v>20</v>
      </c>
      <c r="E1651">
        <v>0</v>
      </c>
      <c r="F1651">
        <v>665</v>
      </c>
      <c r="G1651" t="str">
        <f>VLOOKUP(VLOOKUP(order_details[[#This Row],[ProductID]], products[], 4, FALSE), categories[], 2, FALSE)</f>
        <v>Grains/Cereals</v>
      </c>
      <c r="H1651">
        <f>VLOOKUP(order_details[[#This Row],[ProductID]], products[], 4, FALSE)</f>
        <v>5</v>
      </c>
      <c r="I1651" t="str">
        <f>VLOOKUP(order_details[[#This Row],[OrderID]], orders[[OrderID]:[ShipCountry]], 14, FALSE)</f>
        <v>France</v>
      </c>
      <c r="J1651" s="1">
        <f>_xlfn.XLOOKUP(order_details[[#This Row],[OrderID]], orders[OrderID], orders[Month])</f>
        <v>3</v>
      </c>
    </row>
    <row r="1652" spans="1:10" x14ac:dyDescent="0.35">
      <c r="A1652">
        <v>10877</v>
      </c>
      <c r="B1652">
        <v>16</v>
      </c>
      <c r="C1652">
        <v>17.45</v>
      </c>
      <c r="D1652">
        <v>30</v>
      </c>
      <c r="E1652">
        <v>0.25</v>
      </c>
      <c r="F1652">
        <v>392.625</v>
      </c>
      <c r="G1652" t="str">
        <f>VLOOKUP(VLOOKUP(order_details[[#This Row],[ProductID]], products[], 4, FALSE), categories[], 2, FALSE)</f>
        <v>Confections</v>
      </c>
      <c r="H1652">
        <f>VLOOKUP(order_details[[#This Row],[ProductID]], products[], 4, FALSE)</f>
        <v>3</v>
      </c>
      <c r="I1652" t="str">
        <f>VLOOKUP(order_details[[#This Row],[OrderID]], orders[[OrderID]:[ShipCountry]], 14, FALSE)</f>
        <v>Brazil</v>
      </c>
      <c r="J1652" s="1">
        <f>_xlfn.XLOOKUP(order_details[[#This Row],[OrderID]], orders[OrderID], orders[Month])</f>
        <v>3</v>
      </c>
    </row>
    <row r="1653" spans="1:10" x14ac:dyDescent="0.35">
      <c r="A1653">
        <v>10877</v>
      </c>
      <c r="B1653">
        <v>18</v>
      </c>
      <c r="C1653">
        <v>62.5</v>
      </c>
      <c r="D1653">
        <v>25</v>
      </c>
      <c r="E1653">
        <v>0</v>
      </c>
      <c r="F1653">
        <v>1562.5</v>
      </c>
      <c r="G1653" t="str">
        <f>VLOOKUP(VLOOKUP(order_details[[#This Row],[ProductID]], products[], 4, FALSE), categories[], 2, FALSE)</f>
        <v>Seafood</v>
      </c>
      <c r="H1653">
        <f>VLOOKUP(order_details[[#This Row],[ProductID]], products[], 4, FALSE)</f>
        <v>8</v>
      </c>
      <c r="I1653" t="str">
        <f>VLOOKUP(order_details[[#This Row],[OrderID]], orders[[OrderID]:[ShipCountry]], 14, FALSE)</f>
        <v>Brazil</v>
      </c>
      <c r="J1653" s="1">
        <f>_xlfn.XLOOKUP(order_details[[#This Row],[OrderID]], orders[OrderID], orders[Month])</f>
        <v>3</v>
      </c>
    </row>
    <row r="1654" spans="1:10" x14ac:dyDescent="0.35">
      <c r="A1654">
        <v>10878</v>
      </c>
      <c r="B1654">
        <v>20</v>
      </c>
      <c r="C1654">
        <v>81</v>
      </c>
      <c r="D1654">
        <v>20</v>
      </c>
      <c r="E1654">
        <v>0.05</v>
      </c>
      <c r="F1654">
        <v>1539</v>
      </c>
      <c r="G1654" t="str">
        <f>VLOOKUP(VLOOKUP(order_details[[#This Row],[ProductID]], products[], 4, FALSE), categories[], 2, FALSE)</f>
        <v>Confections</v>
      </c>
      <c r="H1654">
        <f>VLOOKUP(order_details[[#This Row],[ProductID]], products[], 4, FALSE)</f>
        <v>3</v>
      </c>
      <c r="I1654" t="str">
        <f>VLOOKUP(order_details[[#This Row],[OrderID]], orders[[OrderID]:[ShipCountry]], 14, FALSE)</f>
        <v>Germany</v>
      </c>
      <c r="J1654" s="1">
        <f>_xlfn.XLOOKUP(order_details[[#This Row],[OrderID]], orders[OrderID], orders[Month])</f>
        <v>3</v>
      </c>
    </row>
    <row r="1655" spans="1:10" x14ac:dyDescent="0.35">
      <c r="A1655">
        <v>10879</v>
      </c>
      <c r="B1655">
        <v>40</v>
      </c>
      <c r="C1655">
        <v>18.399999999999999</v>
      </c>
      <c r="D1655">
        <v>12</v>
      </c>
      <c r="E1655">
        <v>0</v>
      </c>
      <c r="F1655">
        <v>220.79999999999998</v>
      </c>
      <c r="G1655" t="str">
        <f>VLOOKUP(VLOOKUP(order_details[[#This Row],[ProductID]], products[], 4, FALSE), categories[], 2, FALSE)</f>
        <v>Seafood</v>
      </c>
      <c r="H1655">
        <f>VLOOKUP(order_details[[#This Row],[ProductID]], products[], 4, FALSE)</f>
        <v>8</v>
      </c>
      <c r="I1655" t="str">
        <f>VLOOKUP(order_details[[#This Row],[OrderID]], orders[[OrderID]:[ShipCountry]], 14, FALSE)</f>
        <v>Finland</v>
      </c>
      <c r="J1655" s="1">
        <f>_xlfn.XLOOKUP(order_details[[#This Row],[OrderID]], orders[OrderID], orders[Month])</f>
        <v>3</v>
      </c>
    </row>
    <row r="1656" spans="1:10" x14ac:dyDescent="0.35">
      <c r="A1656">
        <v>10879</v>
      </c>
      <c r="B1656">
        <v>65</v>
      </c>
      <c r="C1656">
        <v>21.05</v>
      </c>
      <c r="D1656">
        <v>10</v>
      </c>
      <c r="E1656">
        <v>0</v>
      </c>
      <c r="F1656">
        <v>210.5</v>
      </c>
      <c r="G1656" t="str">
        <f>VLOOKUP(VLOOKUP(order_details[[#This Row],[ProductID]], products[], 4, FALSE), categories[], 2, FALSE)</f>
        <v>Condiments</v>
      </c>
      <c r="H1656">
        <f>VLOOKUP(order_details[[#This Row],[ProductID]], products[], 4, FALSE)</f>
        <v>2</v>
      </c>
      <c r="I1656" t="str">
        <f>VLOOKUP(order_details[[#This Row],[OrderID]], orders[[OrderID]:[ShipCountry]], 14, FALSE)</f>
        <v>Finland</v>
      </c>
      <c r="J1656" s="1">
        <f>_xlfn.XLOOKUP(order_details[[#This Row],[OrderID]], orders[OrderID], orders[Month])</f>
        <v>3</v>
      </c>
    </row>
    <row r="1657" spans="1:10" x14ac:dyDescent="0.35">
      <c r="A1657">
        <v>10879</v>
      </c>
      <c r="B1657">
        <v>76</v>
      </c>
      <c r="C1657">
        <v>18</v>
      </c>
      <c r="D1657">
        <v>10</v>
      </c>
      <c r="E1657">
        <v>0</v>
      </c>
      <c r="F1657">
        <v>180</v>
      </c>
      <c r="G1657" t="str">
        <f>VLOOKUP(VLOOKUP(order_details[[#This Row],[ProductID]], products[], 4, FALSE), categories[], 2, FALSE)</f>
        <v>Beverages</v>
      </c>
      <c r="H1657">
        <f>VLOOKUP(order_details[[#This Row],[ProductID]], products[], 4, FALSE)</f>
        <v>1</v>
      </c>
      <c r="I1657" t="str">
        <f>VLOOKUP(order_details[[#This Row],[OrderID]], orders[[OrderID]:[ShipCountry]], 14, FALSE)</f>
        <v>Finland</v>
      </c>
      <c r="J1657" s="1">
        <f>_xlfn.XLOOKUP(order_details[[#This Row],[OrderID]], orders[OrderID], orders[Month])</f>
        <v>3</v>
      </c>
    </row>
    <row r="1658" spans="1:10" x14ac:dyDescent="0.35">
      <c r="A1658">
        <v>10880</v>
      </c>
      <c r="B1658">
        <v>23</v>
      </c>
      <c r="C1658">
        <v>9</v>
      </c>
      <c r="D1658">
        <v>30</v>
      </c>
      <c r="E1658">
        <v>0.2</v>
      </c>
      <c r="F1658">
        <v>216</v>
      </c>
      <c r="G1658" t="str">
        <f>VLOOKUP(VLOOKUP(order_details[[#This Row],[ProductID]], products[], 4, FALSE), categories[], 2, FALSE)</f>
        <v>Grains/Cereals</v>
      </c>
      <c r="H1658">
        <f>VLOOKUP(order_details[[#This Row],[ProductID]], products[], 4, FALSE)</f>
        <v>5</v>
      </c>
      <c r="I1658" t="str">
        <f>VLOOKUP(order_details[[#This Row],[OrderID]], orders[[OrderID]:[ShipCountry]], 14, FALSE)</f>
        <v>Sweden</v>
      </c>
      <c r="J1658" s="1">
        <f>_xlfn.XLOOKUP(order_details[[#This Row],[OrderID]], orders[OrderID], orders[Month])</f>
        <v>3</v>
      </c>
    </row>
    <row r="1659" spans="1:10" x14ac:dyDescent="0.35">
      <c r="A1659">
        <v>10880</v>
      </c>
      <c r="B1659">
        <v>61</v>
      </c>
      <c r="C1659">
        <v>28.5</v>
      </c>
      <c r="D1659">
        <v>30</v>
      </c>
      <c r="E1659">
        <v>0.2</v>
      </c>
      <c r="F1659">
        <v>684</v>
      </c>
      <c r="G1659" t="str">
        <f>VLOOKUP(VLOOKUP(order_details[[#This Row],[ProductID]], products[], 4, FALSE), categories[], 2, FALSE)</f>
        <v>Condiments</v>
      </c>
      <c r="H1659">
        <f>VLOOKUP(order_details[[#This Row],[ProductID]], products[], 4, FALSE)</f>
        <v>2</v>
      </c>
      <c r="I1659" t="str">
        <f>VLOOKUP(order_details[[#This Row],[OrderID]], orders[[OrderID]:[ShipCountry]], 14, FALSE)</f>
        <v>Sweden</v>
      </c>
      <c r="J1659" s="1">
        <f>_xlfn.XLOOKUP(order_details[[#This Row],[OrderID]], orders[OrderID], orders[Month])</f>
        <v>3</v>
      </c>
    </row>
    <row r="1660" spans="1:10" x14ac:dyDescent="0.35">
      <c r="A1660">
        <v>10880</v>
      </c>
      <c r="B1660">
        <v>70</v>
      </c>
      <c r="C1660">
        <v>15</v>
      </c>
      <c r="D1660">
        <v>50</v>
      </c>
      <c r="E1660">
        <v>0.2</v>
      </c>
      <c r="F1660">
        <v>600</v>
      </c>
      <c r="G1660" t="str">
        <f>VLOOKUP(VLOOKUP(order_details[[#This Row],[ProductID]], products[], 4, FALSE), categories[], 2, FALSE)</f>
        <v>Beverages</v>
      </c>
      <c r="H1660">
        <f>VLOOKUP(order_details[[#This Row],[ProductID]], products[], 4, FALSE)</f>
        <v>1</v>
      </c>
      <c r="I1660" t="str">
        <f>VLOOKUP(order_details[[#This Row],[OrderID]], orders[[OrderID]:[ShipCountry]], 14, FALSE)</f>
        <v>Sweden</v>
      </c>
      <c r="J1660" s="1">
        <f>_xlfn.XLOOKUP(order_details[[#This Row],[OrderID]], orders[OrderID], orders[Month])</f>
        <v>3</v>
      </c>
    </row>
    <row r="1661" spans="1:10" x14ac:dyDescent="0.35">
      <c r="A1661">
        <v>10881</v>
      </c>
      <c r="B1661">
        <v>73</v>
      </c>
      <c r="C1661">
        <v>15</v>
      </c>
      <c r="D1661">
        <v>10</v>
      </c>
      <c r="E1661">
        <v>0</v>
      </c>
      <c r="F1661">
        <v>150</v>
      </c>
      <c r="G1661" t="str">
        <f>VLOOKUP(VLOOKUP(order_details[[#This Row],[ProductID]], products[], 4, FALSE), categories[], 2, FALSE)</f>
        <v>Seafood</v>
      </c>
      <c r="H1661">
        <f>VLOOKUP(order_details[[#This Row],[ProductID]], products[], 4, FALSE)</f>
        <v>8</v>
      </c>
      <c r="I1661" t="str">
        <f>VLOOKUP(order_details[[#This Row],[OrderID]], orders[[OrderID]:[ShipCountry]], 14, FALSE)</f>
        <v>Argentina</v>
      </c>
      <c r="J1661" s="1">
        <f>_xlfn.XLOOKUP(order_details[[#This Row],[OrderID]], orders[OrderID], orders[Month])</f>
        <v>3</v>
      </c>
    </row>
    <row r="1662" spans="1:10" x14ac:dyDescent="0.35">
      <c r="A1662">
        <v>10882</v>
      </c>
      <c r="B1662">
        <v>42</v>
      </c>
      <c r="C1662">
        <v>14</v>
      </c>
      <c r="D1662">
        <v>25</v>
      </c>
      <c r="E1662">
        <v>0</v>
      </c>
      <c r="F1662">
        <v>350</v>
      </c>
      <c r="G1662" t="str">
        <f>VLOOKUP(VLOOKUP(order_details[[#This Row],[ProductID]], products[], 4, FALSE), categories[], 2, FALSE)</f>
        <v>Grains/Cereals</v>
      </c>
      <c r="H1662">
        <f>VLOOKUP(order_details[[#This Row],[ProductID]], products[], 4, FALSE)</f>
        <v>5</v>
      </c>
      <c r="I1662" t="str">
        <f>VLOOKUP(order_details[[#This Row],[OrderID]], orders[[OrderID]:[ShipCountry]], 14, FALSE)</f>
        <v>USA</v>
      </c>
      <c r="J1662" s="1">
        <f>_xlfn.XLOOKUP(order_details[[#This Row],[OrderID]], orders[OrderID], orders[Month])</f>
        <v>3</v>
      </c>
    </row>
    <row r="1663" spans="1:10" x14ac:dyDescent="0.35">
      <c r="A1663">
        <v>10882</v>
      </c>
      <c r="B1663">
        <v>49</v>
      </c>
      <c r="C1663">
        <v>20</v>
      </c>
      <c r="D1663">
        <v>20</v>
      </c>
      <c r="E1663">
        <v>0.15</v>
      </c>
      <c r="F1663">
        <v>340</v>
      </c>
      <c r="G1663" t="str">
        <f>VLOOKUP(VLOOKUP(order_details[[#This Row],[ProductID]], products[], 4, FALSE), categories[], 2, FALSE)</f>
        <v>Confections</v>
      </c>
      <c r="H1663">
        <f>VLOOKUP(order_details[[#This Row],[ProductID]], products[], 4, FALSE)</f>
        <v>3</v>
      </c>
      <c r="I1663" t="str">
        <f>VLOOKUP(order_details[[#This Row],[OrderID]], orders[[OrderID]:[ShipCountry]], 14, FALSE)</f>
        <v>USA</v>
      </c>
      <c r="J1663" s="1">
        <f>_xlfn.XLOOKUP(order_details[[#This Row],[OrderID]], orders[OrderID], orders[Month])</f>
        <v>3</v>
      </c>
    </row>
    <row r="1664" spans="1:10" x14ac:dyDescent="0.35">
      <c r="A1664">
        <v>10882</v>
      </c>
      <c r="B1664">
        <v>54</v>
      </c>
      <c r="C1664">
        <v>7.45</v>
      </c>
      <c r="D1664">
        <v>32</v>
      </c>
      <c r="E1664">
        <v>0.15</v>
      </c>
      <c r="F1664">
        <v>202.64</v>
      </c>
      <c r="G1664" t="str">
        <f>VLOOKUP(VLOOKUP(order_details[[#This Row],[ProductID]], products[], 4, FALSE), categories[], 2, FALSE)</f>
        <v>Meat/Poultry</v>
      </c>
      <c r="H1664">
        <f>VLOOKUP(order_details[[#This Row],[ProductID]], products[], 4, FALSE)</f>
        <v>6</v>
      </c>
      <c r="I1664" t="str">
        <f>VLOOKUP(order_details[[#This Row],[OrderID]], orders[[OrderID]:[ShipCountry]], 14, FALSE)</f>
        <v>USA</v>
      </c>
      <c r="J1664" s="1">
        <f>_xlfn.XLOOKUP(order_details[[#This Row],[OrderID]], orders[OrderID], orders[Month])</f>
        <v>3</v>
      </c>
    </row>
    <row r="1665" spans="1:10" x14ac:dyDescent="0.35">
      <c r="A1665">
        <v>10883</v>
      </c>
      <c r="B1665">
        <v>24</v>
      </c>
      <c r="C1665">
        <v>4.5</v>
      </c>
      <c r="D1665">
        <v>8</v>
      </c>
      <c r="E1665">
        <v>0</v>
      </c>
      <c r="F1665">
        <v>36</v>
      </c>
      <c r="G1665" t="str">
        <f>VLOOKUP(VLOOKUP(order_details[[#This Row],[ProductID]], products[], 4, FALSE), categories[], 2, FALSE)</f>
        <v>Beverages</v>
      </c>
      <c r="H1665">
        <f>VLOOKUP(order_details[[#This Row],[ProductID]], products[], 4, FALSE)</f>
        <v>1</v>
      </c>
      <c r="I1665" t="str">
        <f>VLOOKUP(order_details[[#This Row],[OrderID]], orders[[OrderID]:[ShipCountry]], 14, FALSE)</f>
        <v>USA</v>
      </c>
      <c r="J1665" s="1">
        <f>_xlfn.XLOOKUP(order_details[[#This Row],[OrderID]], orders[OrderID], orders[Month])</f>
        <v>3</v>
      </c>
    </row>
    <row r="1666" spans="1:10" x14ac:dyDescent="0.35">
      <c r="A1666">
        <v>10884</v>
      </c>
      <c r="B1666">
        <v>21</v>
      </c>
      <c r="C1666">
        <v>10</v>
      </c>
      <c r="D1666">
        <v>40</v>
      </c>
      <c r="E1666">
        <v>0.05</v>
      </c>
      <c r="F1666">
        <v>380</v>
      </c>
      <c r="G1666" t="str">
        <f>VLOOKUP(VLOOKUP(order_details[[#This Row],[ProductID]], products[], 4, FALSE), categories[], 2, FALSE)</f>
        <v>Confections</v>
      </c>
      <c r="H1666">
        <f>VLOOKUP(order_details[[#This Row],[ProductID]], products[], 4, FALSE)</f>
        <v>3</v>
      </c>
      <c r="I1666" t="str">
        <f>VLOOKUP(order_details[[#This Row],[OrderID]], orders[[OrderID]:[ShipCountry]], 14, FALSE)</f>
        <v>USA</v>
      </c>
      <c r="J1666" s="1">
        <f>_xlfn.XLOOKUP(order_details[[#This Row],[OrderID]], orders[OrderID], orders[Month])</f>
        <v>3</v>
      </c>
    </row>
    <row r="1667" spans="1:10" x14ac:dyDescent="0.35">
      <c r="A1667">
        <v>10884</v>
      </c>
      <c r="B1667">
        <v>56</v>
      </c>
      <c r="C1667">
        <v>38</v>
      </c>
      <c r="D1667">
        <v>21</v>
      </c>
      <c r="E1667">
        <v>0.05</v>
      </c>
      <c r="F1667">
        <v>758.09999999999991</v>
      </c>
      <c r="G1667" t="str">
        <f>VLOOKUP(VLOOKUP(order_details[[#This Row],[ProductID]], products[], 4, FALSE), categories[], 2, FALSE)</f>
        <v>Grains/Cereals</v>
      </c>
      <c r="H1667">
        <f>VLOOKUP(order_details[[#This Row],[ProductID]], products[], 4, FALSE)</f>
        <v>5</v>
      </c>
      <c r="I1667" t="str">
        <f>VLOOKUP(order_details[[#This Row],[OrderID]], orders[[OrderID]:[ShipCountry]], 14, FALSE)</f>
        <v>USA</v>
      </c>
      <c r="J1667" s="1">
        <f>_xlfn.XLOOKUP(order_details[[#This Row],[OrderID]], orders[OrderID], orders[Month])</f>
        <v>3</v>
      </c>
    </row>
    <row r="1668" spans="1:10" x14ac:dyDescent="0.35">
      <c r="A1668">
        <v>10884</v>
      </c>
      <c r="B1668">
        <v>65</v>
      </c>
      <c r="C1668">
        <v>21.05</v>
      </c>
      <c r="D1668">
        <v>12</v>
      </c>
      <c r="E1668">
        <v>0.05</v>
      </c>
      <c r="F1668">
        <v>239.97</v>
      </c>
      <c r="G1668" t="str">
        <f>VLOOKUP(VLOOKUP(order_details[[#This Row],[ProductID]], products[], 4, FALSE), categories[], 2, FALSE)</f>
        <v>Condiments</v>
      </c>
      <c r="H1668">
        <f>VLOOKUP(order_details[[#This Row],[ProductID]], products[], 4, FALSE)</f>
        <v>2</v>
      </c>
      <c r="I1668" t="str">
        <f>VLOOKUP(order_details[[#This Row],[OrderID]], orders[[OrderID]:[ShipCountry]], 14, FALSE)</f>
        <v>USA</v>
      </c>
      <c r="J1668" s="1">
        <f>_xlfn.XLOOKUP(order_details[[#This Row],[OrderID]], orders[OrderID], orders[Month])</f>
        <v>3</v>
      </c>
    </row>
    <row r="1669" spans="1:10" x14ac:dyDescent="0.35">
      <c r="A1669">
        <v>10885</v>
      </c>
      <c r="B1669">
        <v>2</v>
      </c>
      <c r="C1669">
        <v>19</v>
      </c>
      <c r="D1669">
        <v>20</v>
      </c>
      <c r="E1669">
        <v>0</v>
      </c>
      <c r="F1669">
        <v>380</v>
      </c>
      <c r="G1669" t="str">
        <f>VLOOKUP(VLOOKUP(order_details[[#This Row],[ProductID]], products[], 4, FALSE), categories[], 2, FALSE)</f>
        <v>Beverages</v>
      </c>
      <c r="H1669">
        <f>VLOOKUP(order_details[[#This Row],[ProductID]], products[], 4, FALSE)</f>
        <v>1</v>
      </c>
      <c r="I1669" t="str">
        <f>VLOOKUP(order_details[[#This Row],[OrderID]], orders[[OrderID]:[ShipCountry]], 14, FALSE)</f>
        <v>Belgium</v>
      </c>
      <c r="J1669" s="1">
        <f>_xlfn.XLOOKUP(order_details[[#This Row],[OrderID]], orders[OrderID], orders[Month])</f>
        <v>3</v>
      </c>
    </row>
    <row r="1670" spans="1:10" x14ac:dyDescent="0.35">
      <c r="A1670">
        <v>10885</v>
      </c>
      <c r="B1670">
        <v>24</v>
      </c>
      <c r="C1670">
        <v>4.5</v>
      </c>
      <c r="D1670">
        <v>12</v>
      </c>
      <c r="E1670">
        <v>0</v>
      </c>
      <c r="F1670">
        <v>54</v>
      </c>
      <c r="G1670" t="str">
        <f>VLOOKUP(VLOOKUP(order_details[[#This Row],[ProductID]], products[], 4, FALSE), categories[], 2, FALSE)</f>
        <v>Beverages</v>
      </c>
      <c r="H1670">
        <f>VLOOKUP(order_details[[#This Row],[ProductID]], products[], 4, FALSE)</f>
        <v>1</v>
      </c>
      <c r="I1670" t="str">
        <f>VLOOKUP(order_details[[#This Row],[OrderID]], orders[[OrderID]:[ShipCountry]], 14, FALSE)</f>
        <v>Belgium</v>
      </c>
      <c r="J1670" s="1">
        <f>_xlfn.XLOOKUP(order_details[[#This Row],[OrderID]], orders[OrderID], orders[Month])</f>
        <v>3</v>
      </c>
    </row>
    <row r="1671" spans="1:10" x14ac:dyDescent="0.35">
      <c r="A1671">
        <v>10885</v>
      </c>
      <c r="B1671">
        <v>70</v>
      </c>
      <c r="C1671">
        <v>15</v>
      </c>
      <c r="D1671">
        <v>30</v>
      </c>
      <c r="E1671">
        <v>0</v>
      </c>
      <c r="F1671">
        <v>450</v>
      </c>
      <c r="G1671" t="str">
        <f>VLOOKUP(VLOOKUP(order_details[[#This Row],[ProductID]], products[], 4, FALSE), categories[], 2, FALSE)</f>
        <v>Beverages</v>
      </c>
      <c r="H1671">
        <f>VLOOKUP(order_details[[#This Row],[ProductID]], products[], 4, FALSE)</f>
        <v>1</v>
      </c>
      <c r="I1671" t="str">
        <f>VLOOKUP(order_details[[#This Row],[OrderID]], orders[[OrderID]:[ShipCountry]], 14, FALSE)</f>
        <v>Belgium</v>
      </c>
      <c r="J1671" s="1">
        <f>_xlfn.XLOOKUP(order_details[[#This Row],[OrderID]], orders[OrderID], orders[Month])</f>
        <v>3</v>
      </c>
    </row>
    <row r="1672" spans="1:10" x14ac:dyDescent="0.35">
      <c r="A1672">
        <v>10885</v>
      </c>
      <c r="B1672">
        <v>77</v>
      </c>
      <c r="C1672">
        <v>13</v>
      </c>
      <c r="D1672">
        <v>25</v>
      </c>
      <c r="E1672">
        <v>0</v>
      </c>
      <c r="F1672">
        <v>325</v>
      </c>
      <c r="G1672" t="str">
        <f>VLOOKUP(VLOOKUP(order_details[[#This Row],[ProductID]], products[], 4, FALSE), categories[], 2, FALSE)</f>
        <v>Condiments</v>
      </c>
      <c r="H1672">
        <f>VLOOKUP(order_details[[#This Row],[ProductID]], products[], 4, FALSE)</f>
        <v>2</v>
      </c>
      <c r="I1672" t="str">
        <f>VLOOKUP(order_details[[#This Row],[OrderID]], orders[[OrderID]:[ShipCountry]], 14, FALSE)</f>
        <v>Belgium</v>
      </c>
      <c r="J1672" s="1">
        <f>_xlfn.XLOOKUP(order_details[[#This Row],[OrderID]], orders[OrderID], orders[Month])</f>
        <v>3</v>
      </c>
    </row>
    <row r="1673" spans="1:10" x14ac:dyDescent="0.35">
      <c r="A1673">
        <v>10886</v>
      </c>
      <c r="B1673">
        <v>10</v>
      </c>
      <c r="C1673">
        <v>31</v>
      </c>
      <c r="D1673">
        <v>70</v>
      </c>
      <c r="E1673">
        <v>0</v>
      </c>
      <c r="F1673">
        <v>2170</v>
      </c>
      <c r="G1673" t="str">
        <f>VLOOKUP(VLOOKUP(order_details[[#This Row],[ProductID]], products[], 4, FALSE), categories[], 2, FALSE)</f>
        <v>Seafood</v>
      </c>
      <c r="H1673">
        <f>VLOOKUP(order_details[[#This Row],[ProductID]], products[], 4, FALSE)</f>
        <v>8</v>
      </c>
      <c r="I1673" t="str">
        <f>VLOOKUP(order_details[[#This Row],[OrderID]], orders[[OrderID]:[ShipCountry]], 14, FALSE)</f>
        <v>Brazil</v>
      </c>
      <c r="J1673" s="1">
        <f>_xlfn.XLOOKUP(order_details[[#This Row],[OrderID]], orders[OrderID], orders[Month])</f>
        <v>3</v>
      </c>
    </row>
    <row r="1674" spans="1:10" x14ac:dyDescent="0.35">
      <c r="A1674">
        <v>10886</v>
      </c>
      <c r="B1674">
        <v>31</v>
      </c>
      <c r="C1674">
        <v>12.5</v>
      </c>
      <c r="D1674">
        <v>35</v>
      </c>
      <c r="E1674">
        <v>0</v>
      </c>
      <c r="F1674">
        <v>437.5</v>
      </c>
      <c r="G1674" t="str">
        <f>VLOOKUP(VLOOKUP(order_details[[#This Row],[ProductID]], products[], 4, FALSE), categories[], 2, FALSE)</f>
        <v>Dairy Products</v>
      </c>
      <c r="H1674">
        <f>VLOOKUP(order_details[[#This Row],[ProductID]], products[], 4, FALSE)</f>
        <v>4</v>
      </c>
      <c r="I1674" t="str">
        <f>VLOOKUP(order_details[[#This Row],[OrderID]], orders[[OrderID]:[ShipCountry]], 14, FALSE)</f>
        <v>Brazil</v>
      </c>
      <c r="J1674" s="1">
        <f>_xlfn.XLOOKUP(order_details[[#This Row],[OrderID]], orders[OrderID], orders[Month])</f>
        <v>3</v>
      </c>
    </row>
    <row r="1675" spans="1:10" x14ac:dyDescent="0.35">
      <c r="A1675">
        <v>10886</v>
      </c>
      <c r="B1675">
        <v>77</v>
      </c>
      <c r="C1675">
        <v>13</v>
      </c>
      <c r="D1675">
        <v>40</v>
      </c>
      <c r="E1675">
        <v>0</v>
      </c>
      <c r="F1675">
        <v>520</v>
      </c>
      <c r="G1675" t="str">
        <f>VLOOKUP(VLOOKUP(order_details[[#This Row],[ProductID]], products[], 4, FALSE), categories[], 2, FALSE)</f>
        <v>Condiments</v>
      </c>
      <c r="H1675">
        <f>VLOOKUP(order_details[[#This Row],[ProductID]], products[], 4, FALSE)</f>
        <v>2</v>
      </c>
      <c r="I1675" t="str">
        <f>VLOOKUP(order_details[[#This Row],[OrderID]], orders[[OrderID]:[ShipCountry]], 14, FALSE)</f>
        <v>Brazil</v>
      </c>
      <c r="J1675" s="1">
        <f>_xlfn.XLOOKUP(order_details[[#This Row],[OrderID]], orders[OrderID], orders[Month])</f>
        <v>3</v>
      </c>
    </row>
    <row r="1676" spans="1:10" x14ac:dyDescent="0.35">
      <c r="A1676">
        <v>10887</v>
      </c>
      <c r="B1676">
        <v>25</v>
      </c>
      <c r="C1676">
        <v>14</v>
      </c>
      <c r="D1676">
        <v>5</v>
      </c>
      <c r="E1676">
        <v>0</v>
      </c>
      <c r="F1676">
        <v>70</v>
      </c>
      <c r="G1676" t="str">
        <f>VLOOKUP(VLOOKUP(order_details[[#This Row],[ProductID]], products[], 4, FALSE), categories[], 2, FALSE)</f>
        <v>Confections</v>
      </c>
      <c r="H1676">
        <f>VLOOKUP(order_details[[#This Row],[ProductID]], products[], 4, FALSE)</f>
        <v>3</v>
      </c>
      <c r="I1676" t="str">
        <f>VLOOKUP(order_details[[#This Row],[OrderID]], orders[[OrderID]:[ShipCountry]], 14, FALSE)</f>
        <v>Spain</v>
      </c>
      <c r="J1676" s="1">
        <f>_xlfn.XLOOKUP(order_details[[#This Row],[OrderID]], orders[OrderID], orders[Month])</f>
        <v>3</v>
      </c>
    </row>
    <row r="1677" spans="1:10" x14ac:dyDescent="0.35">
      <c r="A1677">
        <v>10888</v>
      </c>
      <c r="B1677">
        <v>2</v>
      </c>
      <c r="C1677">
        <v>19</v>
      </c>
      <c r="D1677">
        <v>20</v>
      </c>
      <c r="E1677">
        <v>0</v>
      </c>
      <c r="F1677">
        <v>380</v>
      </c>
      <c r="G1677" t="str">
        <f>VLOOKUP(VLOOKUP(order_details[[#This Row],[ProductID]], products[], 4, FALSE), categories[], 2, FALSE)</f>
        <v>Beverages</v>
      </c>
      <c r="H1677">
        <f>VLOOKUP(order_details[[#This Row],[ProductID]], products[], 4, FALSE)</f>
        <v>1</v>
      </c>
      <c r="I1677" t="str">
        <f>VLOOKUP(order_details[[#This Row],[OrderID]], orders[[OrderID]:[ShipCountry]], 14, FALSE)</f>
        <v>Spain</v>
      </c>
      <c r="J1677" s="1">
        <f>_xlfn.XLOOKUP(order_details[[#This Row],[OrderID]], orders[OrderID], orders[Month])</f>
        <v>3</v>
      </c>
    </row>
    <row r="1678" spans="1:10" x14ac:dyDescent="0.35">
      <c r="A1678">
        <v>10888</v>
      </c>
      <c r="B1678">
        <v>68</v>
      </c>
      <c r="C1678">
        <v>12.5</v>
      </c>
      <c r="D1678">
        <v>18</v>
      </c>
      <c r="E1678">
        <v>0</v>
      </c>
      <c r="F1678">
        <v>225</v>
      </c>
      <c r="G1678" t="str">
        <f>VLOOKUP(VLOOKUP(order_details[[#This Row],[ProductID]], products[], 4, FALSE), categories[], 2, FALSE)</f>
        <v>Confections</v>
      </c>
      <c r="H1678">
        <f>VLOOKUP(order_details[[#This Row],[ProductID]], products[], 4, FALSE)</f>
        <v>3</v>
      </c>
      <c r="I1678" t="str">
        <f>VLOOKUP(order_details[[#This Row],[OrderID]], orders[[OrderID]:[ShipCountry]], 14, FALSE)</f>
        <v>Spain</v>
      </c>
      <c r="J1678" s="1">
        <f>_xlfn.XLOOKUP(order_details[[#This Row],[OrderID]], orders[OrderID], orders[Month])</f>
        <v>3</v>
      </c>
    </row>
    <row r="1679" spans="1:10" x14ac:dyDescent="0.35">
      <c r="A1679">
        <v>10889</v>
      </c>
      <c r="B1679">
        <v>11</v>
      </c>
      <c r="C1679">
        <v>21</v>
      </c>
      <c r="D1679">
        <v>40</v>
      </c>
      <c r="E1679">
        <v>0</v>
      </c>
      <c r="F1679">
        <v>840</v>
      </c>
      <c r="G1679" t="str">
        <f>VLOOKUP(VLOOKUP(order_details[[#This Row],[ProductID]], products[], 4, FALSE), categories[], 2, FALSE)</f>
        <v>Dairy Products</v>
      </c>
      <c r="H1679">
        <f>VLOOKUP(order_details[[#This Row],[ProductID]], products[], 4, FALSE)</f>
        <v>4</v>
      </c>
      <c r="I1679" t="str">
        <f>VLOOKUP(order_details[[#This Row],[OrderID]], orders[[OrderID]:[ShipCountry]], 14, FALSE)</f>
        <v>USA</v>
      </c>
      <c r="J1679" s="1">
        <f>_xlfn.XLOOKUP(order_details[[#This Row],[OrderID]], orders[OrderID], orders[Month])</f>
        <v>3</v>
      </c>
    </row>
    <row r="1680" spans="1:10" x14ac:dyDescent="0.35">
      <c r="A1680">
        <v>10889</v>
      </c>
      <c r="B1680">
        <v>38</v>
      </c>
      <c r="C1680">
        <v>263.5</v>
      </c>
      <c r="D1680">
        <v>40</v>
      </c>
      <c r="E1680">
        <v>0</v>
      </c>
      <c r="F1680">
        <v>10540</v>
      </c>
      <c r="G1680" t="str">
        <f>VLOOKUP(VLOOKUP(order_details[[#This Row],[ProductID]], products[], 4, FALSE), categories[], 2, FALSE)</f>
        <v>Beverages</v>
      </c>
      <c r="H1680">
        <f>VLOOKUP(order_details[[#This Row],[ProductID]], products[], 4, FALSE)</f>
        <v>1</v>
      </c>
      <c r="I1680" t="str">
        <f>VLOOKUP(order_details[[#This Row],[OrderID]], orders[[OrderID]:[ShipCountry]], 14, FALSE)</f>
        <v>USA</v>
      </c>
      <c r="J1680" s="1">
        <f>_xlfn.XLOOKUP(order_details[[#This Row],[OrderID]], orders[OrderID], orders[Month])</f>
        <v>3</v>
      </c>
    </row>
    <row r="1681" spans="1:10" x14ac:dyDescent="0.35">
      <c r="A1681">
        <v>10890</v>
      </c>
      <c r="B1681">
        <v>17</v>
      </c>
      <c r="C1681">
        <v>39</v>
      </c>
      <c r="D1681">
        <v>15</v>
      </c>
      <c r="E1681">
        <v>0</v>
      </c>
      <c r="F1681">
        <v>585</v>
      </c>
      <c r="G1681" t="str">
        <f>VLOOKUP(VLOOKUP(order_details[[#This Row],[ProductID]], products[], 4, FALSE), categories[], 2, FALSE)</f>
        <v>Meat/Poultry</v>
      </c>
      <c r="H1681">
        <f>VLOOKUP(order_details[[#This Row],[ProductID]], products[], 4, FALSE)</f>
        <v>6</v>
      </c>
      <c r="I1681" t="str">
        <f>VLOOKUP(order_details[[#This Row],[OrderID]], orders[[OrderID]:[ShipCountry]], 14, FALSE)</f>
        <v>France</v>
      </c>
      <c r="J1681" s="1">
        <f>_xlfn.XLOOKUP(order_details[[#This Row],[OrderID]], orders[OrderID], orders[Month])</f>
        <v>3</v>
      </c>
    </row>
    <row r="1682" spans="1:10" x14ac:dyDescent="0.35">
      <c r="A1682">
        <v>10890</v>
      </c>
      <c r="B1682">
        <v>34</v>
      </c>
      <c r="C1682">
        <v>14</v>
      </c>
      <c r="D1682">
        <v>10</v>
      </c>
      <c r="E1682">
        <v>0</v>
      </c>
      <c r="F1682">
        <v>140</v>
      </c>
      <c r="G1682" t="str">
        <f>VLOOKUP(VLOOKUP(order_details[[#This Row],[ProductID]], products[], 4, FALSE), categories[], 2, FALSE)</f>
        <v>Beverages</v>
      </c>
      <c r="H1682">
        <f>VLOOKUP(order_details[[#This Row],[ProductID]], products[], 4, FALSE)</f>
        <v>1</v>
      </c>
      <c r="I1682" t="str">
        <f>VLOOKUP(order_details[[#This Row],[OrderID]], orders[[OrderID]:[ShipCountry]], 14, FALSE)</f>
        <v>France</v>
      </c>
      <c r="J1682" s="1">
        <f>_xlfn.XLOOKUP(order_details[[#This Row],[OrderID]], orders[OrderID], orders[Month])</f>
        <v>3</v>
      </c>
    </row>
    <row r="1683" spans="1:10" x14ac:dyDescent="0.35">
      <c r="A1683">
        <v>10890</v>
      </c>
      <c r="B1683">
        <v>41</v>
      </c>
      <c r="C1683">
        <v>9.65</v>
      </c>
      <c r="D1683">
        <v>14</v>
      </c>
      <c r="E1683">
        <v>0</v>
      </c>
      <c r="F1683">
        <v>135.1</v>
      </c>
      <c r="G1683" t="str">
        <f>VLOOKUP(VLOOKUP(order_details[[#This Row],[ProductID]], products[], 4, FALSE), categories[], 2, FALSE)</f>
        <v>Seafood</v>
      </c>
      <c r="H1683">
        <f>VLOOKUP(order_details[[#This Row],[ProductID]], products[], 4, FALSE)</f>
        <v>8</v>
      </c>
      <c r="I1683" t="str">
        <f>VLOOKUP(order_details[[#This Row],[OrderID]], orders[[OrderID]:[ShipCountry]], 14, FALSE)</f>
        <v>France</v>
      </c>
      <c r="J1683" s="1">
        <f>_xlfn.XLOOKUP(order_details[[#This Row],[OrderID]], orders[OrderID], orders[Month])</f>
        <v>3</v>
      </c>
    </row>
    <row r="1684" spans="1:10" x14ac:dyDescent="0.35">
      <c r="A1684">
        <v>10891</v>
      </c>
      <c r="B1684">
        <v>30</v>
      </c>
      <c r="C1684">
        <v>25.89</v>
      </c>
      <c r="D1684">
        <v>15</v>
      </c>
      <c r="E1684">
        <v>0.05</v>
      </c>
      <c r="F1684">
        <v>368.9325</v>
      </c>
      <c r="G1684" t="str">
        <f>VLOOKUP(VLOOKUP(order_details[[#This Row],[ProductID]], products[], 4, FALSE), categories[], 2, FALSE)</f>
        <v>Seafood</v>
      </c>
      <c r="H1684">
        <f>VLOOKUP(order_details[[#This Row],[ProductID]], products[], 4, FALSE)</f>
        <v>8</v>
      </c>
      <c r="I1684" t="str">
        <f>VLOOKUP(order_details[[#This Row],[OrderID]], orders[[OrderID]:[ShipCountry]], 14, FALSE)</f>
        <v>Germany</v>
      </c>
      <c r="J1684" s="1">
        <f>_xlfn.XLOOKUP(order_details[[#This Row],[OrderID]], orders[OrderID], orders[Month])</f>
        <v>3</v>
      </c>
    </row>
    <row r="1685" spans="1:10" x14ac:dyDescent="0.35">
      <c r="A1685">
        <v>10892</v>
      </c>
      <c r="B1685">
        <v>59</v>
      </c>
      <c r="C1685">
        <v>55</v>
      </c>
      <c r="D1685">
        <v>40</v>
      </c>
      <c r="E1685">
        <v>0.05</v>
      </c>
      <c r="F1685">
        <v>2090</v>
      </c>
      <c r="G1685" t="str">
        <f>VLOOKUP(VLOOKUP(order_details[[#This Row],[ProductID]], products[], 4, FALSE), categories[], 2, FALSE)</f>
        <v>Dairy Products</v>
      </c>
      <c r="H1685">
        <f>VLOOKUP(order_details[[#This Row],[ProductID]], products[], 4, FALSE)</f>
        <v>4</v>
      </c>
      <c r="I1685" t="str">
        <f>VLOOKUP(order_details[[#This Row],[OrderID]], orders[[OrderID]:[ShipCountry]], 14, FALSE)</f>
        <v>Belgium</v>
      </c>
      <c r="J1685" s="1">
        <f>_xlfn.XLOOKUP(order_details[[#This Row],[OrderID]], orders[OrderID], orders[Month])</f>
        <v>3</v>
      </c>
    </row>
    <row r="1686" spans="1:10" x14ac:dyDescent="0.35">
      <c r="A1686">
        <v>10893</v>
      </c>
      <c r="B1686">
        <v>8</v>
      </c>
      <c r="C1686">
        <v>40</v>
      </c>
      <c r="D1686">
        <v>30</v>
      </c>
      <c r="E1686">
        <v>0</v>
      </c>
      <c r="F1686">
        <v>1200</v>
      </c>
      <c r="G1686" t="str">
        <f>VLOOKUP(VLOOKUP(order_details[[#This Row],[ProductID]], products[], 4, FALSE), categories[], 2, FALSE)</f>
        <v>Condiments</v>
      </c>
      <c r="H1686">
        <f>VLOOKUP(order_details[[#This Row],[ProductID]], products[], 4, FALSE)</f>
        <v>2</v>
      </c>
      <c r="I1686" t="str">
        <f>VLOOKUP(order_details[[#This Row],[OrderID]], orders[[OrderID]:[ShipCountry]], 14, FALSE)</f>
        <v>Germany</v>
      </c>
      <c r="J1686" s="1">
        <f>_xlfn.XLOOKUP(order_details[[#This Row],[OrderID]], orders[OrderID], orders[Month])</f>
        <v>3</v>
      </c>
    </row>
    <row r="1687" spans="1:10" x14ac:dyDescent="0.35">
      <c r="A1687">
        <v>10893</v>
      </c>
      <c r="B1687">
        <v>24</v>
      </c>
      <c r="C1687">
        <v>4.5</v>
      </c>
      <c r="D1687">
        <v>10</v>
      </c>
      <c r="E1687">
        <v>0</v>
      </c>
      <c r="F1687">
        <v>45</v>
      </c>
      <c r="G1687" t="str">
        <f>VLOOKUP(VLOOKUP(order_details[[#This Row],[ProductID]], products[], 4, FALSE), categories[], 2, FALSE)</f>
        <v>Beverages</v>
      </c>
      <c r="H1687">
        <f>VLOOKUP(order_details[[#This Row],[ProductID]], products[], 4, FALSE)</f>
        <v>1</v>
      </c>
      <c r="I1687" t="str">
        <f>VLOOKUP(order_details[[#This Row],[OrderID]], orders[[OrderID]:[ShipCountry]], 14, FALSE)</f>
        <v>Germany</v>
      </c>
      <c r="J1687" s="1">
        <f>_xlfn.XLOOKUP(order_details[[#This Row],[OrderID]], orders[OrderID], orders[Month])</f>
        <v>3</v>
      </c>
    </row>
    <row r="1688" spans="1:10" x14ac:dyDescent="0.35">
      <c r="A1688">
        <v>10893</v>
      </c>
      <c r="B1688">
        <v>29</v>
      </c>
      <c r="C1688">
        <v>123.79</v>
      </c>
      <c r="D1688">
        <v>24</v>
      </c>
      <c r="E1688">
        <v>0</v>
      </c>
      <c r="F1688">
        <v>2970.96</v>
      </c>
      <c r="G1688" t="str">
        <f>VLOOKUP(VLOOKUP(order_details[[#This Row],[ProductID]], products[], 4, FALSE), categories[], 2, FALSE)</f>
        <v>Meat/Poultry</v>
      </c>
      <c r="H1688">
        <f>VLOOKUP(order_details[[#This Row],[ProductID]], products[], 4, FALSE)</f>
        <v>6</v>
      </c>
      <c r="I1688" t="str">
        <f>VLOOKUP(order_details[[#This Row],[OrderID]], orders[[OrderID]:[ShipCountry]], 14, FALSE)</f>
        <v>Germany</v>
      </c>
      <c r="J1688" s="1">
        <f>_xlfn.XLOOKUP(order_details[[#This Row],[OrderID]], orders[OrderID], orders[Month])</f>
        <v>3</v>
      </c>
    </row>
    <row r="1689" spans="1:10" x14ac:dyDescent="0.35">
      <c r="A1689">
        <v>10893</v>
      </c>
      <c r="B1689">
        <v>30</v>
      </c>
      <c r="C1689">
        <v>25.89</v>
      </c>
      <c r="D1689">
        <v>35</v>
      </c>
      <c r="E1689">
        <v>0</v>
      </c>
      <c r="F1689">
        <v>906.15</v>
      </c>
      <c r="G1689" t="str">
        <f>VLOOKUP(VLOOKUP(order_details[[#This Row],[ProductID]], products[], 4, FALSE), categories[], 2, FALSE)</f>
        <v>Seafood</v>
      </c>
      <c r="H1689">
        <f>VLOOKUP(order_details[[#This Row],[ProductID]], products[], 4, FALSE)</f>
        <v>8</v>
      </c>
      <c r="I1689" t="str">
        <f>VLOOKUP(order_details[[#This Row],[OrderID]], orders[[OrderID]:[ShipCountry]], 14, FALSE)</f>
        <v>Germany</v>
      </c>
      <c r="J1689" s="1">
        <f>_xlfn.XLOOKUP(order_details[[#This Row],[OrderID]], orders[OrderID], orders[Month])</f>
        <v>3</v>
      </c>
    </row>
    <row r="1690" spans="1:10" x14ac:dyDescent="0.35">
      <c r="A1690">
        <v>10893</v>
      </c>
      <c r="B1690">
        <v>36</v>
      </c>
      <c r="C1690">
        <v>19</v>
      </c>
      <c r="D1690">
        <v>20</v>
      </c>
      <c r="E1690">
        <v>0</v>
      </c>
      <c r="F1690">
        <v>380</v>
      </c>
      <c r="G1690" t="str">
        <f>VLOOKUP(VLOOKUP(order_details[[#This Row],[ProductID]], products[], 4, FALSE), categories[], 2, FALSE)</f>
        <v>Seafood</v>
      </c>
      <c r="H1690">
        <f>VLOOKUP(order_details[[#This Row],[ProductID]], products[], 4, FALSE)</f>
        <v>8</v>
      </c>
      <c r="I1690" t="str">
        <f>VLOOKUP(order_details[[#This Row],[OrderID]], orders[[OrderID]:[ShipCountry]], 14, FALSE)</f>
        <v>Germany</v>
      </c>
      <c r="J1690" s="1">
        <f>_xlfn.XLOOKUP(order_details[[#This Row],[OrderID]], orders[OrderID], orders[Month])</f>
        <v>3</v>
      </c>
    </row>
    <row r="1691" spans="1:10" x14ac:dyDescent="0.35">
      <c r="A1691">
        <v>10894</v>
      </c>
      <c r="B1691">
        <v>13</v>
      </c>
      <c r="C1691">
        <v>6</v>
      </c>
      <c r="D1691">
        <v>28</v>
      </c>
      <c r="E1691">
        <v>0.05</v>
      </c>
      <c r="F1691">
        <v>159.6</v>
      </c>
      <c r="G1691" t="str">
        <f>VLOOKUP(VLOOKUP(order_details[[#This Row],[ProductID]], products[], 4, FALSE), categories[], 2, FALSE)</f>
        <v>Seafood</v>
      </c>
      <c r="H1691">
        <f>VLOOKUP(order_details[[#This Row],[ProductID]], products[], 4, FALSE)</f>
        <v>8</v>
      </c>
      <c r="I1691" t="str">
        <f>VLOOKUP(order_details[[#This Row],[OrderID]], orders[[OrderID]:[ShipCountry]], 14, FALSE)</f>
        <v>USA</v>
      </c>
      <c r="J1691" s="1">
        <f>_xlfn.XLOOKUP(order_details[[#This Row],[OrderID]], orders[OrderID], orders[Month])</f>
        <v>3</v>
      </c>
    </row>
    <row r="1692" spans="1:10" x14ac:dyDescent="0.35">
      <c r="A1692">
        <v>10894</v>
      </c>
      <c r="B1692">
        <v>69</v>
      </c>
      <c r="C1692">
        <v>36</v>
      </c>
      <c r="D1692">
        <v>50</v>
      </c>
      <c r="E1692">
        <v>0.05</v>
      </c>
      <c r="F1692">
        <v>1710</v>
      </c>
      <c r="G1692" t="str">
        <f>VLOOKUP(VLOOKUP(order_details[[#This Row],[ProductID]], products[], 4, FALSE), categories[], 2, FALSE)</f>
        <v>Dairy Products</v>
      </c>
      <c r="H1692">
        <f>VLOOKUP(order_details[[#This Row],[ProductID]], products[], 4, FALSE)</f>
        <v>4</v>
      </c>
      <c r="I1692" t="str">
        <f>VLOOKUP(order_details[[#This Row],[OrderID]], orders[[OrderID]:[ShipCountry]], 14, FALSE)</f>
        <v>USA</v>
      </c>
      <c r="J1692" s="1">
        <f>_xlfn.XLOOKUP(order_details[[#This Row],[OrderID]], orders[OrderID], orders[Month])</f>
        <v>3</v>
      </c>
    </row>
    <row r="1693" spans="1:10" x14ac:dyDescent="0.35">
      <c r="A1693">
        <v>10894</v>
      </c>
      <c r="B1693">
        <v>75</v>
      </c>
      <c r="C1693">
        <v>7.75</v>
      </c>
      <c r="D1693">
        <v>120</v>
      </c>
      <c r="E1693">
        <v>0.05</v>
      </c>
      <c r="F1693">
        <v>883.5</v>
      </c>
      <c r="G1693" t="str">
        <f>VLOOKUP(VLOOKUP(order_details[[#This Row],[ProductID]], products[], 4, FALSE), categories[], 2, FALSE)</f>
        <v>Beverages</v>
      </c>
      <c r="H1693">
        <f>VLOOKUP(order_details[[#This Row],[ProductID]], products[], 4, FALSE)</f>
        <v>1</v>
      </c>
      <c r="I1693" t="str">
        <f>VLOOKUP(order_details[[#This Row],[OrderID]], orders[[OrderID]:[ShipCountry]], 14, FALSE)</f>
        <v>USA</v>
      </c>
      <c r="J1693" s="1">
        <f>_xlfn.XLOOKUP(order_details[[#This Row],[OrderID]], orders[OrderID], orders[Month])</f>
        <v>3</v>
      </c>
    </row>
    <row r="1694" spans="1:10" x14ac:dyDescent="0.35">
      <c r="A1694">
        <v>10895</v>
      </c>
      <c r="B1694">
        <v>24</v>
      </c>
      <c r="C1694">
        <v>4.5</v>
      </c>
      <c r="D1694">
        <v>110</v>
      </c>
      <c r="E1694">
        <v>0</v>
      </c>
      <c r="F1694">
        <v>495</v>
      </c>
      <c r="G1694" t="str">
        <f>VLOOKUP(VLOOKUP(order_details[[#This Row],[ProductID]], products[], 4, FALSE), categories[], 2, FALSE)</f>
        <v>Beverages</v>
      </c>
      <c r="H1694">
        <f>VLOOKUP(order_details[[#This Row],[ProductID]], products[], 4, FALSE)</f>
        <v>1</v>
      </c>
      <c r="I1694" t="str">
        <f>VLOOKUP(order_details[[#This Row],[OrderID]], orders[[OrderID]:[ShipCountry]], 14, FALSE)</f>
        <v>Austria</v>
      </c>
      <c r="J1694" s="1">
        <f>_xlfn.XLOOKUP(order_details[[#This Row],[OrderID]], orders[OrderID], orders[Month])</f>
        <v>3</v>
      </c>
    </row>
    <row r="1695" spans="1:10" x14ac:dyDescent="0.35">
      <c r="A1695">
        <v>10895</v>
      </c>
      <c r="B1695">
        <v>39</v>
      </c>
      <c r="C1695">
        <v>18</v>
      </c>
      <c r="D1695">
        <v>45</v>
      </c>
      <c r="E1695">
        <v>0</v>
      </c>
      <c r="F1695">
        <v>810</v>
      </c>
      <c r="G1695" t="str">
        <f>VLOOKUP(VLOOKUP(order_details[[#This Row],[ProductID]], products[], 4, FALSE), categories[], 2, FALSE)</f>
        <v>Beverages</v>
      </c>
      <c r="H1695">
        <f>VLOOKUP(order_details[[#This Row],[ProductID]], products[], 4, FALSE)</f>
        <v>1</v>
      </c>
      <c r="I1695" t="str">
        <f>VLOOKUP(order_details[[#This Row],[OrderID]], orders[[OrderID]:[ShipCountry]], 14, FALSE)</f>
        <v>Austria</v>
      </c>
      <c r="J1695" s="1">
        <f>_xlfn.XLOOKUP(order_details[[#This Row],[OrderID]], orders[OrderID], orders[Month])</f>
        <v>3</v>
      </c>
    </row>
    <row r="1696" spans="1:10" x14ac:dyDescent="0.35">
      <c r="A1696">
        <v>10895</v>
      </c>
      <c r="B1696">
        <v>40</v>
      </c>
      <c r="C1696">
        <v>18.399999999999999</v>
      </c>
      <c r="D1696">
        <v>91</v>
      </c>
      <c r="E1696">
        <v>0</v>
      </c>
      <c r="F1696">
        <v>1674.3999999999999</v>
      </c>
      <c r="G1696" t="str">
        <f>VLOOKUP(VLOOKUP(order_details[[#This Row],[ProductID]], products[], 4, FALSE), categories[], 2, FALSE)</f>
        <v>Seafood</v>
      </c>
      <c r="H1696">
        <f>VLOOKUP(order_details[[#This Row],[ProductID]], products[], 4, FALSE)</f>
        <v>8</v>
      </c>
      <c r="I1696" t="str">
        <f>VLOOKUP(order_details[[#This Row],[OrderID]], orders[[OrderID]:[ShipCountry]], 14, FALSE)</f>
        <v>Austria</v>
      </c>
      <c r="J1696" s="1">
        <f>_xlfn.XLOOKUP(order_details[[#This Row],[OrderID]], orders[OrderID], orders[Month])</f>
        <v>3</v>
      </c>
    </row>
    <row r="1697" spans="1:10" x14ac:dyDescent="0.35">
      <c r="A1697">
        <v>10895</v>
      </c>
      <c r="B1697">
        <v>60</v>
      </c>
      <c r="C1697">
        <v>34</v>
      </c>
      <c r="D1697">
        <v>100</v>
      </c>
      <c r="E1697">
        <v>0</v>
      </c>
      <c r="F1697">
        <v>3400</v>
      </c>
      <c r="G1697" t="str">
        <f>VLOOKUP(VLOOKUP(order_details[[#This Row],[ProductID]], products[], 4, FALSE), categories[], 2, FALSE)</f>
        <v>Dairy Products</v>
      </c>
      <c r="H1697">
        <f>VLOOKUP(order_details[[#This Row],[ProductID]], products[], 4, FALSE)</f>
        <v>4</v>
      </c>
      <c r="I1697" t="str">
        <f>VLOOKUP(order_details[[#This Row],[OrderID]], orders[[OrderID]:[ShipCountry]], 14, FALSE)</f>
        <v>Austria</v>
      </c>
      <c r="J1697" s="1">
        <f>_xlfn.XLOOKUP(order_details[[#This Row],[OrderID]], orders[OrderID], orders[Month])</f>
        <v>3</v>
      </c>
    </row>
    <row r="1698" spans="1:10" x14ac:dyDescent="0.35">
      <c r="A1698">
        <v>10896</v>
      </c>
      <c r="B1698">
        <v>45</v>
      </c>
      <c r="C1698">
        <v>9.5</v>
      </c>
      <c r="D1698">
        <v>15</v>
      </c>
      <c r="E1698">
        <v>0</v>
      </c>
      <c r="F1698">
        <v>142.5</v>
      </c>
      <c r="G1698" t="str">
        <f>VLOOKUP(VLOOKUP(order_details[[#This Row],[ProductID]], products[], 4, FALSE), categories[], 2, FALSE)</f>
        <v>Seafood</v>
      </c>
      <c r="H1698">
        <f>VLOOKUP(order_details[[#This Row],[ProductID]], products[], 4, FALSE)</f>
        <v>8</v>
      </c>
      <c r="I1698" t="str">
        <f>VLOOKUP(order_details[[#This Row],[OrderID]], orders[[OrderID]:[ShipCountry]], 14, FALSE)</f>
        <v>Belgium</v>
      </c>
      <c r="J1698" s="1">
        <f>_xlfn.XLOOKUP(order_details[[#This Row],[OrderID]], orders[OrderID], orders[Month])</f>
        <v>3</v>
      </c>
    </row>
    <row r="1699" spans="1:10" x14ac:dyDescent="0.35">
      <c r="A1699">
        <v>10896</v>
      </c>
      <c r="B1699">
        <v>56</v>
      </c>
      <c r="C1699">
        <v>38</v>
      </c>
      <c r="D1699">
        <v>16</v>
      </c>
      <c r="E1699">
        <v>0</v>
      </c>
      <c r="F1699">
        <v>608</v>
      </c>
      <c r="G1699" t="str">
        <f>VLOOKUP(VLOOKUP(order_details[[#This Row],[ProductID]], products[], 4, FALSE), categories[], 2, FALSE)</f>
        <v>Grains/Cereals</v>
      </c>
      <c r="H1699">
        <f>VLOOKUP(order_details[[#This Row],[ProductID]], products[], 4, FALSE)</f>
        <v>5</v>
      </c>
      <c r="I1699" t="str">
        <f>VLOOKUP(order_details[[#This Row],[OrderID]], orders[[OrderID]:[ShipCountry]], 14, FALSE)</f>
        <v>Belgium</v>
      </c>
      <c r="J1699" s="1">
        <f>_xlfn.XLOOKUP(order_details[[#This Row],[OrderID]], orders[OrderID], orders[Month])</f>
        <v>3</v>
      </c>
    </row>
    <row r="1700" spans="1:10" x14ac:dyDescent="0.35">
      <c r="A1700">
        <v>10897</v>
      </c>
      <c r="B1700">
        <v>29</v>
      </c>
      <c r="C1700">
        <v>123.79</v>
      </c>
      <c r="D1700">
        <v>80</v>
      </c>
      <c r="E1700">
        <v>0</v>
      </c>
      <c r="F1700">
        <v>9903.2000000000007</v>
      </c>
      <c r="G1700" t="str">
        <f>VLOOKUP(VLOOKUP(order_details[[#This Row],[ProductID]], products[], 4, FALSE), categories[], 2, FALSE)</f>
        <v>Meat/Poultry</v>
      </c>
      <c r="H1700">
        <f>VLOOKUP(order_details[[#This Row],[ProductID]], products[], 4, FALSE)</f>
        <v>6</v>
      </c>
      <c r="I1700" t="str">
        <f>VLOOKUP(order_details[[#This Row],[OrderID]], orders[[OrderID]:[ShipCountry]], 14, FALSE)</f>
        <v>Ireland</v>
      </c>
      <c r="J1700" s="1">
        <f>_xlfn.XLOOKUP(order_details[[#This Row],[OrderID]], orders[OrderID], orders[Month])</f>
        <v>3</v>
      </c>
    </row>
    <row r="1701" spans="1:10" x14ac:dyDescent="0.35">
      <c r="A1701">
        <v>10897</v>
      </c>
      <c r="B1701">
        <v>30</v>
      </c>
      <c r="C1701">
        <v>25.89</v>
      </c>
      <c r="D1701">
        <v>36</v>
      </c>
      <c r="E1701">
        <v>0</v>
      </c>
      <c r="F1701">
        <v>932.04</v>
      </c>
      <c r="G1701" t="str">
        <f>VLOOKUP(VLOOKUP(order_details[[#This Row],[ProductID]], products[], 4, FALSE), categories[], 2, FALSE)</f>
        <v>Seafood</v>
      </c>
      <c r="H1701">
        <f>VLOOKUP(order_details[[#This Row],[ProductID]], products[], 4, FALSE)</f>
        <v>8</v>
      </c>
      <c r="I1701" t="str">
        <f>VLOOKUP(order_details[[#This Row],[OrderID]], orders[[OrderID]:[ShipCountry]], 14, FALSE)</f>
        <v>Ireland</v>
      </c>
      <c r="J1701" s="1">
        <f>_xlfn.XLOOKUP(order_details[[#This Row],[OrderID]], orders[OrderID], orders[Month])</f>
        <v>3</v>
      </c>
    </row>
    <row r="1702" spans="1:10" x14ac:dyDescent="0.35">
      <c r="A1702">
        <v>10898</v>
      </c>
      <c r="B1702">
        <v>13</v>
      </c>
      <c r="C1702">
        <v>6</v>
      </c>
      <c r="D1702">
        <v>5</v>
      </c>
      <c r="E1702">
        <v>0</v>
      </c>
      <c r="F1702">
        <v>30</v>
      </c>
      <c r="G1702" t="str">
        <f>VLOOKUP(VLOOKUP(order_details[[#This Row],[ProductID]], products[], 4, FALSE), categories[], 2, FALSE)</f>
        <v>Seafood</v>
      </c>
      <c r="H1702">
        <f>VLOOKUP(order_details[[#This Row],[ProductID]], products[], 4, FALSE)</f>
        <v>8</v>
      </c>
      <c r="I1702" t="str">
        <f>VLOOKUP(order_details[[#This Row],[OrderID]], orders[[OrderID]:[ShipCountry]], 14, FALSE)</f>
        <v>Argentina</v>
      </c>
      <c r="J1702" s="1">
        <f>_xlfn.XLOOKUP(order_details[[#This Row],[OrderID]], orders[OrderID], orders[Month])</f>
        <v>3</v>
      </c>
    </row>
    <row r="1703" spans="1:10" x14ac:dyDescent="0.35">
      <c r="A1703">
        <v>10899</v>
      </c>
      <c r="B1703">
        <v>39</v>
      </c>
      <c r="C1703">
        <v>18</v>
      </c>
      <c r="D1703">
        <v>8</v>
      </c>
      <c r="E1703">
        <v>0.15</v>
      </c>
      <c r="F1703">
        <v>122.39999999999999</v>
      </c>
      <c r="G1703" t="str">
        <f>VLOOKUP(VLOOKUP(order_details[[#This Row],[ProductID]], products[], 4, FALSE), categories[], 2, FALSE)</f>
        <v>Beverages</v>
      </c>
      <c r="H1703">
        <f>VLOOKUP(order_details[[#This Row],[ProductID]], products[], 4, FALSE)</f>
        <v>1</v>
      </c>
      <c r="I1703" t="str">
        <f>VLOOKUP(order_details[[#This Row],[OrderID]], orders[[OrderID]:[ShipCountry]], 14, FALSE)</f>
        <v>Venezuela</v>
      </c>
      <c r="J1703" s="1">
        <f>_xlfn.XLOOKUP(order_details[[#This Row],[OrderID]], orders[OrderID], orders[Month])</f>
        <v>3</v>
      </c>
    </row>
    <row r="1704" spans="1:10" x14ac:dyDescent="0.35">
      <c r="A1704">
        <v>10900</v>
      </c>
      <c r="B1704">
        <v>70</v>
      </c>
      <c r="C1704">
        <v>15</v>
      </c>
      <c r="D1704">
        <v>3</v>
      </c>
      <c r="E1704">
        <v>0.25</v>
      </c>
      <c r="F1704">
        <v>33.75</v>
      </c>
      <c r="G1704" t="str">
        <f>VLOOKUP(VLOOKUP(order_details[[#This Row],[ProductID]], products[], 4, FALSE), categories[], 2, FALSE)</f>
        <v>Beverages</v>
      </c>
      <c r="H1704">
        <f>VLOOKUP(order_details[[#This Row],[ProductID]], products[], 4, FALSE)</f>
        <v>1</v>
      </c>
      <c r="I1704" t="str">
        <f>VLOOKUP(order_details[[#This Row],[OrderID]], orders[[OrderID]:[ShipCountry]], 14, FALSE)</f>
        <v>Brazil</v>
      </c>
      <c r="J1704" s="1">
        <f>_xlfn.XLOOKUP(order_details[[#This Row],[OrderID]], orders[OrderID], orders[Month])</f>
        <v>3</v>
      </c>
    </row>
    <row r="1705" spans="1:10" x14ac:dyDescent="0.35">
      <c r="A1705">
        <v>10901</v>
      </c>
      <c r="B1705">
        <v>41</v>
      </c>
      <c r="C1705">
        <v>9.65</v>
      </c>
      <c r="D1705">
        <v>30</v>
      </c>
      <c r="E1705">
        <v>0</v>
      </c>
      <c r="F1705">
        <v>289.5</v>
      </c>
      <c r="G1705" t="str">
        <f>VLOOKUP(VLOOKUP(order_details[[#This Row],[ProductID]], products[], 4, FALSE), categories[], 2, FALSE)</f>
        <v>Seafood</v>
      </c>
      <c r="H1705">
        <f>VLOOKUP(order_details[[#This Row],[ProductID]], products[], 4, FALSE)</f>
        <v>8</v>
      </c>
      <c r="I1705" t="str">
        <f>VLOOKUP(order_details[[#This Row],[OrderID]], orders[[OrderID]:[ShipCountry]], 14, FALSE)</f>
        <v>Venezuela</v>
      </c>
      <c r="J1705" s="1">
        <f>_xlfn.XLOOKUP(order_details[[#This Row],[OrderID]], orders[OrderID], orders[Month])</f>
        <v>3</v>
      </c>
    </row>
    <row r="1706" spans="1:10" x14ac:dyDescent="0.35">
      <c r="A1706">
        <v>10901</v>
      </c>
      <c r="B1706">
        <v>71</v>
      </c>
      <c r="C1706">
        <v>21.5</v>
      </c>
      <c r="D1706">
        <v>30</v>
      </c>
      <c r="E1706">
        <v>0</v>
      </c>
      <c r="F1706">
        <v>645</v>
      </c>
      <c r="G1706" t="str">
        <f>VLOOKUP(VLOOKUP(order_details[[#This Row],[ProductID]], products[], 4, FALSE), categories[], 2, FALSE)</f>
        <v>Dairy Products</v>
      </c>
      <c r="H1706">
        <f>VLOOKUP(order_details[[#This Row],[ProductID]], products[], 4, FALSE)</f>
        <v>4</v>
      </c>
      <c r="I1706" t="str">
        <f>VLOOKUP(order_details[[#This Row],[OrderID]], orders[[OrderID]:[ShipCountry]], 14, FALSE)</f>
        <v>Venezuela</v>
      </c>
      <c r="J1706" s="1">
        <f>_xlfn.XLOOKUP(order_details[[#This Row],[OrderID]], orders[OrderID], orders[Month])</f>
        <v>3</v>
      </c>
    </row>
    <row r="1707" spans="1:10" x14ac:dyDescent="0.35">
      <c r="A1707">
        <v>10902</v>
      </c>
      <c r="B1707">
        <v>55</v>
      </c>
      <c r="C1707">
        <v>24</v>
      </c>
      <c r="D1707">
        <v>30</v>
      </c>
      <c r="E1707">
        <v>0.15</v>
      </c>
      <c r="F1707">
        <v>612</v>
      </c>
      <c r="G1707" t="str">
        <f>VLOOKUP(VLOOKUP(order_details[[#This Row],[ProductID]], products[], 4, FALSE), categories[], 2, FALSE)</f>
        <v>Meat/Poultry</v>
      </c>
      <c r="H1707">
        <f>VLOOKUP(order_details[[#This Row],[ProductID]], products[], 4, FALSE)</f>
        <v>6</v>
      </c>
      <c r="I1707" t="str">
        <f>VLOOKUP(order_details[[#This Row],[OrderID]], orders[[OrderID]:[ShipCountry]], 14, FALSE)</f>
        <v>Sweden</v>
      </c>
      <c r="J1707" s="1">
        <f>_xlfn.XLOOKUP(order_details[[#This Row],[OrderID]], orders[OrderID], orders[Month])</f>
        <v>3</v>
      </c>
    </row>
    <row r="1708" spans="1:10" x14ac:dyDescent="0.35">
      <c r="A1708">
        <v>10902</v>
      </c>
      <c r="B1708">
        <v>62</v>
      </c>
      <c r="C1708">
        <v>49.3</v>
      </c>
      <c r="D1708">
        <v>6</v>
      </c>
      <c r="E1708">
        <v>0.15</v>
      </c>
      <c r="F1708">
        <v>251.42999999999995</v>
      </c>
      <c r="G1708" t="str">
        <f>VLOOKUP(VLOOKUP(order_details[[#This Row],[ProductID]], products[], 4, FALSE), categories[], 2, FALSE)</f>
        <v>Confections</v>
      </c>
      <c r="H1708">
        <f>VLOOKUP(order_details[[#This Row],[ProductID]], products[], 4, FALSE)</f>
        <v>3</v>
      </c>
      <c r="I1708" t="str">
        <f>VLOOKUP(order_details[[#This Row],[OrderID]], orders[[OrderID]:[ShipCountry]], 14, FALSE)</f>
        <v>Sweden</v>
      </c>
      <c r="J1708" s="1">
        <f>_xlfn.XLOOKUP(order_details[[#This Row],[OrderID]], orders[OrderID], orders[Month])</f>
        <v>3</v>
      </c>
    </row>
    <row r="1709" spans="1:10" x14ac:dyDescent="0.35">
      <c r="A1709">
        <v>10903</v>
      </c>
      <c r="B1709">
        <v>13</v>
      </c>
      <c r="C1709">
        <v>6</v>
      </c>
      <c r="D1709">
        <v>40</v>
      </c>
      <c r="E1709">
        <v>0</v>
      </c>
      <c r="F1709">
        <v>240</v>
      </c>
      <c r="G1709" t="str">
        <f>VLOOKUP(VLOOKUP(order_details[[#This Row],[ProductID]], products[], 4, FALSE), categories[], 2, FALSE)</f>
        <v>Seafood</v>
      </c>
      <c r="H1709">
        <f>VLOOKUP(order_details[[#This Row],[ProductID]], products[], 4, FALSE)</f>
        <v>8</v>
      </c>
      <c r="I1709" t="str">
        <f>VLOOKUP(order_details[[#This Row],[OrderID]], orders[[OrderID]:[ShipCountry]], 14, FALSE)</f>
        <v>Brazil</v>
      </c>
      <c r="J1709" s="1">
        <f>_xlfn.XLOOKUP(order_details[[#This Row],[OrderID]], orders[OrderID], orders[Month])</f>
        <v>3</v>
      </c>
    </row>
    <row r="1710" spans="1:10" x14ac:dyDescent="0.35">
      <c r="A1710">
        <v>10903</v>
      </c>
      <c r="B1710">
        <v>65</v>
      </c>
      <c r="C1710">
        <v>21.05</v>
      </c>
      <c r="D1710">
        <v>21</v>
      </c>
      <c r="E1710">
        <v>0</v>
      </c>
      <c r="F1710">
        <v>442.05</v>
      </c>
      <c r="G1710" t="str">
        <f>VLOOKUP(VLOOKUP(order_details[[#This Row],[ProductID]], products[], 4, FALSE), categories[], 2, FALSE)</f>
        <v>Condiments</v>
      </c>
      <c r="H1710">
        <f>VLOOKUP(order_details[[#This Row],[ProductID]], products[], 4, FALSE)</f>
        <v>2</v>
      </c>
      <c r="I1710" t="str">
        <f>VLOOKUP(order_details[[#This Row],[OrderID]], orders[[OrderID]:[ShipCountry]], 14, FALSE)</f>
        <v>Brazil</v>
      </c>
      <c r="J1710" s="1">
        <f>_xlfn.XLOOKUP(order_details[[#This Row],[OrderID]], orders[OrderID], orders[Month])</f>
        <v>3</v>
      </c>
    </row>
    <row r="1711" spans="1:10" x14ac:dyDescent="0.35">
      <c r="A1711">
        <v>10903</v>
      </c>
      <c r="B1711">
        <v>68</v>
      </c>
      <c r="C1711">
        <v>12.5</v>
      </c>
      <c r="D1711">
        <v>20</v>
      </c>
      <c r="E1711">
        <v>0</v>
      </c>
      <c r="F1711">
        <v>250</v>
      </c>
      <c r="G1711" t="str">
        <f>VLOOKUP(VLOOKUP(order_details[[#This Row],[ProductID]], products[], 4, FALSE), categories[], 2, FALSE)</f>
        <v>Confections</v>
      </c>
      <c r="H1711">
        <f>VLOOKUP(order_details[[#This Row],[ProductID]], products[], 4, FALSE)</f>
        <v>3</v>
      </c>
      <c r="I1711" t="str">
        <f>VLOOKUP(order_details[[#This Row],[OrderID]], orders[[OrderID]:[ShipCountry]], 14, FALSE)</f>
        <v>Brazil</v>
      </c>
      <c r="J1711" s="1">
        <f>_xlfn.XLOOKUP(order_details[[#This Row],[OrderID]], orders[OrderID], orders[Month])</f>
        <v>3</v>
      </c>
    </row>
    <row r="1712" spans="1:10" x14ac:dyDescent="0.35">
      <c r="A1712">
        <v>10904</v>
      </c>
      <c r="B1712">
        <v>58</v>
      </c>
      <c r="C1712">
        <v>13.25</v>
      </c>
      <c r="D1712">
        <v>15</v>
      </c>
      <c r="E1712">
        <v>0</v>
      </c>
      <c r="F1712">
        <v>198.75</v>
      </c>
      <c r="G1712" t="str">
        <f>VLOOKUP(VLOOKUP(order_details[[#This Row],[ProductID]], products[], 4, FALSE), categories[], 2, FALSE)</f>
        <v>Seafood</v>
      </c>
      <c r="H1712">
        <f>VLOOKUP(order_details[[#This Row],[ProductID]], products[], 4, FALSE)</f>
        <v>8</v>
      </c>
      <c r="I1712" t="str">
        <f>VLOOKUP(order_details[[#This Row],[OrderID]], orders[[OrderID]:[ShipCountry]], 14, FALSE)</f>
        <v>USA</v>
      </c>
      <c r="J1712" s="1">
        <f>_xlfn.XLOOKUP(order_details[[#This Row],[OrderID]], orders[OrderID], orders[Month])</f>
        <v>3</v>
      </c>
    </row>
    <row r="1713" spans="1:10" x14ac:dyDescent="0.35">
      <c r="A1713">
        <v>10904</v>
      </c>
      <c r="B1713">
        <v>62</v>
      </c>
      <c r="C1713">
        <v>49.3</v>
      </c>
      <c r="D1713">
        <v>35</v>
      </c>
      <c r="E1713">
        <v>0</v>
      </c>
      <c r="F1713">
        <v>1725.5</v>
      </c>
      <c r="G1713" t="str">
        <f>VLOOKUP(VLOOKUP(order_details[[#This Row],[ProductID]], products[], 4, FALSE), categories[], 2, FALSE)</f>
        <v>Confections</v>
      </c>
      <c r="H1713">
        <f>VLOOKUP(order_details[[#This Row],[ProductID]], products[], 4, FALSE)</f>
        <v>3</v>
      </c>
      <c r="I1713" t="str">
        <f>VLOOKUP(order_details[[#This Row],[OrderID]], orders[[OrderID]:[ShipCountry]], 14, FALSE)</f>
        <v>USA</v>
      </c>
      <c r="J1713" s="1">
        <f>_xlfn.XLOOKUP(order_details[[#This Row],[OrderID]], orders[OrderID], orders[Month])</f>
        <v>3</v>
      </c>
    </row>
    <row r="1714" spans="1:10" x14ac:dyDescent="0.35">
      <c r="A1714">
        <v>10905</v>
      </c>
      <c r="B1714">
        <v>1</v>
      </c>
      <c r="C1714">
        <v>18</v>
      </c>
      <c r="D1714">
        <v>20</v>
      </c>
      <c r="E1714">
        <v>0.05</v>
      </c>
      <c r="F1714">
        <v>342</v>
      </c>
      <c r="G1714" t="str">
        <f>VLOOKUP(VLOOKUP(order_details[[#This Row],[ProductID]], products[], 4, FALSE), categories[], 2, FALSE)</f>
        <v>Beverages</v>
      </c>
      <c r="H1714">
        <f>VLOOKUP(order_details[[#This Row],[ProductID]], products[], 4, FALSE)</f>
        <v>1</v>
      </c>
      <c r="I1714" t="str">
        <f>VLOOKUP(order_details[[#This Row],[OrderID]], orders[[OrderID]:[ShipCountry]], 14, FALSE)</f>
        <v>Brazil</v>
      </c>
      <c r="J1714" s="1">
        <f>_xlfn.XLOOKUP(order_details[[#This Row],[OrderID]], orders[OrderID], orders[Month])</f>
        <v>3</v>
      </c>
    </row>
    <row r="1715" spans="1:10" x14ac:dyDescent="0.35">
      <c r="A1715">
        <v>10906</v>
      </c>
      <c r="B1715">
        <v>61</v>
      </c>
      <c r="C1715">
        <v>28.5</v>
      </c>
      <c r="D1715">
        <v>15</v>
      </c>
      <c r="E1715">
        <v>0</v>
      </c>
      <c r="F1715">
        <v>427.5</v>
      </c>
      <c r="G1715" t="str">
        <f>VLOOKUP(VLOOKUP(order_details[[#This Row],[ProductID]], products[], 4, FALSE), categories[], 2, FALSE)</f>
        <v>Condiments</v>
      </c>
      <c r="H1715">
        <f>VLOOKUP(order_details[[#This Row],[ProductID]], products[], 4, FALSE)</f>
        <v>2</v>
      </c>
      <c r="I1715" t="str">
        <f>VLOOKUP(order_details[[#This Row],[OrderID]], orders[[OrderID]:[ShipCountry]], 14, FALSE)</f>
        <v>Poland</v>
      </c>
      <c r="J1715" s="1">
        <f>_xlfn.XLOOKUP(order_details[[#This Row],[OrderID]], orders[OrderID], orders[Month])</f>
        <v>3</v>
      </c>
    </row>
    <row r="1716" spans="1:10" x14ac:dyDescent="0.35">
      <c r="A1716">
        <v>10907</v>
      </c>
      <c r="B1716">
        <v>75</v>
      </c>
      <c r="C1716">
        <v>7.75</v>
      </c>
      <c r="D1716">
        <v>14</v>
      </c>
      <c r="E1716">
        <v>0</v>
      </c>
      <c r="F1716">
        <v>108.5</v>
      </c>
      <c r="G1716" t="str">
        <f>VLOOKUP(VLOOKUP(order_details[[#This Row],[ProductID]], products[], 4, FALSE), categories[], 2, FALSE)</f>
        <v>Beverages</v>
      </c>
      <c r="H1716">
        <f>VLOOKUP(order_details[[#This Row],[ProductID]], products[], 4, FALSE)</f>
        <v>1</v>
      </c>
      <c r="I1716" t="str">
        <f>VLOOKUP(order_details[[#This Row],[OrderID]], orders[[OrderID]:[ShipCountry]], 14, FALSE)</f>
        <v>France</v>
      </c>
      <c r="J1716" s="1">
        <f>_xlfn.XLOOKUP(order_details[[#This Row],[OrderID]], orders[OrderID], orders[Month])</f>
        <v>3</v>
      </c>
    </row>
    <row r="1717" spans="1:10" x14ac:dyDescent="0.35">
      <c r="A1717">
        <v>10908</v>
      </c>
      <c r="B1717">
        <v>7</v>
      </c>
      <c r="C1717">
        <v>30</v>
      </c>
      <c r="D1717">
        <v>20</v>
      </c>
      <c r="E1717">
        <v>0.05</v>
      </c>
      <c r="F1717">
        <v>570</v>
      </c>
      <c r="G1717" t="str">
        <f>VLOOKUP(VLOOKUP(order_details[[#This Row],[ProductID]], products[], 4, FALSE), categories[], 2, FALSE)</f>
        <v>Produce</v>
      </c>
      <c r="H1717">
        <f>VLOOKUP(order_details[[#This Row],[ProductID]], products[], 4, FALSE)</f>
        <v>7</v>
      </c>
      <c r="I1717" t="str">
        <f>VLOOKUP(order_details[[#This Row],[OrderID]], orders[[OrderID]:[ShipCountry]], 14, FALSE)</f>
        <v>Italy</v>
      </c>
      <c r="J1717" s="1">
        <f>_xlfn.XLOOKUP(order_details[[#This Row],[OrderID]], orders[OrderID], orders[Month])</f>
        <v>3</v>
      </c>
    </row>
    <row r="1718" spans="1:10" x14ac:dyDescent="0.35">
      <c r="A1718">
        <v>10908</v>
      </c>
      <c r="B1718">
        <v>52</v>
      </c>
      <c r="C1718">
        <v>7</v>
      </c>
      <c r="D1718">
        <v>14</v>
      </c>
      <c r="E1718">
        <v>0.05</v>
      </c>
      <c r="F1718">
        <v>93.1</v>
      </c>
      <c r="G1718" t="str">
        <f>VLOOKUP(VLOOKUP(order_details[[#This Row],[ProductID]], products[], 4, FALSE), categories[], 2, FALSE)</f>
        <v>Grains/Cereals</v>
      </c>
      <c r="H1718">
        <f>VLOOKUP(order_details[[#This Row],[ProductID]], products[], 4, FALSE)</f>
        <v>5</v>
      </c>
      <c r="I1718" t="str">
        <f>VLOOKUP(order_details[[#This Row],[OrderID]], orders[[OrderID]:[ShipCountry]], 14, FALSE)</f>
        <v>Italy</v>
      </c>
      <c r="J1718" s="1">
        <f>_xlfn.XLOOKUP(order_details[[#This Row],[OrderID]], orders[OrderID], orders[Month])</f>
        <v>3</v>
      </c>
    </row>
    <row r="1719" spans="1:10" x14ac:dyDescent="0.35">
      <c r="A1719">
        <v>10909</v>
      </c>
      <c r="B1719">
        <v>7</v>
      </c>
      <c r="C1719">
        <v>30</v>
      </c>
      <c r="D1719">
        <v>12</v>
      </c>
      <c r="E1719">
        <v>0</v>
      </c>
      <c r="F1719">
        <v>360</v>
      </c>
      <c r="G1719" t="str">
        <f>VLOOKUP(VLOOKUP(order_details[[#This Row],[ProductID]], products[], 4, FALSE), categories[], 2, FALSE)</f>
        <v>Produce</v>
      </c>
      <c r="H1719">
        <f>VLOOKUP(order_details[[#This Row],[ProductID]], products[], 4, FALSE)</f>
        <v>7</v>
      </c>
      <c r="I1719" t="str">
        <f>VLOOKUP(order_details[[#This Row],[OrderID]], orders[[OrderID]:[ShipCountry]], 14, FALSE)</f>
        <v>Norway</v>
      </c>
      <c r="J1719" s="1">
        <f>_xlfn.XLOOKUP(order_details[[#This Row],[OrderID]], orders[OrderID], orders[Month])</f>
        <v>3</v>
      </c>
    </row>
    <row r="1720" spans="1:10" x14ac:dyDescent="0.35">
      <c r="A1720">
        <v>10909</v>
      </c>
      <c r="B1720">
        <v>16</v>
      </c>
      <c r="C1720">
        <v>17.45</v>
      </c>
      <c r="D1720">
        <v>15</v>
      </c>
      <c r="E1720">
        <v>0</v>
      </c>
      <c r="F1720">
        <v>261.75</v>
      </c>
      <c r="G1720" t="str">
        <f>VLOOKUP(VLOOKUP(order_details[[#This Row],[ProductID]], products[], 4, FALSE), categories[], 2, FALSE)</f>
        <v>Confections</v>
      </c>
      <c r="H1720">
        <f>VLOOKUP(order_details[[#This Row],[ProductID]], products[], 4, FALSE)</f>
        <v>3</v>
      </c>
      <c r="I1720" t="str">
        <f>VLOOKUP(order_details[[#This Row],[OrderID]], orders[[OrderID]:[ShipCountry]], 14, FALSE)</f>
        <v>Norway</v>
      </c>
      <c r="J1720" s="1">
        <f>_xlfn.XLOOKUP(order_details[[#This Row],[OrderID]], orders[OrderID], orders[Month])</f>
        <v>3</v>
      </c>
    </row>
    <row r="1721" spans="1:10" x14ac:dyDescent="0.35">
      <c r="A1721">
        <v>10909</v>
      </c>
      <c r="B1721">
        <v>41</v>
      </c>
      <c r="C1721">
        <v>9.65</v>
      </c>
      <c r="D1721">
        <v>5</v>
      </c>
      <c r="E1721">
        <v>0</v>
      </c>
      <c r="F1721">
        <v>48.25</v>
      </c>
      <c r="G1721" t="str">
        <f>VLOOKUP(VLOOKUP(order_details[[#This Row],[ProductID]], products[], 4, FALSE), categories[], 2, FALSE)</f>
        <v>Seafood</v>
      </c>
      <c r="H1721">
        <f>VLOOKUP(order_details[[#This Row],[ProductID]], products[], 4, FALSE)</f>
        <v>8</v>
      </c>
      <c r="I1721" t="str">
        <f>VLOOKUP(order_details[[#This Row],[OrderID]], orders[[OrderID]:[ShipCountry]], 14, FALSE)</f>
        <v>Norway</v>
      </c>
      <c r="J1721" s="1">
        <f>_xlfn.XLOOKUP(order_details[[#This Row],[OrderID]], orders[OrderID], orders[Month])</f>
        <v>3</v>
      </c>
    </row>
    <row r="1722" spans="1:10" x14ac:dyDescent="0.35">
      <c r="A1722">
        <v>10910</v>
      </c>
      <c r="B1722">
        <v>19</v>
      </c>
      <c r="C1722">
        <v>9.1999999999999993</v>
      </c>
      <c r="D1722">
        <v>12</v>
      </c>
      <c r="E1722">
        <v>0</v>
      </c>
      <c r="F1722">
        <v>110.39999999999999</v>
      </c>
      <c r="G1722" t="str">
        <f>VLOOKUP(VLOOKUP(order_details[[#This Row],[ProductID]], products[], 4, FALSE), categories[], 2, FALSE)</f>
        <v>Confections</v>
      </c>
      <c r="H1722">
        <f>VLOOKUP(order_details[[#This Row],[ProductID]], products[], 4, FALSE)</f>
        <v>3</v>
      </c>
      <c r="I1722" t="str">
        <f>VLOOKUP(order_details[[#This Row],[OrderID]], orders[[OrderID]:[ShipCountry]], 14, FALSE)</f>
        <v>Finland</v>
      </c>
      <c r="J1722" s="1">
        <f>_xlfn.XLOOKUP(order_details[[#This Row],[OrderID]], orders[OrderID], orders[Month])</f>
        <v>3</v>
      </c>
    </row>
    <row r="1723" spans="1:10" x14ac:dyDescent="0.35">
      <c r="A1723">
        <v>10910</v>
      </c>
      <c r="B1723">
        <v>49</v>
      </c>
      <c r="C1723">
        <v>20</v>
      </c>
      <c r="D1723">
        <v>10</v>
      </c>
      <c r="E1723">
        <v>0</v>
      </c>
      <c r="F1723">
        <v>200</v>
      </c>
      <c r="G1723" t="str">
        <f>VLOOKUP(VLOOKUP(order_details[[#This Row],[ProductID]], products[], 4, FALSE), categories[], 2, FALSE)</f>
        <v>Confections</v>
      </c>
      <c r="H1723">
        <f>VLOOKUP(order_details[[#This Row],[ProductID]], products[], 4, FALSE)</f>
        <v>3</v>
      </c>
      <c r="I1723" t="str">
        <f>VLOOKUP(order_details[[#This Row],[OrderID]], orders[[OrderID]:[ShipCountry]], 14, FALSE)</f>
        <v>Finland</v>
      </c>
      <c r="J1723" s="1">
        <f>_xlfn.XLOOKUP(order_details[[#This Row],[OrderID]], orders[OrderID], orders[Month])</f>
        <v>3</v>
      </c>
    </row>
    <row r="1724" spans="1:10" x14ac:dyDescent="0.35">
      <c r="A1724">
        <v>10910</v>
      </c>
      <c r="B1724">
        <v>61</v>
      </c>
      <c r="C1724">
        <v>28.5</v>
      </c>
      <c r="D1724">
        <v>5</v>
      </c>
      <c r="E1724">
        <v>0</v>
      </c>
      <c r="F1724">
        <v>142.5</v>
      </c>
      <c r="G1724" t="str">
        <f>VLOOKUP(VLOOKUP(order_details[[#This Row],[ProductID]], products[], 4, FALSE), categories[], 2, FALSE)</f>
        <v>Condiments</v>
      </c>
      <c r="H1724">
        <f>VLOOKUP(order_details[[#This Row],[ProductID]], products[], 4, FALSE)</f>
        <v>2</v>
      </c>
      <c r="I1724" t="str">
        <f>VLOOKUP(order_details[[#This Row],[OrderID]], orders[[OrderID]:[ShipCountry]], 14, FALSE)</f>
        <v>Finland</v>
      </c>
      <c r="J1724" s="1">
        <f>_xlfn.XLOOKUP(order_details[[#This Row],[OrderID]], orders[OrderID], orders[Month])</f>
        <v>3</v>
      </c>
    </row>
    <row r="1725" spans="1:10" x14ac:dyDescent="0.35">
      <c r="A1725">
        <v>10911</v>
      </c>
      <c r="B1725">
        <v>1</v>
      </c>
      <c r="C1725">
        <v>18</v>
      </c>
      <c r="D1725">
        <v>10</v>
      </c>
      <c r="E1725">
        <v>0</v>
      </c>
      <c r="F1725">
        <v>180</v>
      </c>
      <c r="G1725" t="str">
        <f>VLOOKUP(VLOOKUP(order_details[[#This Row],[ProductID]], products[], 4, FALSE), categories[], 2, FALSE)</f>
        <v>Beverages</v>
      </c>
      <c r="H1725">
        <f>VLOOKUP(order_details[[#This Row],[ProductID]], products[], 4, FALSE)</f>
        <v>1</v>
      </c>
      <c r="I1725" t="str">
        <f>VLOOKUP(order_details[[#This Row],[OrderID]], orders[[OrderID]:[ShipCountry]], 14, FALSE)</f>
        <v>Spain</v>
      </c>
      <c r="J1725" s="1">
        <f>_xlfn.XLOOKUP(order_details[[#This Row],[OrderID]], orders[OrderID], orders[Month])</f>
        <v>3</v>
      </c>
    </row>
    <row r="1726" spans="1:10" x14ac:dyDescent="0.35">
      <c r="A1726">
        <v>10911</v>
      </c>
      <c r="B1726">
        <v>17</v>
      </c>
      <c r="C1726">
        <v>39</v>
      </c>
      <c r="D1726">
        <v>12</v>
      </c>
      <c r="E1726">
        <v>0</v>
      </c>
      <c r="F1726">
        <v>468</v>
      </c>
      <c r="G1726" t="str">
        <f>VLOOKUP(VLOOKUP(order_details[[#This Row],[ProductID]], products[], 4, FALSE), categories[], 2, FALSE)</f>
        <v>Meat/Poultry</v>
      </c>
      <c r="H1726">
        <f>VLOOKUP(order_details[[#This Row],[ProductID]], products[], 4, FALSE)</f>
        <v>6</v>
      </c>
      <c r="I1726" t="str">
        <f>VLOOKUP(order_details[[#This Row],[OrderID]], orders[[OrderID]:[ShipCountry]], 14, FALSE)</f>
        <v>Spain</v>
      </c>
      <c r="J1726" s="1">
        <f>_xlfn.XLOOKUP(order_details[[#This Row],[OrderID]], orders[OrderID], orders[Month])</f>
        <v>3</v>
      </c>
    </row>
    <row r="1727" spans="1:10" x14ac:dyDescent="0.35">
      <c r="A1727">
        <v>10911</v>
      </c>
      <c r="B1727">
        <v>67</v>
      </c>
      <c r="C1727">
        <v>14</v>
      </c>
      <c r="D1727">
        <v>15</v>
      </c>
      <c r="E1727">
        <v>0</v>
      </c>
      <c r="F1727">
        <v>210</v>
      </c>
      <c r="G1727" t="str">
        <f>VLOOKUP(VLOOKUP(order_details[[#This Row],[ProductID]], products[], 4, FALSE), categories[], 2, FALSE)</f>
        <v>Beverages</v>
      </c>
      <c r="H1727">
        <f>VLOOKUP(order_details[[#This Row],[ProductID]], products[], 4, FALSE)</f>
        <v>1</v>
      </c>
      <c r="I1727" t="str">
        <f>VLOOKUP(order_details[[#This Row],[OrderID]], orders[[OrderID]:[ShipCountry]], 14, FALSE)</f>
        <v>Spain</v>
      </c>
      <c r="J1727" s="1">
        <f>_xlfn.XLOOKUP(order_details[[#This Row],[OrderID]], orders[OrderID], orders[Month])</f>
        <v>3</v>
      </c>
    </row>
    <row r="1728" spans="1:10" x14ac:dyDescent="0.35">
      <c r="A1728">
        <v>10912</v>
      </c>
      <c r="B1728">
        <v>11</v>
      </c>
      <c r="C1728">
        <v>21</v>
      </c>
      <c r="D1728">
        <v>40</v>
      </c>
      <c r="E1728">
        <v>0.25</v>
      </c>
      <c r="F1728">
        <v>630</v>
      </c>
      <c r="G1728" t="str">
        <f>VLOOKUP(VLOOKUP(order_details[[#This Row],[ProductID]], products[], 4, FALSE), categories[], 2, FALSE)</f>
        <v>Dairy Products</v>
      </c>
      <c r="H1728">
        <f>VLOOKUP(order_details[[#This Row],[ProductID]], products[], 4, FALSE)</f>
        <v>4</v>
      </c>
      <c r="I1728" t="str">
        <f>VLOOKUP(order_details[[#This Row],[OrderID]], orders[[OrderID]:[ShipCountry]], 14, FALSE)</f>
        <v>Ireland</v>
      </c>
      <c r="J1728" s="1">
        <f>_xlfn.XLOOKUP(order_details[[#This Row],[OrderID]], orders[OrderID], orders[Month])</f>
        <v>3</v>
      </c>
    </row>
    <row r="1729" spans="1:10" x14ac:dyDescent="0.35">
      <c r="A1729">
        <v>10912</v>
      </c>
      <c r="B1729">
        <v>29</v>
      </c>
      <c r="C1729">
        <v>123.79</v>
      </c>
      <c r="D1729">
        <v>60</v>
      </c>
      <c r="E1729">
        <v>0.25</v>
      </c>
      <c r="F1729">
        <v>5570.55</v>
      </c>
      <c r="G1729" t="str">
        <f>VLOOKUP(VLOOKUP(order_details[[#This Row],[ProductID]], products[], 4, FALSE), categories[], 2, FALSE)</f>
        <v>Meat/Poultry</v>
      </c>
      <c r="H1729">
        <f>VLOOKUP(order_details[[#This Row],[ProductID]], products[], 4, FALSE)</f>
        <v>6</v>
      </c>
      <c r="I1729" t="str">
        <f>VLOOKUP(order_details[[#This Row],[OrderID]], orders[[OrderID]:[ShipCountry]], 14, FALSE)</f>
        <v>Ireland</v>
      </c>
      <c r="J1729" s="1">
        <f>_xlfn.XLOOKUP(order_details[[#This Row],[OrderID]], orders[OrderID], orders[Month])</f>
        <v>3</v>
      </c>
    </row>
    <row r="1730" spans="1:10" x14ac:dyDescent="0.35">
      <c r="A1730">
        <v>10913</v>
      </c>
      <c r="B1730">
        <v>4</v>
      </c>
      <c r="C1730">
        <v>22</v>
      </c>
      <c r="D1730">
        <v>30</v>
      </c>
      <c r="E1730">
        <v>0.25</v>
      </c>
      <c r="F1730">
        <v>495</v>
      </c>
      <c r="G1730" t="str">
        <f>VLOOKUP(VLOOKUP(order_details[[#This Row],[ProductID]], products[], 4, FALSE), categories[], 2, FALSE)</f>
        <v>Condiments</v>
      </c>
      <c r="H1730">
        <f>VLOOKUP(order_details[[#This Row],[ProductID]], products[], 4, FALSE)</f>
        <v>2</v>
      </c>
      <c r="I1730" t="str">
        <f>VLOOKUP(order_details[[#This Row],[OrderID]], orders[[OrderID]:[ShipCountry]], 14, FALSE)</f>
        <v>Brazil</v>
      </c>
      <c r="J1730" s="1">
        <f>_xlfn.XLOOKUP(order_details[[#This Row],[OrderID]], orders[OrderID], orders[Month])</f>
        <v>3</v>
      </c>
    </row>
    <row r="1731" spans="1:10" x14ac:dyDescent="0.35">
      <c r="A1731">
        <v>10913</v>
      </c>
      <c r="B1731">
        <v>33</v>
      </c>
      <c r="C1731">
        <v>2.5</v>
      </c>
      <c r="D1731">
        <v>40</v>
      </c>
      <c r="E1731">
        <v>0.25</v>
      </c>
      <c r="F1731">
        <v>75</v>
      </c>
      <c r="G1731" t="str">
        <f>VLOOKUP(VLOOKUP(order_details[[#This Row],[ProductID]], products[], 4, FALSE), categories[], 2, FALSE)</f>
        <v>Dairy Products</v>
      </c>
      <c r="H1731">
        <f>VLOOKUP(order_details[[#This Row],[ProductID]], products[], 4, FALSE)</f>
        <v>4</v>
      </c>
      <c r="I1731" t="str">
        <f>VLOOKUP(order_details[[#This Row],[OrderID]], orders[[OrderID]:[ShipCountry]], 14, FALSE)</f>
        <v>Brazil</v>
      </c>
      <c r="J1731" s="1">
        <f>_xlfn.XLOOKUP(order_details[[#This Row],[OrderID]], orders[OrderID], orders[Month])</f>
        <v>3</v>
      </c>
    </row>
    <row r="1732" spans="1:10" x14ac:dyDescent="0.35">
      <c r="A1732">
        <v>10913</v>
      </c>
      <c r="B1732">
        <v>58</v>
      </c>
      <c r="C1732">
        <v>13.25</v>
      </c>
      <c r="D1732">
        <v>15</v>
      </c>
      <c r="E1732">
        <v>0</v>
      </c>
      <c r="F1732">
        <v>198.75</v>
      </c>
      <c r="G1732" t="str">
        <f>VLOOKUP(VLOOKUP(order_details[[#This Row],[ProductID]], products[], 4, FALSE), categories[], 2, FALSE)</f>
        <v>Seafood</v>
      </c>
      <c r="H1732">
        <f>VLOOKUP(order_details[[#This Row],[ProductID]], products[], 4, FALSE)</f>
        <v>8</v>
      </c>
      <c r="I1732" t="str">
        <f>VLOOKUP(order_details[[#This Row],[OrderID]], orders[[OrderID]:[ShipCountry]], 14, FALSE)</f>
        <v>Brazil</v>
      </c>
      <c r="J1732" s="1">
        <f>_xlfn.XLOOKUP(order_details[[#This Row],[OrderID]], orders[OrderID], orders[Month])</f>
        <v>3</v>
      </c>
    </row>
    <row r="1733" spans="1:10" x14ac:dyDescent="0.35">
      <c r="A1733">
        <v>10914</v>
      </c>
      <c r="B1733">
        <v>71</v>
      </c>
      <c r="C1733">
        <v>21.5</v>
      </c>
      <c r="D1733">
        <v>25</v>
      </c>
      <c r="E1733">
        <v>0</v>
      </c>
      <c r="F1733">
        <v>537.5</v>
      </c>
      <c r="G1733" t="str">
        <f>VLOOKUP(VLOOKUP(order_details[[#This Row],[ProductID]], products[], 4, FALSE), categories[], 2, FALSE)</f>
        <v>Dairy Products</v>
      </c>
      <c r="H1733">
        <f>VLOOKUP(order_details[[#This Row],[ProductID]], products[], 4, FALSE)</f>
        <v>4</v>
      </c>
      <c r="I1733" t="str">
        <f>VLOOKUP(order_details[[#This Row],[OrderID]], orders[[OrderID]:[ShipCountry]], 14, FALSE)</f>
        <v>Brazil</v>
      </c>
      <c r="J1733" s="1">
        <f>_xlfn.XLOOKUP(order_details[[#This Row],[OrderID]], orders[OrderID], orders[Month])</f>
        <v>3</v>
      </c>
    </row>
    <row r="1734" spans="1:10" x14ac:dyDescent="0.35">
      <c r="A1734">
        <v>10915</v>
      </c>
      <c r="B1734">
        <v>17</v>
      </c>
      <c r="C1734">
        <v>39</v>
      </c>
      <c r="D1734">
        <v>10</v>
      </c>
      <c r="E1734">
        <v>0</v>
      </c>
      <c r="F1734">
        <v>390</v>
      </c>
      <c r="G1734" t="str">
        <f>VLOOKUP(VLOOKUP(order_details[[#This Row],[ProductID]], products[], 4, FALSE), categories[], 2, FALSE)</f>
        <v>Meat/Poultry</v>
      </c>
      <c r="H1734">
        <f>VLOOKUP(order_details[[#This Row],[ProductID]], products[], 4, FALSE)</f>
        <v>6</v>
      </c>
      <c r="I1734" t="str">
        <f>VLOOKUP(order_details[[#This Row],[OrderID]], orders[[OrderID]:[ShipCountry]], 14, FALSE)</f>
        <v>Mexico</v>
      </c>
      <c r="J1734" s="1">
        <f>_xlfn.XLOOKUP(order_details[[#This Row],[OrderID]], orders[OrderID], orders[Month])</f>
        <v>3</v>
      </c>
    </row>
    <row r="1735" spans="1:10" x14ac:dyDescent="0.35">
      <c r="A1735">
        <v>10915</v>
      </c>
      <c r="B1735">
        <v>33</v>
      </c>
      <c r="C1735">
        <v>2.5</v>
      </c>
      <c r="D1735">
        <v>30</v>
      </c>
      <c r="E1735">
        <v>0</v>
      </c>
      <c r="F1735">
        <v>75</v>
      </c>
      <c r="G1735" t="str">
        <f>VLOOKUP(VLOOKUP(order_details[[#This Row],[ProductID]], products[], 4, FALSE), categories[], 2, FALSE)</f>
        <v>Dairy Products</v>
      </c>
      <c r="H1735">
        <f>VLOOKUP(order_details[[#This Row],[ProductID]], products[], 4, FALSE)</f>
        <v>4</v>
      </c>
      <c r="I1735" t="str">
        <f>VLOOKUP(order_details[[#This Row],[OrderID]], orders[[OrderID]:[ShipCountry]], 14, FALSE)</f>
        <v>Mexico</v>
      </c>
      <c r="J1735" s="1">
        <f>_xlfn.XLOOKUP(order_details[[#This Row],[OrderID]], orders[OrderID], orders[Month])</f>
        <v>3</v>
      </c>
    </row>
    <row r="1736" spans="1:10" x14ac:dyDescent="0.35">
      <c r="A1736">
        <v>10915</v>
      </c>
      <c r="B1736">
        <v>54</v>
      </c>
      <c r="C1736">
        <v>7.45</v>
      </c>
      <c r="D1736">
        <v>10</v>
      </c>
      <c r="E1736">
        <v>0</v>
      </c>
      <c r="F1736">
        <v>74.5</v>
      </c>
      <c r="G1736" t="str">
        <f>VLOOKUP(VLOOKUP(order_details[[#This Row],[ProductID]], products[], 4, FALSE), categories[], 2, FALSE)</f>
        <v>Meat/Poultry</v>
      </c>
      <c r="H1736">
        <f>VLOOKUP(order_details[[#This Row],[ProductID]], products[], 4, FALSE)</f>
        <v>6</v>
      </c>
      <c r="I1736" t="str">
        <f>VLOOKUP(order_details[[#This Row],[OrderID]], orders[[OrderID]:[ShipCountry]], 14, FALSE)</f>
        <v>Mexico</v>
      </c>
      <c r="J1736" s="1">
        <f>_xlfn.XLOOKUP(order_details[[#This Row],[OrderID]], orders[OrderID], orders[Month])</f>
        <v>3</v>
      </c>
    </row>
    <row r="1737" spans="1:10" x14ac:dyDescent="0.35">
      <c r="A1737">
        <v>10916</v>
      </c>
      <c r="B1737">
        <v>16</v>
      </c>
      <c r="C1737">
        <v>17.45</v>
      </c>
      <c r="D1737">
        <v>6</v>
      </c>
      <c r="E1737">
        <v>0</v>
      </c>
      <c r="F1737">
        <v>104.69999999999999</v>
      </c>
      <c r="G1737" t="str">
        <f>VLOOKUP(VLOOKUP(order_details[[#This Row],[ProductID]], products[], 4, FALSE), categories[], 2, FALSE)</f>
        <v>Confections</v>
      </c>
      <c r="H1737">
        <f>VLOOKUP(order_details[[#This Row],[ProductID]], products[], 4, FALSE)</f>
        <v>3</v>
      </c>
      <c r="I1737" t="str">
        <f>VLOOKUP(order_details[[#This Row],[OrderID]], orders[[OrderID]:[ShipCountry]], 14, FALSE)</f>
        <v>Argentina</v>
      </c>
      <c r="J1737" s="1">
        <f>_xlfn.XLOOKUP(order_details[[#This Row],[OrderID]], orders[OrderID], orders[Month])</f>
        <v>3</v>
      </c>
    </row>
    <row r="1738" spans="1:10" x14ac:dyDescent="0.35">
      <c r="A1738">
        <v>10916</v>
      </c>
      <c r="B1738">
        <v>32</v>
      </c>
      <c r="C1738">
        <v>32</v>
      </c>
      <c r="D1738">
        <v>6</v>
      </c>
      <c r="E1738">
        <v>0</v>
      </c>
      <c r="F1738">
        <v>192</v>
      </c>
      <c r="G1738" t="str">
        <f>VLOOKUP(VLOOKUP(order_details[[#This Row],[ProductID]], products[], 4, FALSE), categories[], 2, FALSE)</f>
        <v>Dairy Products</v>
      </c>
      <c r="H1738">
        <f>VLOOKUP(order_details[[#This Row],[ProductID]], products[], 4, FALSE)</f>
        <v>4</v>
      </c>
      <c r="I1738" t="str">
        <f>VLOOKUP(order_details[[#This Row],[OrderID]], orders[[OrderID]:[ShipCountry]], 14, FALSE)</f>
        <v>Argentina</v>
      </c>
      <c r="J1738" s="1">
        <f>_xlfn.XLOOKUP(order_details[[#This Row],[OrderID]], orders[OrderID], orders[Month])</f>
        <v>3</v>
      </c>
    </row>
    <row r="1739" spans="1:10" x14ac:dyDescent="0.35">
      <c r="A1739">
        <v>10916</v>
      </c>
      <c r="B1739">
        <v>57</v>
      </c>
      <c r="C1739">
        <v>19.5</v>
      </c>
      <c r="D1739">
        <v>20</v>
      </c>
      <c r="E1739">
        <v>0</v>
      </c>
      <c r="F1739">
        <v>390</v>
      </c>
      <c r="G1739" t="str">
        <f>VLOOKUP(VLOOKUP(order_details[[#This Row],[ProductID]], products[], 4, FALSE), categories[], 2, FALSE)</f>
        <v>Grains/Cereals</v>
      </c>
      <c r="H1739">
        <f>VLOOKUP(order_details[[#This Row],[ProductID]], products[], 4, FALSE)</f>
        <v>5</v>
      </c>
      <c r="I1739" t="str">
        <f>VLOOKUP(order_details[[#This Row],[OrderID]], orders[[OrderID]:[ShipCountry]], 14, FALSE)</f>
        <v>Argentina</v>
      </c>
      <c r="J1739" s="1">
        <f>_xlfn.XLOOKUP(order_details[[#This Row],[OrderID]], orders[OrderID], orders[Month])</f>
        <v>3</v>
      </c>
    </row>
    <row r="1740" spans="1:10" x14ac:dyDescent="0.35">
      <c r="A1740">
        <v>10917</v>
      </c>
      <c r="B1740">
        <v>30</v>
      </c>
      <c r="C1740">
        <v>25.89</v>
      </c>
      <c r="D1740">
        <v>1</v>
      </c>
      <c r="E1740">
        <v>0</v>
      </c>
      <c r="F1740">
        <v>25.89</v>
      </c>
      <c r="G1740" t="str">
        <f>VLOOKUP(VLOOKUP(order_details[[#This Row],[ProductID]], products[], 4, FALSE), categories[], 2, FALSE)</f>
        <v>Seafood</v>
      </c>
      <c r="H1740">
        <f>VLOOKUP(order_details[[#This Row],[ProductID]], products[], 4, FALSE)</f>
        <v>8</v>
      </c>
      <c r="I1740" t="str">
        <f>VLOOKUP(order_details[[#This Row],[OrderID]], orders[[OrderID]:[ShipCountry]], 14, FALSE)</f>
        <v>Spain</v>
      </c>
      <c r="J1740" s="1">
        <f>_xlfn.XLOOKUP(order_details[[#This Row],[OrderID]], orders[OrderID], orders[Month])</f>
        <v>4</v>
      </c>
    </row>
    <row r="1741" spans="1:10" x14ac:dyDescent="0.35">
      <c r="A1741">
        <v>10917</v>
      </c>
      <c r="B1741">
        <v>60</v>
      </c>
      <c r="C1741">
        <v>34</v>
      </c>
      <c r="D1741">
        <v>10</v>
      </c>
      <c r="E1741">
        <v>0</v>
      </c>
      <c r="F1741">
        <v>340</v>
      </c>
      <c r="G1741" t="str">
        <f>VLOOKUP(VLOOKUP(order_details[[#This Row],[ProductID]], products[], 4, FALSE), categories[], 2, FALSE)</f>
        <v>Dairy Products</v>
      </c>
      <c r="H1741">
        <f>VLOOKUP(order_details[[#This Row],[ProductID]], products[], 4, FALSE)</f>
        <v>4</v>
      </c>
      <c r="I1741" t="str">
        <f>VLOOKUP(order_details[[#This Row],[OrderID]], orders[[OrderID]:[ShipCountry]], 14, FALSE)</f>
        <v>Spain</v>
      </c>
      <c r="J1741" s="1">
        <f>_xlfn.XLOOKUP(order_details[[#This Row],[OrderID]], orders[OrderID], orders[Month])</f>
        <v>4</v>
      </c>
    </row>
    <row r="1742" spans="1:10" x14ac:dyDescent="0.35">
      <c r="A1742">
        <v>10918</v>
      </c>
      <c r="B1742">
        <v>1</v>
      </c>
      <c r="C1742">
        <v>18</v>
      </c>
      <c r="D1742">
        <v>60</v>
      </c>
      <c r="E1742">
        <v>0.25</v>
      </c>
      <c r="F1742">
        <v>810</v>
      </c>
      <c r="G1742" t="str">
        <f>VLOOKUP(VLOOKUP(order_details[[#This Row],[ProductID]], products[], 4, FALSE), categories[], 2, FALSE)</f>
        <v>Beverages</v>
      </c>
      <c r="H1742">
        <f>VLOOKUP(order_details[[#This Row],[ProductID]], products[], 4, FALSE)</f>
        <v>1</v>
      </c>
      <c r="I1742" t="str">
        <f>VLOOKUP(order_details[[#This Row],[OrderID]], orders[[OrderID]:[ShipCountry]], 14, FALSE)</f>
        <v>Canada</v>
      </c>
      <c r="J1742" s="1">
        <f>_xlfn.XLOOKUP(order_details[[#This Row],[OrderID]], orders[OrderID], orders[Month])</f>
        <v>4</v>
      </c>
    </row>
    <row r="1743" spans="1:10" x14ac:dyDescent="0.35">
      <c r="A1743">
        <v>10918</v>
      </c>
      <c r="B1743">
        <v>60</v>
      </c>
      <c r="C1743">
        <v>34</v>
      </c>
      <c r="D1743">
        <v>25</v>
      </c>
      <c r="E1743">
        <v>0.25</v>
      </c>
      <c r="F1743">
        <v>637.5</v>
      </c>
      <c r="G1743" t="str">
        <f>VLOOKUP(VLOOKUP(order_details[[#This Row],[ProductID]], products[], 4, FALSE), categories[], 2, FALSE)</f>
        <v>Dairy Products</v>
      </c>
      <c r="H1743">
        <f>VLOOKUP(order_details[[#This Row],[ProductID]], products[], 4, FALSE)</f>
        <v>4</v>
      </c>
      <c r="I1743" t="str">
        <f>VLOOKUP(order_details[[#This Row],[OrderID]], orders[[OrderID]:[ShipCountry]], 14, FALSE)</f>
        <v>Canada</v>
      </c>
      <c r="J1743" s="1">
        <f>_xlfn.XLOOKUP(order_details[[#This Row],[OrderID]], orders[OrderID], orders[Month])</f>
        <v>4</v>
      </c>
    </row>
    <row r="1744" spans="1:10" x14ac:dyDescent="0.35">
      <c r="A1744">
        <v>10919</v>
      </c>
      <c r="B1744">
        <v>16</v>
      </c>
      <c r="C1744">
        <v>17.45</v>
      </c>
      <c r="D1744">
        <v>24</v>
      </c>
      <c r="E1744">
        <v>0</v>
      </c>
      <c r="F1744">
        <v>418.79999999999995</v>
      </c>
      <c r="G1744" t="str">
        <f>VLOOKUP(VLOOKUP(order_details[[#This Row],[ProductID]], products[], 4, FALSE), categories[], 2, FALSE)</f>
        <v>Confections</v>
      </c>
      <c r="H1744">
        <f>VLOOKUP(order_details[[#This Row],[ProductID]], products[], 4, FALSE)</f>
        <v>3</v>
      </c>
      <c r="I1744" t="str">
        <f>VLOOKUP(order_details[[#This Row],[OrderID]], orders[[OrderID]:[ShipCountry]], 14, FALSE)</f>
        <v>Venezuela</v>
      </c>
      <c r="J1744" s="1">
        <f>_xlfn.XLOOKUP(order_details[[#This Row],[OrderID]], orders[OrderID], orders[Month])</f>
        <v>4</v>
      </c>
    </row>
    <row r="1745" spans="1:10" x14ac:dyDescent="0.35">
      <c r="A1745">
        <v>10919</v>
      </c>
      <c r="B1745">
        <v>25</v>
      </c>
      <c r="C1745">
        <v>14</v>
      </c>
      <c r="D1745">
        <v>24</v>
      </c>
      <c r="E1745">
        <v>0</v>
      </c>
      <c r="F1745">
        <v>336</v>
      </c>
      <c r="G1745" t="str">
        <f>VLOOKUP(VLOOKUP(order_details[[#This Row],[ProductID]], products[], 4, FALSE), categories[], 2, FALSE)</f>
        <v>Confections</v>
      </c>
      <c r="H1745">
        <f>VLOOKUP(order_details[[#This Row],[ProductID]], products[], 4, FALSE)</f>
        <v>3</v>
      </c>
      <c r="I1745" t="str">
        <f>VLOOKUP(order_details[[#This Row],[OrderID]], orders[[OrderID]:[ShipCountry]], 14, FALSE)</f>
        <v>Venezuela</v>
      </c>
      <c r="J1745" s="1">
        <f>_xlfn.XLOOKUP(order_details[[#This Row],[OrderID]], orders[OrderID], orders[Month])</f>
        <v>4</v>
      </c>
    </row>
    <row r="1746" spans="1:10" x14ac:dyDescent="0.35">
      <c r="A1746">
        <v>10919</v>
      </c>
      <c r="B1746">
        <v>40</v>
      </c>
      <c r="C1746">
        <v>18.399999999999999</v>
      </c>
      <c r="D1746">
        <v>20</v>
      </c>
      <c r="E1746">
        <v>0</v>
      </c>
      <c r="F1746">
        <v>368</v>
      </c>
      <c r="G1746" t="str">
        <f>VLOOKUP(VLOOKUP(order_details[[#This Row],[ProductID]], products[], 4, FALSE), categories[], 2, FALSE)</f>
        <v>Seafood</v>
      </c>
      <c r="H1746">
        <f>VLOOKUP(order_details[[#This Row],[ProductID]], products[], 4, FALSE)</f>
        <v>8</v>
      </c>
      <c r="I1746" t="str">
        <f>VLOOKUP(order_details[[#This Row],[OrderID]], orders[[OrderID]:[ShipCountry]], 14, FALSE)</f>
        <v>Venezuela</v>
      </c>
      <c r="J1746" s="1">
        <f>_xlfn.XLOOKUP(order_details[[#This Row],[OrderID]], orders[OrderID], orders[Month])</f>
        <v>4</v>
      </c>
    </row>
    <row r="1747" spans="1:10" x14ac:dyDescent="0.35">
      <c r="A1747">
        <v>10920</v>
      </c>
      <c r="B1747">
        <v>50</v>
      </c>
      <c r="C1747">
        <v>16.25</v>
      </c>
      <c r="D1747">
        <v>24</v>
      </c>
      <c r="E1747">
        <v>0</v>
      </c>
      <c r="F1747">
        <v>390</v>
      </c>
      <c r="G1747" t="str">
        <f>VLOOKUP(VLOOKUP(order_details[[#This Row],[ProductID]], products[], 4, FALSE), categories[], 2, FALSE)</f>
        <v>Confections</v>
      </c>
      <c r="H1747">
        <f>VLOOKUP(order_details[[#This Row],[ProductID]], products[], 4, FALSE)</f>
        <v>3</v>
      </c>
      <c r="I1747" t="str">
        <f>VLOOKUP(order_details[[#This Row],[OrderID]], orders[[OrderID]:[ShipCountry]], 14, FALSE)</f>
        <v>UK</v>
      </c>
      <c r="J1747" s="1">
        <f>_xlfn.XLOOKUP(order_details[[#This Row],[OrderID]], orders[OrderID], orders[Month])</f>
        <v>4</v>
      </c>
    </row>
    <row r="1748" spans="1:10" x14ac:dyDescent="0.35">
      <c r="A1748">
        <v>10921</v>
      </c>
      <c r="B1748">
        <v>35</v>
      </c>
      <c r="C1748">
        <v>18</v>
      </c>
      <c r="D1748">
        <v>10</v>
      </c>
      <c r="E1748">
        <v>0</v>
      </c>
      <c r="F1748">
        <v>180</v>
      </c>
      <c r="G1748" t="str">
        <f>VLOOKUP(VLOOKUP(order_details[[#This Row],[ProductID]], products[], 4, FALSE), categories[], 2, FALSE)</f>
        <v>Beverages</v>
      </c>
      <c r="H1748">
        <f>VLOOKUP(order_details[[#This Row],[ProductID]], products[], 4, FALSE)</f>
        <v>1</v>
      </c>
      <c r="I1748" t="str">
        <f>VLOOKUP(order_details[[#This Row],[OrderID]], orders[[OrderID]:[ShipCountry]], 14, FALSE)</f>
        <v>Denmark</v>
      </c>
      <c r="J1748" s="1">
        <f>_xlfn.XLOOKUP(order_details[[#This Row],[OrderID]], orders[OrderID], orders[Month])</f>
        <v>4</v>
      </c>
    </row>
    <row r="1749" spans="1:10" x14ac:dyDescent="0.35">
      <c r="A1749">
        <v>10921</v>
      </c>
      <c r="B1749">
        <v>63</v>
      </c>
      <c r="C1749">
        <v>43.9</v>
      </c>
      <c r="D1749">
        <v>40</v>
      </c>
      <c r="E1749">
        <v>0</v>
      </c>
      <c r="F1749">
        <v>1756</v>
      </c>
      <c r="G1749" t="str">
        <f>VLOOKUP(VLOOKUP(order_details[[#This Row],[ProductID]], products[], 4, FALSE), categories[], 2, FALSE)</f>
        <v>Condiments</v>
      </c>
      <c r="H1749">
        <f>VLOOKUP(order_details[[#This Row],[ProductID]], products[], 4, FALSE)</f>
        <v>2</v>
      </c>
      <c r="I1749" t="str">
        <f>VLOOKUP(order_details[[#This Row],[OrderID]], orders[[OrderID]:[ShipCountry]], 14, FALSE)</f>
        <v>Denmark</v>
      </c>
      <c r="J1749" s="1">
        <f>_xlfn.XLOOKUP(order_details[[#This Row],[OrderID]], orders[OrderID], orders[Month])</f>
        <v>4</v>
      </c>
    </row>
    <row r="1750" spans="1:10" x14ac:dyDescent="0.35">
      <c r="A1750">
        <v>10922</v>
      </c>
      <c r="B1750">
        <v>17</v>
      </c>
      <c r="C1750">
        <v>39</v>
      </c>
      <c r="D1750">
        <v>15</v>
      </c>
      <c r="E1750">
        <v>0</v>
      </c>
      <c r="F1750">
        <v>585</v>
      </c>
      <c r="G1750" t="str">
        <f>VLOOKUP(VLOOKUP(order_details[[#This Row],[ProductID]], products[], 4, FALSE), categories[], 2, FALSE)</f>
        <v>Meat/Poultry</v>
      </c>
      <c r="H1750">
        <f>VLOOKUP(order_details[[#This Row],[ProductID]], products[], 4, FALSE)</f>
        <v>6</v>
      </c>
      <c r="I1750" t="str">
        <f>VLOOKUP(order_details[[#This Row],[OrderID]], orders[[OrderID]:[ShipCountry]], 14, FALSE)</f>
        <v>Brazil</v>
      </c>
      <c r="J1750" s="1">
        <f>_xlfn.XLOOKUP(order_details[[#This Row],[OrderID]], orders[OrderID], orders[Month])</f>
        <v>4</v>
      </c>
    </row>
    <row r="1751" spans="1:10" x14ac:dyDescent="0.35">
      <c r="A1751">
        <v>10922</v>
      </c>
      <c r="B1751">
        <v>24</v>
      </c>
      <c r="C1751">
        <v>4.5</v>
      </c>
      <c r="D1751">
        <v>35</v>
      </c>
      <c r="E1751">
        <v>0</v>
      </c>
      <c r="F1751">
        <v>157.5</v>
      </c>
      <c r="G1751" t="str">
        <f>VLOOKUP(VLOOKUP(order_details[[#This Row],[ProductID]], products[], 4, FALSE), categories[], 2, FALSE)</f>
        <v>Beverages</v>
      </c>
      <c r="H1751">
        <f>VLOOKUP(order_details[[#This Row],[ProductID]], products[], 4, FALSE)</f>
        <v>1</v>
      </c>
      <c r="I1751" t="str">
        <f>VLOOKUP(order_details[[#This Row],[OrderID]], orders[[OrderID]:[ShipCountry]], 14, FALSE)</f>
        <v>Brazil</v>
      </c>
      <c r="J1751" s="1">
        <f>_xlfn.XLOOKUP(order_details[[#This Row],[OrderID]], orders[OrderID], orders[Month])</f>
        <v>4</v>
      </c>
    </row>
    <row r="1752" spans="1:10" x14ac:dyDescent="0.35">
      <c r="A1752">
        <v>10923</v>
      </c>
      <c r="B1752">
        <v>42</v>
      </c>
      <c r="C1752">
        <v>14</v>
      </c>
      <c r="D1752">
        <v>10</v>
      </c>
      <c r="E1752">
        <v>0.2</v>
      </c>
      <c r="F1752">
        <v>112</v>
      </c>
      <c r="G1752" t="str">
        <f>VLOOKUP(VLOOKUP(order_details[[#This Row],[ProductID]], products[], 4, FALSE), categories[], 2, FALSE)</f>
        <v>Grains/Cereals</v>
      </c>
      <c r="H1752">
        <f>VLOOKUP(order_details[[#This Row],[ProductID]], products[], 4, FALSE)</f>
        <v>5</v>
      </c>
      <c r="I1752" t="str">
        <f>VLOOKUP(order_details[[#This Row],[OrderID]], orders[[OrderID]:[ShipCountry]], 14, FALSE)</f>
        <v>France</v>
      </c>
      <c r="J1752" s="1">
        <f>_xlfn.XLOOKUP(order_details[[#This Row],[OrderID]], orders[OrderID], orders[Month])</f>
        <v>4</v>
      </c>
    </row>
    <row r="1753" spans="1:10" x14ac:dyDescent="0.35">
      <c r="A1753">
        <v>10923</v>
      </c>
      <c r="B1753">
        <v>43</v>
      </c>
      <c r="C1753">
        <v>46</v>
      </c>
      <c r="D1753">
        <v>10</v>
      </c>
      <c r="E1753">
        <v>0.2</v>
      </c>
      <c r="F1753">
        <v>368</v>
      </c>
      <c r="G1753" t="str">
        <f>VLOOKUP(VLOOKUP(order_details[[#This Row],[ProductID]], products[], 4, FALSE), categories[], 2, FALSE)</f>
        <v>Beverages</v>
      </c>
      <c r="H1753">
        <f>VLOOKUP(order_details[[#This Row],[ProductID]], products[], 4, FALSE)</f>
        <v>1</v>
      </c>
      <c r="I1753" t="str">
        <f>VLOOKUP(order_details[[#This Row],[OrderID]], orders[[OrderID]:[ShipCountry]], 14, FALSE)</f>
        <v>France</v>
      </c>
      <c r="J1753" s="1">
        <f>_xlfn.XLOOKUP(order_details[[#This Row],[OrderID]], orders[OrderID], orders[Month])</f>
        <v>4</v>
      </c>
    </row>
    <row r="1754" spans="1:10" x14ac:dyDescent="0.35">
      <c r="A1754">
        <v>10923</v>
      </c>
      <c r="B1754">
        <v>67</v>
      </c>
      <c r="C1754">
        <v>14</v>
      </c>
      <c r="D1754">
        <v>24</v>
      </c>
      <c r="E1754">
        <v>0.2</v>
      </c>
      <c r="F1754">
        <v>268.8</v>
      </c>
      <c r="G1754" t="str">
        <f>VLOOKUP(VLOOKUP(order_details[[#This Row],[ProductID]], products[], 4, FALSE), categories[], 2, FALSE)</f>
        <v>Beverages</v>
      </c>
      <c r="H1754">
        <f>VLOOKUP(order_details[[#This Row],[ProductID]], products[], 4, FALSE)</f>
        <v>1</v>
      </c>
      <c r="I1754" t="str">
        <f>VLOOKUP(order_details[[#This Row],[OrderID]], orders[[OrderID]:[ShipCountry]], 14, FALSE)</f>
        <v>France</v>
      </c>
      <c r="J1754" s="1">
        <f>_xlfn.XLOOKUP(order_details[[#This Row],[OrderID]], orders[OrderID], orders[Month])</f>
        <v>4</v>
      </c>
    </row>
    <row r="1755" spans="1:10" x14ac:dyDescent="0.35">
      <c r="A1755">
        <v>10924</v>
      </c>
      <c r="B1755">
        <v>10</v>
      </c>
      <c r="C1755">
        <v>31</v>
      </c>
      <c r="D1755">
        <v>20</v>
      </c>
      <c r="E1755">
        <v>0.1</v>
      </c>
      <c r="F1755">
        <v>558</v>
      </c>
      <c r="G1755" t="str">
        <f>VLOOKUP(VLOOKUP(order_details[[#This Row],[ProductID]], products[], 4, FALSE), categories[], 2, FALSE)</f>
        <v>Seafood</v>
      </c>
      <c r="H1755">
        <f>VLOOKUP(order_details[[#This Row],[ProductID]], products[], 4, FALSE)</f>
        <v>8</v>
      </c>
      <c r="I1755" t="str">
        <f>VLOOKUP(order_details[[#This Row],[OrderID]], orders[[OrderID]:[ShipCountry]], 14, FALSE)</f>
        <v>Sweden</v>
      </c>
      <c r="J1755" s="1">
        <f>_xlfn.XLOOKUP(order_details[[#This Row],[OrderID]], orders[OrderID], orders[Month])</f>
        <v>4</v>
      </c>
    </row>
    <row r="1756" spans="1:10" x14ac:dyDescent="0.35">
      <c r="A1756">
        <v>10924</v>
      </c>
      <c r="B1756">
        <v>28</v>
      </c>
      <c r="C1756">
        <v>45.6</v>
      </c>
      <c r="D1756">
        <v>30</v>
      </c>
      <c r="E1756">
        <v>0.1</v>
      </c>
      <c r="F1756">
        <v>1231.2</v>
      </c>
      <c r="G1756" t="str">
        <f>VLOOKUP(VLOOKUP(order_details[[#This Row],[ProductID]], products[], 4, FALSE), categories[], 2, FALSE)</f>
        <v>Produce</v>
      </c>
      <c r="H1756">
        <f>VLOOKUP(order_details[[#This Row],[ProductID]], products[], 4, FALSE)</f>
        <v>7</v>
      </c>
      <c r="I1756" t="str">
        <f>VLOOKUP(order_details[[#This Row],[OrderID]], orders[[OrderID]:[ShipCountry]], 14, FALSE)</f>
        <v>Sweden</v>
      </c>
      <c r="J1756" s="1">
        <f>_xlfn.XLOOKUP(order_details[[#This Row],[OrderID]], orders[OrderID], orders[Month])</f>
        <v>4</v>
      </c>
    </row>
    <row r="1757" spans="1:10" x14ac:dyDescent="0.35">
      <c r="A1757">
        <v>10924</v>
      </c>
      <c r="B1757">
        <v>75</v>
      </c>
      <c r="C1757">
        <v>7.75</v>
      </c>
      <c r="D1757">
        <v>6</v>
      </c>
      <c r="E1757">
        <v>0</v>
      </c>
      <c r="F1757">
        <v>46.5</v>
      </c>
      <c r="G1757" t="str">
        <f>VLOOKUP(VLOOKUP(order_details[[#This Row],[ProductID]], products[], 4, FALSE), categories[], 2, FALSE)</f>
        <v>Beverages</v>
      </c>
      <c r="H1757">
        <f>VLOOKUP(order_details[[#This Row],[ProductID]], products[], 4, FALSE)</f>
        <v>1</v>
      </c>
      <c r="I1757" t="str">
        <f>VLOOKUP(order_details[[#This Row],[OrderID]], orders[[OrderID]:[ShipCountry]], 14, FALSE)</f>
        <v>Sweden</v>
      </c>
      <c r="J1757" s="1">
        <f>_xlfn.XLOOKUP(order_details[[#This Row],[OrderID]], orders[OrderID], orders[Month])</f>
        <v>4</v>
      </c>
    </row>
    <row r="1758" spans="1:10" x14ac:dyDescent="0.35">
      <c r="A1758">
        <v>10925</v>
      </c>
      <c r="B1758">
        <v>36</v>
      </c>
      <c r="C1758">
        <v>19</v>
      </c>
      <c r="D1758">
        <v>25</v>
      </c>
      <c r="E1758">
        <v>0.15</v>
      </c>
      <c r="F1758">
        <v>403.75</v>
      </c>
      <c r="G1758" t="str">
        <f>VLOOKUP(VLOOKUP(order_details[[#This Row],[ProductID]], products[], 4, FALSE), categories[], 2, FALSE)</f>
        <v>Seafood</v>
      </c>
      <c r="H1758">
        <f>VLOOKUP(order_details[[#This Row],[ProductID]], products[], 4, FALSE)</f>
        <v>8</v>
      </c>
      <c r="I1758" t="str">
        <f>VLOOKUP(order_details[[#This Row],[OrderID]], orders[[OrderID]:[ShipCountry]], 14, FALSE)</f>
        <v>Brazil</v>
      </c>
      <c r="J1758" s="1">
        <f>_xlfn.XLOOKUP(order_details[[#This Row],[OrderID]], orders[OrderID], orders[Month])</f>
        <v>4</v>
      </c>
    </row>
    <row r="1759" spans="1:10" x14ac:dyDescent="0.35">
      <c r="A1759">
        <v>10925</v>
      </c>
      <c r="B1759">
        <v>52</v>
      </c>
      <c r="C1759">
        <v>7</v>
      </c>
      <c r="D1759">
        <v>12</v>
      </c>
      <c r="E1759">
        <v>0.15</v>
      </c>
      <c r="F1759">
        <v>71.399999999999991</v>
      </c>
      <c r="G1759" t="str">
        <f>VLOOKUP(VLOOKUP(order_details[[#This Row],[ProductID]], products[], 4, FALSE), categories[], 2, FALSE)</f>
        <v>Grains/Cereals</v>
      </c>
      <c r="H1759">
        <f>VLOOKUP(order_details[[#This Row],[ProductID]], products[], 4, FALSE)</f>
        <v>5</v>
      </c>
      <c r="I1759" t="str">
        <f>VLOOKUP(order_details[[#This Row],[OrderID]], orders[[OrderID]:[ShipCountry]], 14, FALSE)</f>
        <v>Brazil</v>
      </c>
      <c r="J1759" s="1">
        <f>_xlfn.XLOOKUP(order_details[[#This Row],[OrderID]], orders[OrderID], orders[Month])</f>
        <v>4</v>
      </c>
    </row>
    <row r="1760" spans="1:10" x14ac:dyDescent="0.35">
      <c r="A1760">
        <v>10926</v>
      </c>
      <c r="B1760">
        <v>11</v>
      </c>
      <c r="C1760">
        <v>21</v>
      </c>
      <c r="D1760">
        <v>2</v>
      </c>
      <c r="E1760">
        <v>0</v>
      </c>
      <c r="F1760">
        <v>42</v>
      </c>
      <c r="G1760" t="str">
        <f>VLOOKUP(VLOOKUP(order_details[[#This Row],[ProductID]], products[], 4, FALSE), categories[], 2, FALSE)</f>
        <v>Dairy Products</v>
      </c>
      <c r="H1760">
        <f>VLOOKUP(order_details[[#This Row],[ProductID]], products[], 4, FALSE)</f>
        <v>4</v>
      </c>
      <c r="I1760" t="str">
        <f>VLOOKUP(order_details[[#This Row],[OrderID]], orders[[OrderID]:[ShipCountry]], 14, FALSE)</f>
        <v>Mexico</v>
      </c>
      <c r="J1760" s="1">
        <f>_xlfn.XLOOKUP(order_details[[#This Row],[OrderID]], orders[OrderID], orders[Month])</f>
        <v>4</v>
      </c>
    </row>
    <row r="1761" spans="1:10" x14ac:dyDescent="0.35">
      <c r="A1761">
        <v>10926</v>
      </c>
      <c r="B1761">
        <v>13</v>
      </c>
      <c r="C1761">
        <v>6</v>
      </c>
      <c r="D1761">
        <v>10</v>
      </c>
      <c r="E1761">
        <v>0</v>
      </c>
      <c r="F1761">
        <v>60</v>
      </c>
      <c r="G1761" t="str">
        <f>VLOOKUP(VLOOKUP(order_details[[#This Row],[ProductID]], products[], 4, FALSE), categories[], 2, FALSE)</f>
        <v>Seafood</v>
      </c>
      <c r="H1761">
        <f>VLOOKUP(order_details[[#This Row],[ProductID]], products[], 4, FALSE)</f>
        <v>8</v>
      </c>
      <c r="I1761" t="str">
        <f>VLOOKUP(order_details[[#This Row],[OrderID]], orders[[OrderID]:[ShipCountry]], 14, FALSE)</f>
        <v>Mexico</v>
      </c>
      <c r="J1761" s="1">
        <f>_xlfn.XLOOKUP(order_details[[#This Row],[OrderID]], orders[OrderID], orders[Month])</f>
        <v>4</v>
      </c>
    </row>
    <row r="1762" spans="1:10" x14ac:dyDescent="0.35">
      <c r="A1762">
        <v>10926</v>
      </c>
      <c r="B1762">
        <v>19</v>
      </c>
      <c r="C1762">
        <v>9.1999999999999993</v>
      </c>
      <c r="D1762">
        <v>7</v>
      </c>
      <c r="E1762">
        <v>0</v>
      </c>
      <c r="F1762">
        <v>64.399999999999991</v>
      </c>
      <c r="G1762" t="str">
        <f>VLOOKUP(VLOOKUP(order_details[[#This Row],[ProductID]], products[], 4, FALSE), categories[], 2, FALSE)</f>
        <v>Confections</v>
      </c>
      <c r="H1762">
        <f>VLOOKUP(order_details[[#This Row],[ProductID]], products[], 4, FALSE)</f>
        <v>3</v>
      </c>
      <c r="I1762" t="str">
        <f>VLOOKUP(order_details[[#This Row],[OrderID]], orders[[OrderID]:[ShipCountry]], 14, FALSE)</f>
        <v>Mexico</v>
      </c>
      <c r="J1762" s="1">
        <f>_xlfn.XLOOKUP(order_details[[#This Row],[OrderID]], orders[OrderID], orders[Month])</f>
        <v>4</v>
      </c>
    </row>
    <row r="1763" spans="1:10" x14ac:dyDescent="0.35">
      <c r="A1763">
        <v>10926</v>
      </c>
      <c r="B1763">
        <v>72</v>
      </c>
      <c r="C1763">
        <v>34.799999999999997</v>
      </c>
      <c r="D1763">
        <v>10</v>
      </c>
      <c r="E1763">
        <v>0</v>
      </c>
      <c r="F1763">
        <v>348</v>
      </c>
      <c r="G1763" t="str">
        <f>VLOOKUP(VLOOKUP(order_details[[#This Row],[ProductID]], products[], 4, FALSE), categories[], 2, FALSE)</f>
        <v>Dairy Products</v>
      </c>
      <c r="H1763">
        <f>VLOOKUP(order_details[[#This Row],[ProductID]], products[], 4, FALSE)</f>
        <v>4</v>
      </c>
      <c r="I1763" t="str">
        <f>VLOOKUP(order_details[[#This Row],[OrderID]], orders[[OrderID]:[ShipCountry]], 14, FALSE)</f>
        <v>Mexico</v>
      </c>
      <c r="J1763" s="1">
        <f>_xlfn.XLOOKUP(order_details[[#This Row],[OrderID]], orders[OrderID], orders[Month])</f>
        <v>4</v>
      </c>
    </row>
    <row r="1764" spans="1:10" x14ac:dyDescent="0.35">
      <c r="A1764">
        <v>10927</v>
      </c>
      <c r="B1764">
        <v>20</v>
      </c>
      <c r="C1764">
        <v>81</v>
      </c>
      <c r="D1764">
        <v>5</v>
      </c>
      <c r="E1764">
        <v>0</v>
      </c>
      <c r="F1764">
        <v>405</v>
      </c>
      <c r="G1764" t="str">
        <f>VLOOKUP(VLOOKUP(order_details[[#This Row],[ProductID]], products[], 4, FALSE), categories[], 2, FALSE)</f>
        <v>Confections</v>
      </c>
      <c r="H1764">
        <f>VLOOKUP(order_details[[#This Row],[ProductID]], products[], 4, FALSE)</f>
        <v>3</v>
      </c>
      <c r="I1764" t="str">
        <f>VLOOKUP(order_details[[#This Row],[OrderID]], orders[[OrderID]:[ShipCountry]], 14, FALSE)</f>
        <v>France</v>
      </c>
      <c r="J1764" s="1">
        <f>_xlfn.XLOOKUP(order_details[[#This Row],[OrderID]], orders[OrderID], orders[Month])</f>
        <v>4</v>
      </c>
    </row>
    <row r="1765" spans="1:10" x14ac:dyDescent="0.35">
      <c r="A1765">
        <v>10927</v>
      </c>
      <c r="B1765">
        <v>52</v>
      </c>
      <c r="C1765">
        <v>7</v>
      </c>
      <c r="D1765">
        <v>5</v>
      </c>
      <c r="E1765">
        <v>0</v>
      </c>
      <c r="F1765">
        <v>35</v>
      </c>
      <c r="G1765" t="str">
        <f>VLOOKUP(VLOOKUP(order_details[[#This Row],[ProductID]], products[], 4, FALSE), categories[], 2, FALSE)</f>
        <v>Grains/Cereals</v>
      </c>
      <c r="H1765">
        <f>VLOOKUP(order_details[[#This Row],[ProductID]], products[], 4, FALSE)</f>
        <v>5</v>
      </c>
      <c r="I1765" t="str">
        <f>VLOOKUP(order_details[[#This Row],[OrderID]], orders[[OrderID]:[ShipCountry]], 14, FALSE)</f>
        <v>France</v>
      </c>
      <c r="J1765" s="1">
        <f>_xlfn.XLOOKUP(order_details[[#This Row],[OrderID]], orders[OrderID], orders[Month])</f>
        <v>4</v>
      </c>
    </row>
    <row r="1766" spans="1:10" x14ac:dyDescent="0.35">
      <c r="A1766">
        <v>10927</v>
      </c>
      <c r="B1766">
        <v>76</v>
      </c>
      <c r="C1766">
        <v>18</v>
      </c>
      <c r="D1766">
        <v>20</v>
      </c>
      <c r="E1766">
        <v>0</v>
      </c>
      <c r="F1766">
        <v>360</v>
      </c>
      <c r="G1766" t="str">
        <f>VLOOKUP(VLOOKUP(order_details[[#This Row],[ProductID]], products[], 4, FALSE), categories[], 2, FALSE)</f>
        <v>Beverages</v>
      </c>
      <c r="H1766">
        <f>VLOOKUP(order_details[[#This Row],[ProductID]], products[], 4, FALSE)</f>
        <v>1</v>
      </c>
      <c r="I1766" t="str">
        <f>VLOOKUP(order_details[[#This Row],[OrderID]], orders[[OrderID]:[ShipCountry]], 14, FALSE)</f>
        <v>France</v>
      </c>
      <c r="J1766" s="1">
        <f>_xlfn.XLOOKUP(order_details[[#This Row],[OrderID]], orders[OrderID], orders[Month])</f>
        <v>4</v>
      </c>
    </row>
    <row r="1767" spans="1:10" x14ac:dyDescent="0.35">
      <c r="A1767">
        <v>10928</v>
      </c>
      <c r="B1767">
        <v>47</v>
      </c>
      <c r="C1767">
        <v>9.5</v>
      </c>
      <c r="D1767">
        <v>5</v>
      </c>
      <c r="E1767">
        <v>0</v>
      </c>
      <c r="F1767">
        <v>47.5</v>
      </c>
      <c r="G1767" t="str">
        <f>VLOOKUP(VLOOKUP(order_details[[#This Row],[ProductID]], products[], 4, FALSE), categories[], 2, FALSE)</f>
        <v>Confections</v>
      </c>
      <c r="H1767">
        <f>VLOOKUP(order_details[[#This Row],[ProductID]], products[], 4, FALSE)</f>
        <v>3</v>
      </c>
      <c r="I1767" t="str">
        <f>VLOOKUP(order_details[[#This Row],[OrderID]], orders[[OrderID]:[ShipCountry]], 14, FALSE)</f>
        <v>Spain</v>
      </c>
      <c r="J1767" s="1">
        <f>_xlfn.XLOOKUP(order_details[[#This Row],[OrderID]], orders[OrderID], orders[Month])</f>
        <v>4</v>
      </c>
    </row>
    <row r="1768" spans="1:10" x14ac:dyDescent="0.35">
      <c r="A1768">
        <v>10928</v>
      </c>
      <c r="B1768">
        <v>76</v>
      </c>
      <c r="C1768">
        <v>18</v>
      </c>
      <c r="D1768">
        <v>5</v>
      </c>
      <c r="E1768">
        <v>0</v>
      </c>
      <c r="F1768">
        <v>90</v>
      </c>
      <c r="G1768" t="str">
        <f>VLOOKUP(VLOOKUP(order_details[[#This Row],[ProductID]], products[], 4, FALSE), categories[], 2, FALSE)</f>
        <v>Beverages</v>
      </c>
      <c r="H1768">
        <f>VLOOKUP(order_details[[#This Row],[ProductID]], products[], 4, FALSE)</f>
        <v>1</v>
      </c>
      <c r="I1768" t="str">
        <f>VLOOKUP(order_details[[#This Row],[OrderID]], orders[[OrderID]:[ShipCountry]], 14, FALSE)</f>
        <v>Spain</v>
      </c>
      <c r="J1768" s="1">
        <f>_xlfn.XLOOKUP(order_details[[#This Row],[OrderID]], orders[OrderID], orders[Month])</f>
        <v>4</v>
      </c>
    </row>
    <row r="1769" spans="1:10" x14ac:dyDescent="0.35">
      <c r="A1769">
        <v>10929</v>
      </c>
      <c r="B1769">
        <v>21</v>
      </c>
      <c r="C1769">
        <v>10</v>
      </c>
      <c r="D1769">
        <v>60</v>
      </c>
      <c r="E1769">
        <v>0</v>
      </c>
      <c r="F1769">
        <v>600</v>
      </c>
      <c r="G1769" t="str">
        <f>VLOOKUP(VLOOKUP(order_details[[#This Row],[ProductID]], products[], 4, FALSE), categories[], 2, FALSE)</f>
        <v>Confections</v>
      </c>
      <c r="H1769">
        <f>VLOOKUP(order_details[[#This Row],[ProductID]], products[], 4, FALSE)</f>
        <v>3</v>
      </c>
      <c r="I1769" t="str">
        <f>VLOOKUP(order_details[[#This Row],[OrderID]], orders[[OrderID]:[ShipCountry]], 14, FALSE)</f>
        <v>Germany</v>
      </c>
      <c r="J1769" s="1">
        <f>_xlfn.XLOOKUP(order_details[[#This Row],[OrderID]], orders[OrderID], orders[Month])</f>
        <v>4</v>
      </c>
    </row>
    <row r="1770" spans="1:10" x14ac:dyDescent="0.35">
      <c r="A1770">
        <v>10929</v>
      </c>
      <c r="B1770">
        <v>75</v>
      </c>
      <c r="C1770">
        <v>7.75</v>
      </c>
      <c r="D1770">
        <v>49</v>
      </c>
      <c r="E1770">
        <v>0</v>
      </c>
      <c r="F1770">
        <v>379.75</v>
      </c>
      <c r="G1770" t="str">
        <f>VLOOKUP(VLOOKUP(order_details[[#This Row],[ProductID]], products[], 4, FALSE), categories[], 2, FALSE)</f>
        <v>Beverages</v>
      </c>
      <c r="H1770">
        <f>VLOOKUP(order_details[[#This Row],[ProductID]], products[], 4, FALSE)</f>
        <v>1</v>
      </c>
      <c r="I1770" t="str">
        <f>VLOOKUP(order_details[[#This Row],[OrderID]], orders[[OrderID]:[ShipCountry]], 14, FALSE)</f>
        <v>Germany</v>
      </c>
      <c r="J1770" s="1">
        <f>_xlfn.XLOOKUP(order_details[[#This Row],[OrderID]], orders[OrderID], orders[Month])</f>
        <v>4</v>
      </c>
    </row>
    <row r="1771" spans="1:10" x14ac:dyDescent="0.35">
      <c r="A1771">
        <v>10929</v>
      </c>
      <c r="B1771">
        <v>77</v>
      </c>
      <c r="C1771">
        <v>13</v>
      </c>
      <c r="D1771">
        <v>15</v>
      </c>
      <c r="E1771">
        <v>0</v>
      </c>
      <c r="F1771">
        <v>195</v>
      </c>
      <c r="G1771" t="str">
        <f>VLOOKUP(VLOOKUP(order_details[[#This Row],[ProductID]], products[], 4, FALSE), categories[], 2, FALSE)</f>
        <v>Condiments</v>
      </c>
      <c r="H1771">
        <f>VLOOKUP(order_details[[#This Row],[ProductID]], products[], 4, FALSE)</f>
        <v>2</v>
      </c>
      <c r="I1771" t="str">
        <f>VLOOKUP(order_details[[#This Row],[OrderID]], orders[[OrderID]:[ShipCountry]], 14, FALSE)</f>
        <v>Germany</v>
      </c>
      <c r="J1771" s="1">
        <f>_xlfn.XLOOKUP(order_details[[#This Row],[OrderID]], orders[OrderID], orders[Month])</f>
        <v>4</v>
      </c>
    </row>
    <row r="1772" spans="1:10" x14ac:dyDescent="0.35">
      <c r="A1772">
        <v>10930</v>
      </c>
      <c r="B1772">
        <v>21</v>
      </c>
      <c r="C1772">
        <v>10</v>
      </c>
      <c r="D1772">
        <v>36</v>
      </c>
      <c r="E1772">
        <v>0</v>
      </c>
      <c r="F1772">
        <v>360</v>
      </c>
      <c r="G1772" t="str">
        <f>VLOOKUP(VLOOKUP(order_details[[#This Row],[ProductID]], products[], 4, FALSE), categories[], 2, FALSE)</f>
        <v>Confections</v>
      </c>
      <c r="H1772">
        <f>VLOOKUP(order_details[[#This Row],[ProductID]], products[], 4, FALSE)</f>
        <v>3</v>
      </c>
      <c r="I1772" t="str">
        <f>VLOOKUP(order_details[[#This Row],[OrderID]], orders[[OrderID]:[ShipCountry]], 14, FALSE)</f>
        <v>Belgium</v>
      </c>
      <c r="J1772" s="1">
        <f>_xlfn.XLOOKUP(order_details[[#This Row],[OrderID]], orders[OrderID], orders[Month])</f>
        <v>4</v>
      </c>
    </row>
    <row r="1773" spans="1:10" x14ac:dyDescent="0.35">
      <c r="A1773">
        <v>10930</v>
      </c>
      <c r="B1773">
        <v>27</v>
      </c>
      <c r="C1773">
        <v>43.9</v>
      </c>
      <c r="D1773">
        <v>25</v>
      </c>
      <c r="E1773">
        <v>0</v>
      </c>
      <c r="F1773">
        <v>1097.5</v>
      </c>
      <c r="G1773" t="str">
        <f>VLOOKUP(VLOOKUP(order_details[[#This Row],[ProductID]], products[], 4, FALSE), categories[], 2, FALSE)</f>
        <v>Confections</v>
      </c>
      <c r="H1773">
        <f>VLOOKUP(order_details[[#This Row],[ProductID]], products[], 4, FALSE)</f>
        <v>3</v>
      </c>
      <c r="I1773" t="str">
        <f>VLOOKUP(order_details[[#This Row],[OrderID]], orders[[OrderID]:[ShipCountry]], 14, FALSE)</f>
        <v>Belgium</v>
      </c>
      <c r="J1773" s="1">
        <f>_xlfn.XLOOKUP(order_details[[#This Row],[OrderID]], orders[OrderID], orders[Month])</f>
        <v>4</v>
      </c>
    </row>
    <row r="1774" spans="1:10" x14ac:dyDescent="0.35">
      <c r="A1774">
        <v>10930</v>
      </c>
      <c r="B1774">
        <v>55</v>
      </c>
      <c r="C1774">
        <v>24</v>
      </c>
      <c r="D1774">
        <v>25</v>
      </c>
      <c r="E1774">
        <v>0.2</v>
      </c>
      <c r="F1774">
        <v>480</v>
      </c>
      <c r="G1774" t="str">
        <f>VLOOKUP(VLOOKUP(order_details[[#This Row],[ProductID]], products[], 4, FALSE), categories[], 2, FALSE)</f>
        <v>Meat/Poultry</v>
      </c>
      <c r="H1774">
        <f>VLOOKUP(order_details[[#This Row],[ProductID]], products[], 4, FALSE)</f>
        <v>6</v>
      </c>
      <c r="I1774" t="str">
        <f>VLOOKUP(order_details[[#This Row],[OrderID]], orders[[OrderID]:[ShipCountry]], 14, FALSE)</f>
        <v>Belgium</v>
      </c>
      <c r="J1774" s="1">
        <f>_xlfn.XLOOKUP(order_details[[#This Row],[OrderID]], orders[OrderID], orders[Month])</f>
        <v>4</v>
      </c>
    </row>
    <row r="1775" spans="1:10" x14ac:dyDescent="0.35">
      <c r="A1775">
        <v>10930</v>
      </c>
      <c r="B1775">
        <v>58</v>
      </c>
      <c r="C1775">
        <v>13.25</v>
      </c>
      <c r="D1775">
        <v>30</v>
      </c>
      <c r="E1775">
        <v>0.2</v>
      </c>
      <c r="F1775">
        <v>318</v>
      </c>
      <c r="G1775" t="str">
        <f>VLOOKUP(VLOOKUP(order_details[[#This Row],[ProductID]], products[], 4, FALSE), categories[], 2, FALSE)</f>
        <v>Seafood</v>
      </c>
      <c r="H1775">
        <f>VLOOKUP(order_details[[#This Row],[ProductID]], products[], 4, FALSE)</f>
        <v>8</v>
      </c>
      <c r="I1775" t="str">
        <f>VLOOKUP(order_details[[#This Row],[OrderID]], orders[[OrderID]:[ShipCountry]], 14, FALSE)</f>
        <v>Belgium</v>
      </c>
      <c r="J1775" s="1">
        <f>_xlfn.XLOOKUP(order_details[[#This Row],[OrderID]], orders[OrderID], orders[Month])</f>
        <v>4</v>
      </c>
    </row>
    <row r="1776" spans="1:10" x14ac:dyDescent="0.35">
      <c r="A1776">
        <v>10931</v>
      </c>
      <c r="B1776">
        <v>13</v>
      </c>
      <c r="C1776">
        <v>6</v>
      </c>
      <c r="D1776">
        <v>42</v>
      </c>
      <c r="E1776">
        <v>0.15</v>
      </c>
      <c r="F1776">
        <v>214.2</v>
      </c>
      <c r="G1776" t="str">
        <f>VLOOKUP(VLOOKUP(order_details[[#This Row],[ProductID]], products[], 4, FALSE), categories[], 2, FALSE)</f>
        <v>Seafood</v>
      </c>
      <c r="H1776">
        <f>VLOOKUP(order_details[[#This Row],[ProductID]], products[], 4, FALSE)</f>
        <v>8</v>
      </c>
      <c r="I1776" t="str">
        <f>VLOOKUP(order_details[[#This Row],[OrderID]], orders[[OrderID]:[ShipCountry]], 14, FALSE)</f>
        <v>Switzerland</v>
      </c>
      <c r="J1776" s="1">
        <f>_xlfn.XLOOKUP(order_details[[#This Row],[OrderID]], orders[OrderID], orders[Month])</f>
        <v>4</v>
      </c>
    </row>
    <row r="1777" spans="1:10" x14ac:dyDescent="0.35">
      <c r="A1777">
        <v>10931</v>
      </c>
      <c r="B1777">
        <v>57</v>
      </c>
      <c r="C1777">
        <v>19.5</v>
      </c>
      <c r="D1777">
        <v>30</v>
      </c>
      <c r="E1777">
        <v>0</v>
      </c>
      <c r="F1777">
        <v>585</v>
      </c>
      <c r="G1777" t="str">
        <f>VLOOKUP(VLOOKUP(order_details[[#This Row],[ProductID]], products[], 4, FALSE), categories[], 2, FALSE)</f>
        <v>Grains/Cereals</v>
      </c>
      <c r="H1777">
        <f>VLOOKUP(order_details[[#This Row],[ProductID]], products[], 4, FALSE)</f>
        <v>5</v>
      </c>
      <c r="I1777" t="str">
        <f>VLOOKUP(order_details[[#This Row],[OrderID]], orders[[OrderID]:[ShipCountry]], 14, FALSE)</f>
        <v>Switzerland</v>
      </c>
      <c r="J1777" s="1">
        <f>_xlfn.XLOOKUP(order_details[[#This Row],[OrderID]], orders[OrderID], orders[Month])</f>
        <v>4</v>
      </c>
    </row>
    <row r="1778" spans="1:10" x14ac:dyDescent="0.35">
      <c r="A1778">
        <v>10932</v>
      </c>
      <c r="B1778">
        <v>16</v>
      </c>
      <c r="C1778">
        <v>17.45</v>
      </c>
      <c r="D1778">
        <v>30</v>
      </c>
      <c r="E1778">
        <v>0.1</v>
      </c>
      <c r="F1778">
        <v>471.15000000000003</v>
      </c>
      <c r="G1778" t="str">
        <f>VLOOKUP(VLOOKUP(order_details[[#This Row],[ProductID]], products[], 4, FALSE), categories[], 2, FALSE)</f>
        <v>Confections</v>
      </c>
      <c r="H1778">
        <f>VLOOKUP(order_details[[#This Row],[ProductID]], products[], 4, FALSE)</f>
        <v>3</v>
      </c>
      <c r="I1778" t="str">
        <f>VLOOKUP(order_details[[#This Row],[OrderID]], orders[[OrderID]:[ShipCountry]], 14, FALSE)</f>
        <v>France</v>
      </c>
      <c r="J1778" s="1">
        <f>_xlfn.XLOOKUP(order_details[[#This Row],[OrderID]], orders[OrderID], orders[Month])</f>
        <v>4</v>
      </c>
    </row>
    <row r="1779" spans="1:10" x14ac:dyDescent="0.35">
      <c r="A1779">
        <v>10932</v>
      </c>
      <c r="B1779">
        <v>62</v>
      </c>
      <c r="C1779">
        <v>49.3</v>
      </c>
      <c r="D1779">
        <v>14</v>
      </c>
      <c r="E1779">
        <v>0.1</v>
      </c>
      <c r="F1779">
        <v>621.17999999999995</v>
      </c>
      <c r="G1779" t="str">
        <f>VLOOKUP(VLOOKUP(order_details[[#This Row],[ProductID]], products[], 4, FALSE), categories[], 2, FALSE)</f>
        <v>Confections</v>
      </c>
      <c r="H1779">
        <f>VLOOKUP(order_details[[#This Row],[ProductID]], products[], 4, FALSE)</f>
        <v>3</v>
      </c>
      <c r="I1779" t="str">
        <f>VLOOKUP(order_details[[#This Row],[OrderID]], orders[[OrderID]:[ShipCountry]], 14, FALSE)</f>
        <v>France</v>
      </c>
      <c r="J1779" s="1">
        <f>_xlfn.XLOOKUP(order_details[[#This Row],[OrderID]], orders[OrderID], orders[Month])</f>
        <v>4</v>
      </c>
    </row>
    <row r="1780" spans="1:10" x14ac:dyDescent="0.35">
      <c r="A1780">
        <v>10932</v>
      </c>
      <c r="B1780">
        <v>72</v>
      </c>
      <c r="C1780">
        <v>34.799999999999997</v>
      </c>
      <c r="D1780">
        <v>16</v>
      </c>
      <c r="E1780">
        <v>0</v>
      </c>
      <c r="F1780">
        <v>556.79999999999995</v>
      </c>
      <c r="G1780" t="str">
        <f>VLOOKUP(VLOOKUP(order_details[[#This Row],[ProductID]], products[], 4, FALSE), categories[], 2, FALSE)</f>
        <v>Dairy Products</v>
      </c>
      <c r="H1780">
        <f>VLOOKUP(order_details[[#This Row],[ProductID]], products[], 4, FALSE)</f>
        <v>4</v>
      </c>
      <c r="I1780" t="str">
        <f>VLOOKUP(order_details[[#This Row],[OrderID]], orders[[OrderID]:[ShipCountry]], 14, FALSE)</f>
        <v>France</v>
      </c>
      <c r="J1780" s="1">
        <f>_xlfn.XLOOKUP(order_details[[#This Row],[OrderID]], orders[OrderID], orders[Month])</f>
        <v>4</v>
      </c>
    </row>
    <row r="1781" spans="1:10" x14ac:dyDescent="0.35">
      <c r="A1781">
        <v>10932</v>
      </c>
      <c r="B1781">
        <v>75</v>
      </c>
      <c r="C1781">
        <v>7.75</v>
      </c>
      <c r="D1781">
        <v>20</v>
      </c>
      <c r="E1781">
        <v>0.1</v>
      </c>
      <c r="F1781">
        <v>139.5</v>
      </c>
      <c r="G1781" t="str">
        <f>VLOOKUP(VLOOKUP(order_details[[#This Row],[ProductID]], products[], 4, FALSE), categories[], 2, FALSE)</f>
        <v>Beverages</v>
      </c>
      <c r="H1781">
        <f>VLOOKUP(order_details[[#This Row],[ProductID]], products[], 4, FALSE)</f>
        <v>1</v>
      </c>
      <c r="I1781" t="str">
        <f>VLOOKUP(order_details[[#This Row],[OrderID]], orders[[OrderID]:[ShipCountry]], 14, FALSE)</f>
        <v>France</v>
      </c>
      <c r="J1781" s="1">
        <f>_xlfn.XLOOKUP(order_details[[#This Row],[OrderID]], orders[OrderID], orders[Month])</f>
        <v>4</v>
      </c>
    </row>
    <row r="1782" spans="1:10" x14ac:dyDescent="0.35">
      <c r="A1782">
        <v>10933</v>
      </c>
      <c r="B1782">
        <v>53</v>
      </c>
      <c r="C1782">
        <v>32.799999999999997</v>
      </c>
      <c r="D1782">
        <v>2</v>
      </c>
      <c r="E1782">
        <v>0</v>
      </c>
      <c r="F1782">
        <v>65.599999999999994</v>
      </c>
      <c r="G1782" t="str">
        <f>VLOOKUP(VLOOKUP(order_details[[#This Row],[ProductID]], products[], 4, FALSE), categories[], 2, FALSE)</f>
        <v>Meat/Poultry</v>
      </c>
      <c r="H1782">
        <f>VLOOKUP(order_details[[#This Row],[ProductID]], products[], 4, FALSE)</f>
        <v>6</v>
      </c>
      <c r="I1782" t="str">
        <f>VLOOKUP(order_details[[#This Row],[OrderID]], orders[[OrderID]:[ShipCountry]], 14, FALSE)</f>
        <v>UK</v>
      </c>
      <c r="J1782" s="1">
        <f>_xlfn.XLOOKUP(order_details[[#This Row],[OrderID]], orders[OrderID], orders[Month])</f>
        <v>4</v>
      </c>
    </row>
    <row r="1783" spans="1:10" x14ac:dyDescent="0.35">
      <c r="A1783">
        <v>10933</v>
      </c>
      <c r="B1783">
        <v>61</v>
      </c>
      <c r="C1783">
        <v>28.5</v>
      </c>
      <c r="D1783">
        <v>30</v>
      </c>
      <c r="E1783">
        <v>0</v>
      </c>
      <c r="F1783">
        <v>855</v>
      </c>
      <c r="G1783" t="str">
        <f>VLOOKUP(VLOOKUP(order_details[[#This Row],[ProductID]], products[], 4, FALSE), categories[], 2, FALSE)</f>
        <v>Condiments</v>
      </c>
      <c r="H1783">
        <f>VLOOKUP(order_details[[#This Row],[ProductID]], products[], 4, FALSE)</f>
        <v>2</v>
      </c>
      <c r="I1783" t="str">
        <f>VLOOKUP(order_details[[#This Row],[OrderID]], orders[[OrderID]:[ShipCountry]], 14, FALSE)</f>
        <v>UK</v>
      </c>
      <c r="J1783" s="1">
        <f>_xlfn.XLOOKUP(order_details[[#This Row],[OrderID]], orders[OrderID], orders[Month])</f>
        <v>4</v>
      </c>
    </row>
    <row r="1784" spans="1:10" x14ac:dyDescent="0.35">
      <c r="A1784">
        <v>10934</v>
      </c>
      <c r="B1784">
        <v>6</v>
      </c>
      <c r="C1784">
        <v>25</v>
      </c>
      <c r="D1784">
        <v>20</v>
      </c>
      <c r="E1784">
        <v>0</v>
      </c>
      <c r="F1784">
        <v>500</v>
      </c>
      <c r="G1784" t="str">
        <f>VLOOKUP(VLOOKUP(order_details[[#This Row],[ProductID]], products[], 4, FALSE), categories[], 2, FALSE)</f>
        <v>Condiments</v>
      </c>
      <c r="H1784">
        <f>VLOOKUP(order_details[[#This Row],[ProductID]], products[], 4, FALSE)</f>
        <v>2</v>
      </c>
      <c r="I1784" t="str">
        <f>VLOOKUP(order_details[[#This Row],[OrderID]], orders[[OrderID]:[ShipCountry]], 14, FALSE)</f>
        <v>Germany</v>
      </c>
      <c r="J1784" s="1">
        <f>_xlfn.XLOOKUP(order_details[[#This Row],[OrderID]], orders[OrderID], orders[Month])</f>
        <v>4</v>
      </c>
    </row>
    <row r="1785" spans="1:10" x14ac:dyDescent="0.35">
      <c r="A1785">
        <v>10935</v>
      </c>
      <c r="B1785">
        <v>1</v>
      </c>
      <c r="C1785">
        <v>18</v>
      </c>
      <c r="D1785">
        <v>21</v>
      </c>
      <c r="E1785">
        <v>0</v>
      </c>
      <c r="F1785">
        <v>378</v>
      </c>
      <c r="G1785" t="str">
        <f>VLOOKUP(VLOOKUP(order_details[[#This Row],[ProductID]], products[], 4, FALSE), categories[], 2, FALSE)</f>
        <v>Beverages</v>
      </c>
      <c r="H1785">
        <f>VLOOKUP(order_details[[#This Row],[ProductID]], products[], 4, FALSE)</f>
        <v>1</v>
      </c>
      <c r="I1785" t="str">
        <f>VLOOKUP(order_details[[#This Row],[OrderID]], orders[[OrderID]:[ShipCountry]], 14, FALSE)</f>
        <v>Brazil</v>
      </c>
      <c r="J1785" s="1">
        <f>_xlfn.XLOOKUP(order_details[[#This Row],[OrderID]], orders[OrderID], orders[Month])</f>
        <v>4</v>
      </c>
    </row>
    <row r="1786" spans="1:10" x14ac:dyDescent="0.35">
      <c r="A1786">
        <v>10935</v>
      </c>
      <c r="B1786">
        <v>18</v>
      </c>
      <c r="C1786">
        <v>62.5</v>
      </c>
      <c r="D1786">
        <v>4</v>
      </c>
      <c r="E1786">
        <v>0.25</v>
      </c>
      <c r="F1786">
        <v>187.5</v>
      </c>
      <c r="G1786" t="str">
        <f>VLOOKUP(VLOOKUP(order_details[[#This Row],[ProductID]], products[], 4, FALSE), categories[], 2, FALSE)</f>
        <v>Seafood</v>
      </c>
      <c r="H1786">
        <f>VLOOKUP(order_details[[#This Row],[ProductID]], products[], 4, FALSE)</f>
        <v>8</v>
      </c>
      <c r="I1786" t="str">
        <f>VLOOKUP(order_details[[#This Row],[OrderID]], orders[[OrderID]:[ShipCountry]], 14, FALSE)</f>
        <v>Brazil</v>
      </c>
      <c r="J1786" s="1">
        <f>_xlfn.XLOOKUP(order_details[[#This Row],[OrderID]], orders[OrderID], orders[Month])</f>
        <v>4</v>
      </c>
    </row>
    <row r="1787" spans="1:10" x14ac:dyDescent="0.35">
      <c r="A1787">
        <v>10935</v>
      </c>
      <c r="B1787">
        <v>23</v>
      </c>
      <c r="C1787">
        <v>9</v>
      </c>
      <c r="D1787">
        <v>8</v>
      </c>
      <c r="E1787">
        <v>0.25</v>
      </c>
      <c r="F1787">
        <v>54</v>
      </c>
      <c r="G1787" t="str">
        <f>VLOOKUP(VLOOKUP(order_details[[#This Row],[ProductID]], products[], 4, FALSE), categories[], 2, FALSE)</f>
        <v>Grains/Cereals</v>
      </c>
      <c r="H1787">
        <f>VLOOKUP(order_details[[#This Row],[ProductID]], products[], 4, FALSE)</f>
        <v>5</v>
      </c>
      <c r="I1787" t="str">
        <f>VLOOKUP(order_details[[#This Row],[OrderID]], orders[[OrderID]:[ShipCountry]], 14, FALSE)</f>
        <v>Brazil</v>
      </c>
      <c r="J1787" s="1">
        <f>_xlfn.XLOOKUP(order_details[[#This Row],[OrderID]], orders[OrderID], orders[Month])</f>
        <v>4</v>
      </c>
    </row>
    <row r="1788" spans="1:10" x14ac:dyDescent="0.35">
      <c r="A1788">
        <v>10936</v>
      </c>
      <c r="B1788">
        <v>36</v>
      </c>
      <c r="C1788">
        <v>19</v>
      </c>
      <c r="D1788">
        <v>30</v>
      </c>
      <c r="E1788">
        <v>0.2</v>
      </c>
      <c r="F1788">
        <v>456</v>
      </c>
      <c r="G1788" t="str">
        <f>VLOOKUP(VLOOKUP(order_details[[#This Row],[ProductID]], products[], 4, FALSE), categories[], 2, FALSE)</f>
        <v>Seafood</v>
      </c>
      <c r="H1788">
        <f>VLOOKUP(order_details[[#This Row],[ProductID]], products[], 4, FALSE)</f>
        <v>8</v>
      </c>
      <c r="I1788" t="str">
        <f>VLOOKUP(order_details[[#This Row],[OrderID]], orders[[OrderID]:[ShipCountry]], 14, FALSE)</f>
        <v>USA</v>
      </c>
      <c r="J1788" s="1">
        <f>_xlfn.XLOOKUP(order_details[[#This Row],[OrderID]], orders[OrderID], orders[Month])</f>
        <v>4</v>
      </c>
    </row>
    <row r="1789" spans="1:10" x14ac:dyDescent="0.35">
      <c r="A1789">
        <v>10937</v>
      </c>
      <c r="B1789">
        <v>28</v>
      </c>
      <c r="C1789">
        <v>45.6</v>
      </c>
      <c r="D1789">
        <v>8</v>
      </c>
      <c r="E1789">
        <v>0</v>
      </c>
      <c r="F1789">
        <v>364.8</v>
      </c>
      <c r="G1789" t="str">
        <f>VLOOKUP(VLOOKUP(order_details[[#This Row],[ProductID]], products[], 4, FALSE), categories[], 2, FALSE)</f>
        <v>Produce</v>
      </c>
      <c r="H1789">
        <f>VLOOKUP(order_details[[#This Row],[ProductID]], products[], 4, FALSE)</f>
        <v>7</v>
      </c>
      <c r="I1789" t="str">
        <f>VLOOKUP(order_details[[#This Row],[OrderID]], orders[[OrderID]:[ShipCountry]], 14, FALSE)</f>
        <v>Argentina</v>
      </c>
      <c r="J1789" s="1">
        <f>_xlfn.XLOOKUP(order_details[[#This Row],[OrderID]], orders[OrderID], orders[Month])</f>
        <v>4</v>
      </c>
    </row>
    <row r="1790" spans="1:10" x14ac:dyDescent="0.35">
      <c r="A1790">
        <v>10937</v>
      </c>
      <c r="B1790">
        <v>34</v>
      </c>
      <c r="C1790">
        <v>14</v>
      </c>
      <c r="D1790">
        <v>20</v>
      </c>
      <c r="E1790">
        <v>0</v>
      </c>
      <c r="F1790">
        <v>280</v>
      </c>
      <c r="G1790" t="str">
        <f>VLOOKUP(VLOOKUP(order_details[[#This Row],[ProductID]], products[], 4, FALSE), categories[], 2, FALSE)</f>
        <v>Beverages</v>
      </c>
      <c r="H1790">
        <f>VLOOKUP(order_details[[#This Row],[ProductID]], products[], 4, FALSE)</f>
        <v>1</v>
      </c>
      <c r="I1790" t="str">
        <f>VLOOKUP(order_details[[#This Row],[OrderID]], orders[[OrderID]:[ShipCountry]], 14, FALSE)</f>
        <v>Argentina</v>
      </c>
      <c r="J1790" s="1">
        <f>_xlfn.XLOOKUP(order_details[[#This Row],[OrderID]], orders[OrderID], orders[Month])</f>
        <v>4</v>
      </c>
    </row>
    <row r="1791" spans="1:10" x14ac:dyDescent="0.35">
      <c r="A1791">
        <v>10938</v>
      </c>
      <c r="B1791">
        <v>13</v>
      </c>
      <c r="C1791">
        <v>6</v>
      </c>
      <c r="D1791">
        <v>20</v>
      </c>
      <c r="E1791">
        <v>0.25</v>
      </c>
      <c r="F1791">
        <v>90</v>
      </c>
      <c r="G1791" t="str">
        <f>VLOOKUP(VLOOKUP(order_details[[#This Row],[ProductID]], products[], 4, FALSE), categories[], 2, FALSE)</f>
        <v>Seafood</v>
      </c>
      <c r="H1791">
        <f>VLOOKUP(order_details[[#This Row],[ProductID]], products[], 4, FALSE)</f>
        <v>8</v>
      </c>
      <c r="I1791" t="str">
        <f>VLOOKUP(order_details[[#This Row],[OrderID]], orders[[OrderID]:[ShipCountry]], 14, FALSE)</f>
        <v>Germany</v>
      </c>
      <c r="J1791" s="1">
        <f>_xlfn.XLOOKUP(order_details[[#This Row],[OrderID]], orders[OrderID], orders[Month])</f>
        <v>4</v>
      </c>
    </row>
    <row r="1792" spans="1:10" x14ac:dyDescent="0.35">
      <c r="A1792">
        <v>10938</v>
      </c>
      <c r="B1792">
        <v>43</v>
      </c>
      <c r="C1792">
        <v>46</v>
      </c>
      <c r="D1792">
        <v>24</v>
      </c>
      <c r="E1792">
        <v>0.25</v>
      </c>
      <c r="F1792">
        <v>828</v>
      </c>
      <c r="G1792" t="str">
        <f>VLOOKUP(VLOOKUP(order_details[[#This Row],[ProductID]], products[], 4, FALSE), categories[], 2, FALSE)</f>
        <v>Beverages</v>
      </c>
      <c r="H1792">
        <f>VLOOKUP(order_details[[#This Row],[ProductID]], products[], 4, FALSE)</f>
        <v>1</v>
      </c>
      <c r="I1792" t="str">
        <f>VLOOKUP(order_details[[#This Row],[OrderID]], orders[[OrderID]:[ShipCountry]], 14, FALSE)</f>
        <v>Germany</v>
      </c>
      <c r="J1792" s="1">
        <f>_xlfn.XLOOKUP(order_details[[#This Row],[OrderID]], orders[OrderID], orders[Month])</f>
        <v>4</v>
      </c>
    </row>
    <row r="1793" spans="1:10" x14ac:dyDescent="0.35">
      <c r="A1793">
        <v>10938</v>
      </c>
      <c r="B1793">
        <v>60</v>
      </c>
      <c r="C1793">
        <v>34</v>
      </c>
      <c r="D1793">
        <v>49</v>
      </c>
      <c r="E1793">
        <v>0.25</v>
      </c>
      <c r="F1793">
        <v>1249.5</v>
      </c>
      <c r="G1793" t="str">
        <f>VLOOKUP(VLOOKUP(order_details[[#This Row],[ProductID]], products[], 4, FALSE), categories[], 2, FALSE)</f>
        <v>Dairy Products</v>
      </c>
      <c r="H1793">
        <f>VLOOKUP(order_details[[#This Row],[ProductID]], products[], 4, FALSE)</f>
        <v>4</v>
      </c>
      <c r="I1793" t="str">
        <f>VLOOKUP(order_details[[#This Row],[OrderID]], orders[[OrderID]:[ShipCountry]], 14, FALSE)</f>
        <v>Germany</v>
      </c>
      <c r="J1793" s="1">
        <f>_xlfn.XLOOKUP(order_details[[#This Row],[OrderID]], orders[OrderID], orders[Month])</f>
        <v>4</v>
      </c>
    </row>
    <row r="1794" spans="1:10" x14ac:dyDescent="0.35">
      <c r="A1794">
        <v>10938</v>
      </c>
      <c r="B1794">
        <v>71</v>
      </c>
      <c r="C1794">
        <v>21.5</v>
      </c>
      <c r="D1794">
        <v>35</v>
      </c>
      <c r="E1794">
        <v>0.25</v>
      </c>
      <c r="F1794">
        <v>564.375</v>
      </c>
      <c r="G1794" t="str">
        <f>VLOOKUP(VLOOKUP(order_details[[#This Row],[ProductID]], products[], 4, FALSE), categories[], 2, FALSE)</f>
        <v>Dairy Products</v>
      </c>
      <c r="H1794">
        <f>VLOOKUP(order_details[[#This Row],[ProductID]], products[], 4, FALSE)</f>
        <v>4</v>
      </c>
      <c r="I1794" t="str">
        <f>VLOOKUP(order_details[[#This Row],[OrderID]], orders[[OrderID]:[ShipCountry]], 14, FALSE)</f>
        <v>Germany</v>
      </c>
      <c r="J1794" s="1">
        <f>_xlfn.XLOOKUP(order_details[[#This Row],[OrderID]], orders[OrderID], orders[Month])</f>
        <v>4</v>
      </c>
    </row>
    <row r="1795" spans="1:10" x14ac:dyDescent="0.35">
      <c r="A1795">
        <v>10939</v>
      </c>
      <c r="B1795">
        <v>2</v>
      </c>
      <c r="C1795">
        <v>19</v>
      </c>
      <c r="D1795">
        <v>10</v>
      </c>
      <c r="E1795">
        <v>0.15</v>
      </c>
      <c r="F1795">
        <v>161.5</v>
      </c>
      <c r="G1795" t="str">
        <f>VLOOKUP(VLOOKUP(order_details[[#This Row],[ProductID]], products[], 4, FALSE), categories[], 2, FALSE)</f>
        <v>Beverages</v>
      </c>
      <c r="H1795">
        <f>VLOOKUP(order_details[[#This Row],[ProductID]], products[], 4, FALSE)</f>
        <v>1</v>
      </c>
      <c r="I1795" t="str">
        <f>VLOOKUP(order_details[[#This Row],[OrderID]], orders[[OrderID]:[ShipCountry]], 14, FALSE)</f>
        <v>Italy</v>
      </c>
      <c r="J1795" s="1">
        <f>_xlfn.XLOOKUP(order_details[[#This Row],[OrderID]], orders[OrderID], orders[Month])</f>
        <v>4</v>
      </c>
    </row>
    <row r="1796" spans="1:10" x14ac:dyDescent="0.35">
      <c r="A1796">
        <v>10939</v>
      </c>
      <c r="B1796">
        <v>67</v>
      </c>
      <c r="C1796">
        <v>14</v>
      </c>
      <c r="D1796">
        <v>40</v>
      </c>
      <c r="E1796">
        <v>0.15</v>
      </c>
      <c r="F1796">
        <v>476</v>
      </c>
      <c r="G1796" t="str">
        <f>VLOOKUP(VLOOKUP(order_details[[#This Row],[ProductID]], products[], 4, FALSE), categories[], 2, FALSE)</f>
        <v>Beverages</v>
      </c>
      <c r="H1796">
        <f>VLOOKUP(order_details[[#This Row],[ProductID]], products[], 4, FALSE)</f>
        <v>1</v>
      </c>
      <c r="I1796" t="str">
        <f>VLOOKUP(order_details[[#This Row],[OrderID]], orders[[OrderID]:[ShipCountry]], 14, FALSE)</f>
        <v>Italy</v>
      </c>
      <c r="J1796" s="1">
        <f>_xlfn.XLOOKUP(order_details[[#This Row],[OrderID]], orders[OrderID], orders[Month])</f>
        <v>4</v>
      </c>
    </row>
    <row r="1797" spans="1:10" x14ac:dyDescent="0.35">
      <c r="A1797">
        <v>10940</v>
      </c>
      <c r="B1797">
        <v>7</v>
      </c>
      <c r="C1797">
        <v>30</v>
      </c>
      <c r="D1797">
        <v>8</v>
      </c>
      <c r="E1797">
        <v>0</v>
      </c>
      <c r="F1797">
        <v>240</v>
      </c>
      <c r="G1797" t="str">
        <f>VLOOKUP(VLOOKUP(order_details[[#This Row],[ProductID]], products[], 4, FALSE), categories[], 2, FALSE)</f>
        <v>Produce</v>
      </c>
      <c r="H1797">
        <f>VLOOKUP(order_details[[#This Row],[ProductID]], products[], 4, FALSE)</f>
        <v>7</v>
      </c>
      <c r="I1797" t="str">
        <f>VLOOKUP(order_details[[#This Row],[OrderID]], orders[[OrderID]:[ShipCountry]], 14, FALSE)</f>
        <v>France</v>
      </c>
      <c r="J1797" s="1">
        <f>_xlfn.XLOOKUP(order_details[[#This Row],[OrderID]], orders[OrderID], orders[Month])</f>
        <v>4</v>
      </c>
    </row>
    <row r="1798" spans="1:10" x14ac:dyDescent="0.35">
      <c r="A1798">
        <v>10940</v>
      </c>
      <c r="B1798">
        <v>13</v>
      </c>
      <c r="C1798">
        <v>6</v>
      </c>
      <c r="D1798">
        <v>20</v>
      </c>
      <c r="E1798">
        <v>0</v>
      </c>
      <c r="F1798">
        <v>120</v>
      </c>
      <c r="G1798" t="str">
        <f>VLOOKUP(VLOOKUP(order_details[[#This Row],[ProductID]], products[], 4, FALSE), categories[], 2, FALSE)</f>
        <v>Seafood</v>
      </c>
      <c r="H1798">
        <f>VLOOKUP(order_details[[#This Row],[ProductID]], products[], 4, FALSE)</f>
        <v>8</v>
      </c>
      <c r="I1798" t="str">
        <f>VLOOKUP(order_details[[#This Row],[OrderID]], orders[[OrderID]:[ShipCountry]], 14, FALSE)</f>
        <v>France</v>
      </c>
      <c r="J1798" s="1">
        <f>_xlfn.XLOOKUP(order_details[[#This Row],[OrderID]], orders[OrderID], orders[Month])</f>
        <v>4</v>
      </c>
    </row>
    <row r="1799" spans="1:10" x14ac:dyDescent="0.35">
      <c r="A1799">
        <v>10941</v>
      </c>
      <c r="B1799">
        <v>31</v>
      </c>
      <c r="C1799">
        <v>12.5</v>
      </c>
      <c r="D1799">
        <v>44</v>
      </c>
      <c r="E1799">
        <v>0.25</v>
      </c>
      <c r="F1799">
        <v>412.5</v>
      </c>
      <c r="G1799" t="str">
        <f>VLOOKUP(VLOOKUP(order_details[[#This Row],[ProductID]], products[], 4, FALSE), categories[], 2, FALSE)</f>
        <v>Dairy Products</v>
      </c>
      <c r="H1799">
        <f>VLOOKUP(order_details[[#This Row],[ProductID]], products[], 4, FALSE)</f>
        <v>4</v>
      </c>
      <c r="I1799" t="str">
        <f>VLOOKUP(order_details[[#This Row],[OrderID]], orders[[OrderID]:[ShipCountry]], 14, FALSE)</f>
        <v>USA</v>
      </c>
      <c r="J1799" s="1">
        <f>_xlfn.XLOOKUP(order_details[[#This Row],[OrderID]], orders[OrderID], orders[Month])</f>
        <v>4</v>
      </c>
    </row>
    <row r="1800" spans="1:10" x14ac:dyDescent="0.35">
      <c r="A1800">
        <v>10941</v>
      </c>
      <c r="B1800">
        <v>62</v>
      </c>
      <c r="C1800">
        <v>49.3</v>
      </c>
      <c r="D1800">
        <v>30</v>
      </c>
      <c r="E1800">
        <v>0.25</v>
      </c>
      <c r="F1800">
        <v>1109.25</v>
      </c>
      <c r="G1800" t="str">
        <f>VLOOKUP(VLOOKUP(order_details[[#This Row],[ProductID]], products[], 4, FALSE), categories[], 2, FALSE)</f>
        <v>Confections</v>
      </c>
      <c r="H1800">
        <f>VLOOKUP(order_details[[#This Row],[ProductID]], products[], 4, FALSE)</f>
        <v>3</v>
      </c>
      <c r="I1800" t="str">
        <f>VLOOKUP(order_details[[#This Row],[OrderID]], orders[[OrderID]:[ShipCountry]], 14, FALSE)</f>
        <v>USA</v>
      </c>
      <c r="J1800" s="1">
        <f>_xlfn.XLOOKUP(order_details[[#This Row],[OrderID]], orders[OrderID], orders[Month])</f>
        <v>4</v>
      </c>
    </row>
    <row r="1801" spans="1:10" x14ac:dyDescent="0.35">
      <c r="A1801">
        <v>10941</v>
      </c>
      <c r="B1801">
        <v>68</v>
      </c>
      <c r="C1801">
        <v>12.5</v>
      </c>
      <c r="D1801">
        <v>80</v>
      </c>
      <c r="E1801">
        <v>0.25</v>
      </c>
      <c r="F1801">
        <v>750</v>
      </c>
      <c r="G1801" t="str">
        <f>VLOOKUP(VLOOKUP(order_details[[#This Row],[ProductID]], products[], 4, FALSE), categories[], 2, FALSE)</f>
        <v>Confections</v>
      </c>
      <c r="H1801">
        <f>VLOOKUP(order_details[[#This Row],[ProductID]], products[], 4, FALSE)</f>
        <v>3</v>
      </c>
      <c r="I1801" t="str">
        <f>VLOOKUP(order_details[[#This Row],[OrderID]], orders[[OrderID]:[ShipCountry]], 14, FALSE)</f>
        <v>USA</v>
      </c>
      <c r="J1801" s="1">
        <f>_xlfn.XLOOKUP(order_details[[#This Row],[OrderID]], orders[OrderID], orders[Month])</f>
        <v>4</v>
      </c>
    </row>
    <row r="1802" spans="1:10" x14ac:dyDescent="0.35">
      <c r="A1802">
        <v>10941</v>
      </c>
      <c r="B1802">
        <v>72</v>
      </c>
      <c r="C1802">
        <v>34.799999999999997</v>
      </c>
      <c r="D1802">
        <v>50</v>
      </c>
      <c r="E1802">
        <v>0</v>
      </c>
      <c r="F1802">
        <v>1739.9999999999998</v>
      </c>
      <c r="G1802" t="str">
        <f>VLOOKUP(VLOOKUP(order_details[[#This Row],[ProductID]], products[], 4, FALSE), categories[], 2, FALSE)</f>
        <v>Dairy Products</v>
      </c>
      <c r="H1802">
        <f>VLOOKUP(order_details[[#This Row],[ProductID]], products[], 4, FALSE)</f>
        <v>4</v>
      </c>
      <c r="I1802" t="str">
        <f>VLOOKUP(order_details[[#This Row],[OrderID]], orders[[OrderID]:[ShipCountry]], 14, FALSE)</f>
        <v>USA</v>
      </c>
      <c r="J1802" s="1">
        <f>_xlfn.XLOOKUP(order_details[[#This Row],[OrderID]], orders[OrderID], orders[Month])</f>
        <v>4</v>
      </c>
    </row>
    <row r="1803" spans="1:10" x14ac:dyDescent="0.35">
      <c r="A1803">
        <v>10942</v>
      </c>
      <c r="B1803">
        <v>49</v>
      </c>
      <c r="C1803">
        <v>20</v>
      </c>
      <c r="D1803">
        <v>28</v>
      </c>
      <c r="E1803">
        <v>0</v>
      </c>
      <c r="F1803">
        <v>560</v>
      </c>
      <c r="G1803" t="str">
        <f>VLOOKUP(VLOOKUP(order_details[[#This Row],[ProductID]], products[], 4, FALSE), categories[], 2, FALSE)</f>
        <v>Confections</v>
      </c>
      <c r="H1803">
        <f>VLOOKUP(order_details[[#This Row],[ProductID]], products[], 4, FALSE)</f>
        <v>3</v>
      </c>
      <c r="I1803" t="str">
        <f>VLOOKUP(order_details[[#This Row],[OrderID]], orders[[OrderID]:[ShipCountry]], 14, FALSE)</f>
        <v>Italy</v>
      </c>
      <c r="J1803" s="1">
        <f>_xlfn.XLOOKUP(order_details[[#This Row],[OrderID]], orders[OrderID], orders[Month])</f>
        <v>4</v>
      </c>
    </row>
    <row r="1804" spans="1:10" x14ac:dyDescent="0.35">
      <c r="A1804">
        <v>10943</v>
      </c>
      <c r="B1804">
        <v>13</v>
      </c>
      <c r="C1804">
        <v>6</v>
      </c>
      <c r="D1804">
        <v>15</v>
      </c>
      <c r="E1804">
        <v>0</v>
      </c>
      <c r="F1804">
        <v>90</v>
      </c>
      <c r="G1804" t="str">
        <f>VLOOKUP(VLOOKUP(order_details[[#This Row],[ProductID]], products[], 4, FALSE), categories[], 2, FALSE)</f>
        <v>Seafood</v>
      </c>
      <c r="H1804">
        <f>VLOOKUP(order_details[[#This Row],[ProductID]], products[], 4, FALSE)</f>
        <v>8</v>
      </c>
      <c r="I1804" t="str">
        <f>VLOOKUP(order_details[[#This Row],[OrderID]], orders[[OrderID]:[ShipCountry]], 14, FALSE)</f>
        <v>UK</v>
      </c>
      <c r="J1804" s="1">
        <f>_xlfn.XLOOKUP(order_details[[#This Row],[OrderID]], orders[OrderID], orders[Month])</f>
        <v>4</v>
      </c>
    </row>
    <row r="1805" spans="1:10" x14ac:dyDescent="0.35">
      <c r="A1805">
        <v>10943</v>
      </c>
      <c r="B1805">
        <v>22</v>
      </c>
      <c r="C1805">
        <v>21</v>
      </c>
      <c r="D1805">
        <v>21</v>
      </c>
      <c r="E1805">
        <v>0</v>
      </c>
      <c r="F1805">
        <v>441</v>
      </c>
      <c r="G1805" t="str">
        <f>VLOOKUP(VLOOKUP(order_details[[#This Row],[ProductID]], products[], 4, FALSE), categories[], 2, FALSE)</f>
        <v>Grains/Cereals</v>
      </c>
      <c r="H1805">
        <f>VLOOKUP(order_details[[#This Row],[ProductID]], products[], 4, FALSE)</f>
        <v>5</v>
      </c>
      <c r="I1805" t="str">
        <f>VLOOKUP(order_details[[#This Row],[OrderID]], orders[[OrderID]:[ShipCountry]], 14, FALSE)</f>
        <v>UK</v>
      </c>
      <c r="J1805" s="1">
        <f>_xlfn.XLOOKUP(order_details[[#This Row],[OrderID]], orders[OrderID], orders[Month])</f>
        <v>4</v>
      </c>
    </row>
    <row r="1806" spans="1:10" x14ac:dyDescent="0.35">
      <c r="A1806">
        <v>10943</v>
      </c>
      <c r="B1806">
        <v>46</v>
      </c>
      <c r="C1806">
        <v>12</v>
      </c>
      <c r="D1806">
        <v>15</v>
      </c>
      <c r="E1806">
        <v>0</v>
      </c>
      <c r="F1806">
        <v>180</v>
      </c>
      <c r="G1806" t="str">
        <f>VLOOKUP(VLOOKUP(order_details[[#This Row],[ProductID]], products[], 4, FALSE), categories[], 2, FALSE)</f>
        <v>Seafood</v>
      </c>
      <c r="H1806">
        <f>VLOOKUP(order_details[[#This Row],[ProductID]], products[], 4, FALSE)</f>
        <v>8</v>
      </c>
      <c r="I1806" t="str">
        <f>VLOOKUP(order_details[[#This Row],[OrderID]], orders[[OrderID]:[ShipCountry]], 14, FALSE)</f>
        <v>UK</v>
      </c>
      <c r="J1806" s="1">
        <f>_xlfn.XLOOKUP(order_details[[#This Row],[OrderID]], orders[OrderID], orders[Month])</f>
        <v>4</v>
      </c>
    </row>
    <row r="1807" spans="1:10" x14ac:dyDescent="0.35">
      <c r="A1807">
        <v>10944</v>
      </c>
      <c r="B1807">
        <v>11</v>
      </c>
      <c r="C1807">
        <v>21</v>
      </c>
      <c r="D1807">
        <v>5</v>
      </c>
      <c r="E1807">
        <v>0.25</v>
      </c>
      <c r="F1807">
        <v>78.75</v>
      </c>
      <c r="G1807" t="str">
        <f>VLOOKUP(VLOOKUP(order_details[[#This Row],[ProductID]], products[], 4, FALSE), categories[], 2, FALSE)</f>
        <v>Dairy Products</v>
      </c>
      <c r="H1807">
        <f>VLOOKUP(order_details[[#This Row],[ProductID]], products[], 4, FALSE)</f>
        <v>4</v>
      </c>
      <c r="I1807" t="str">
        <f>VLOOKUP(order_details[[#This Row],[OrderID]], orders[[OrderID]:[ShipCountry]], 14, FALSE)</f>
        <v>Canada</v>
      </c>
      <c r="J1807" s="1">
        <f>_xlfn.XLOOKUP(order_details[[#This Row],[OrderID]], orders[OrderID], orders[Month])</f>
        <v>4</v>
      </c>
    </row>
    <row r="1808" spans="1:10" x14ac:dyDescent="0.35">
      <c r="A1808">
        <v>10944</v>
      </c>
      <c r="B1808">
        <v>44</v>
      </c>
      <c r="C1808">
        <v>19.45</v>
      </c>
      <c r="D1808">
        <v>18</v>
      </c>
      <c r="E1808">
        <v>0.25</v>
      </c>
      <c r="F1808">
        <v>262.57499999999999</v>
      </c>
      <c r="G1808" t="str">
        <f>VLOOKUP(VLOOKUP(order_details[[#This Row],[ProductID]], products[], 4, FALSE), categories[], 2, FALSE)</f>
        <v>Condiments</v>
      </c>
      <c r="H1808">
        <f>VLOOKUP(order_details[[#This Row],[ProductID]], products[], 4, FALSE)</f>
        <v>2</v>
      </c>
      <c r="I1808" t="str">
        <f>VLOOKUP(order_details[[#This Row],[OrderID]], orders[[OrderID]:[ShipCountry]], 14, FALSE)</f>
        <v>Canada</v>
      </c>
      <c r="J1808" s="1">
        <f>_xlfn.XLOOKUP(order_details[[#This Row],[OrderID]], orders[OrderID], orders[Month])</f>
        <v>4</v>
      </c>
    </row>
    <row r="1809" spans="1:10" x14ac:dyDescent="0.35">
      <c r="A1809">
        <v>10944</v>
      </c>
      <c r="B1809">
        <v>56</v>
      </c>
      <c r="C1809">
        <v>38</v>
      </c>
      <c r="D1809">
        <v>18</v>
      </c>
      <c r="E1809">
        <v>0</v>
      </c>
      <c r="F1809">
        <v>684</v>
      </c>
      <c r="G1809" t="str">
        <f>VLOOKUP(VLOOKUP(order_details[[#This Row],[ProductID]], products[], 4, FALSE), categories[], 2, FALSE)</f>
        <v>Grains/Cereals</v>
      </c>
      <c r="H1809">
        <f>VLOOKUP(order_details[[#This Row],[ProductID]], products[], 4, FALSE)</f>
        <v>5</v>
      </c>
      <c r="I1809" t="str">
        <f>VLOOKUP(order_details[[#This Row],[OrderID]], orders[[OrderID]:[ShipCountry]], 14, FALSE)</f>
        <v>Canada</v>
      </c>
      <c r="J1809" s="1">
        <f>_xlfn.XLOOKUP(order_details[[#This Row],[OrderID]], orders[OrderID], orders[Month])</f>
        <v>4</v>
      </c>
    </row>
    <row r="1810" spans="1:10" x14ac:dyDescent="0.35">
      <c r="A1810">
        <v>10945</v>
      </c>
      <c r="B1810">
        <v>13</v>
      </c>
      <c r="C1810">
        <v>6</v>
      </c>
      <c r="D1810">
        <v>20</v>
      </c>
      <c r="E1810">
        <v>0</v>
      </c>
      <c r="F1810">
        <v>120</v>
      </c>
      <c r="G1810" t="str">
        <f>VLOOKUP(VLOOKUP(order_details[[#This Row],[ProductID]], products[], 4, FALSE), categories[], 2, FALSE)</f>
        <v>Seafood</v>
      </c>
      <c r="H1810">
        <f>VLOOKUP(order_details[[#This Row],[ProductID]], products[], 4, FALSE)</f>
        <v>8</v>
      </c>
      <c r="I1810" t="str">
        <f>VLOOKUP(order_details[[#This Row],[OrderID]], orders[[OrderID]:[ShipCountry]], 14, FALSE)</f>
        <v>Germany</v>
      </c>
      <c r="J1810" s="1">
        <f>_xlfn.XLOOKUP(order_details[[#This Row],[OrderID]], orders[OrderID], orders[Month])</f>
        <v>4</v>
      </c>
    </row>
    <row r="1811" spans="1:10" x14ac:dyDescent="0.35">
      <c r="A1811">
        <v>10945</v>
      </c>
      <c r="B1811">
        <v>31</v>
      </c>
      <c r="C1811">
        <v>12.5</v>
      </c>
      <c r="D1811">
        <v>10</v>
      </c>
      <c r="E1811">
        <v>0</v>
      </c>
      <c r="F1811">
        <v>125</v>
      </c>
      <c r="G1811" t="str">
        <f>VLOOKUP(VLOOKUP(order_details[[#This Row],[ProductID]], products[], 4, FALSE), categories[], 2, FALSE)</f>
        <v>Dairy Products</v>
      </c>
      <c r="H1811">
        <f>VLOOKUP(order_details[[#This Row],[ProductID]], products[], 4, FALSE)</f>
        <v>4</v>
      </c>
      <c r="I1811" t="str">
        <f>VLOOKUP(order_details[[#This Row],[OrderID]], orders[[OrderID]:[ShipCountry]], 14, FALSE)</f>
        <v>Germany</v>
      </c>
      <c r="J1811" s="1">
        <f>_xlfn.XLOOKUP(order_details[[#This Row],[OrderID]], orders[OrderID], orders[Month])</f>
        <v>4</v>
      </c>
    </row>
    <row r="1812" spans="1:10" x14ac:dyDescent="0.35">
      <c r="A1812">
        <v>10946</v>
      </c>
      <c r="B1812">
        <v>10</v>
      </c>
      <c r="C1812">
        <v>31</v>
      </c>
      <c r="D1812">
        <v>25</v>
      </c>
      <c r="E1812">
        <v>0</v>
      </c>
      <c r="F1812">
        <v>775</v>
      </c>
      <c r="G1812" t="str">
        <f>VLOOKUP(VLOOKUP(order_details[[#This Row],[ProductID]], products[], 4, FALSE), categories[], 2, FALSE)</f>
        <v>Seafood</v>
      </c>
      <c r="H1812">
        <f>VLOOKUP(order_details[[#This Row],[ProductID]], products[], 4, FALSE)</f>
        <v>8</v>
      </c>
      <c r="I1812" t="str">
        <f>VLOOKUP(order_details[[#This Row],[OrderID]], orders[[OrderID]:[ShipCountry]], 14, FALSE)</f>
        <v>Denmark</v>
      </c>
      <c r="J1812" s="1">
        <f>_xlfn.XLOOKUP(order_details[[#This Row],[OrderID]], orders[OrderID], orders[Month])</f>
        <v>4</v>
      </c>
    </row>
    <row r="1813" spans="1:10" x14ac:dyDescent="0.35">
      <c r="A1813">
        <v>10946</v>
      </c>
      <c r="B1813">
        <v>24</v>
      </c>
      <c r="C1813">
        <v>4.5</v>
      </c>
      <c r="D1813">
        <v>25</v>
      </c>
      <c r="E1813">
        <v>0</v>
      </c>
      <c r="F1813">
        <v>112.5</v>
      </c>
      <c r="G1813" t="str">
        <f>VLOOKUP(VLOOKUP(order_details[[#This Row],[ProductID]], products[], 4, FALSE), categories[], 2, FALSE)</f>
        <v>Beverages</v>
      </c>
      <c r="H1813">
        <f>VLOOKUP(order_details[[#This Row],[ProductID]], products[], 4, FALSE)</f>
        <v>1</v>
      </c>
      <c r="I1813" t="str">
        <f>VLOOKUP(order_details[[#This Row],[OrderID]], orders[[OrderID]:[ShipCountry]], 14, FALSE)</f>
        <v>Denmark</v>
      </c>
      <c r="J1813" s="1">
        <f>_xlfn.XLOOKUP(order_details[[#This Row],[OrderID]], orders[OrderID], orders[Month])</f>
        <v>4</v>
      </c>
    </row>
    <row r="1814" spans="1:10" x14ac:dyDescent="0.35">
      <c r="A1814">
        <v>10946</v>
      </c>
      <c r="B1814">
        <v>77</v>
      </c>
      <c r="C1814">
        <v>13</v>
      </c>
      <c r="D1814">
        <v>40</v>
      </c>
      <c r="E1814">
        <v>0</v>
      </c>
      <c r="F1814">
        <v>520</v>
      </c>
      <c r="G1814" t="str">
        <f>VLOOKUP(VLOOKUP(order_details[[#This Row],[ProductID]], products[], 4, FALSE), categories[], 2, FALSE)</f>
        <v>Condiments</v>
      </c>
      <c r="H1814">
        <f>VLOOKUP(order_details[[#This Row],[ProductID]], products[], 4, FALSE)</f>
        <v>2</v>
      </c>
      <c r="I1814" t="str">
        <f>VLOOKUP(order_details[[#This Row],[OrderID]], orders[[OrderID]:[ShipCountry]], 14, FALSE)</f>
        <v>Denmark</v>
      </c>
      <c r="J1814" s="1">
        <f>_xlfn.XLOOKUP(order_details[[#This Row],[OrderID]], orders[OrderID], orders[Month])</f>
        <v>4</v>
      </c>
    </row>
    <row r="1815" spans="1:10" x14ac:dyDescent="0.35">
      <c r="A1815">
        <v>10947</v>
      </c>
      <c r="B1815">
        <v>59</v>
      </c>
      <c r="C1815">
        <v>55</v>
      </c>
      <c r="D1815">
        <v>4</v>
      </c>
      <c r="E1815">
        <v>0</v>
      </c>
      <c r="F1815">
        <v>220</v>
      </c>
      <c r="G1815" t="str">
        <f>VLOOKUP(VLOOKUP(order_details[[#This Row],[ProductID]], products[], 4, FALSE), categories[], 2, FALSE)</f>
        <v>Dairy Products</v>
      </c>
      <c r="H1815">
        <f>VLOOKUP(order_details[[#This Row],[ProductID]], products[], 4, FALSE)</f>
        <v>4</v>
      </c>
      <c r="I1815" t="str">
        <f>VLOOKUP(order_details[[#This Row],[OrderID]], orders[[OrderID]:[ShipCountry]], 14, FALSE)</f>
        <v>UK</v>
      </c>
      <c r="J1815" s="1">
        <f>_xlfn.XLOOKUP(order_details[[#This Row],[OrderID]], orders[OrderID], orders[Month])</f>
        <v>4</v>
      </c>
    </row>
    <row r="1816" spans="1:10" x14ac:dyDescent="0.35">
      <c r="A1816">
        <v>10948</v>
      </c>
      <c r="B1816">
        <v>50</v>
      </c>
      <c r="C1816">
        <v>16.25</v>
      </c>
      <c r="D1816">
        <v>9</v>
      </c>
      <c r="E1816">
        <v>0</v>
      </c>
      <c r="F1816">
        <v>146.25</v>
      </c>
      <c r="G1816" t="str">
        <f>VLOOKUP(VLOOKUP(order_details[[#This Row],[ProductID]], products[], 4, FALSE), categories[], 2, FALSE)</f>
        <v>Confections</v>
      </c>
      <c r="H1816">
        <f>VLOOKUP(order_details[[#This Row],[ProductID]], products[], 4, FALSE)</f>
        <v>3</v>
      </c>
      <c r="I1816" t="str">
        <f>VLOOKUP(order_details[[#This Row],[OrderID]], orders[[OrderID]:[ShipCountry]], 14, FALSE)</f>
        <v>Spain</v>
      </c>
      <c r="J1816" s="1">
        <f>_xlfn.XLOOKUP(order_details[[#This Row],[OrderID]], orders[OrderID], orders[Month])</f>
        <v>4</v>
      </c>
    </row>
    <row r="1817" spans="1:10" x14ac:dyDescent="0.35">
      <c r="A1817">
        <v>10948</v>
      </c>
      <c r="B1817">
        <v>51</v>
      </c>
      <c r="C1817">
        <v>53</v>
      </c>
      <c r="D1817">
        <v>40</v>
      </c>
      <c r="E1817">
        <v>0</v>
      </c>
      <c r="F1817">
        <v>2120</v>
      </c>
      <c r="G1817" t="str">
        <f>VLOOKUP(VLOOKUP(order_details[[#This Row],[ProductID]], products[], 4, FALSE), categories[], 2, FALSE)</f>
        <v>Produce</v>
      </c>
      <c r="H1817">
        <f>VLOOKUP(order_details[[#This Row],[ProductID]], products[], 4, FALSE)</f>
        <v>7</v>
      </c>
      <c r="I1817" t="str">
        <f>VLOOKUP(order_details[[#This Row],[OrderID]], orders[[OrderID]:[ShipCountry]], 14, FALSE)</f>
        <v>Spain</v>
      </c>
      <c r="J1817" s="1">
        <f>_xlfn.XLOOKUP(order_details[[#This Row],[OrderID]], orders[OrderID], orders[Month])</f>
        <v>4</v>
      </c>
    </row>
    <row r="1818" spans="1:10" x14ac:dyDescent="0.35">
      <c r="A1818">
        <v>10948</v>
      </c>
      <c r="B1818">
        <v>55</v>
      </c>
      <c r="C1818">
        <v>24</v>
      </c>
      <c r="D1818">
        <v>4</v>
      </c>
      <c r="E1818">
        <v>0</v>
      </c>
      <c r="F1818">
        <v>96</v>
      </c>
      <c r="G1818" t="str">
        <f>VLOOKUP(VLOOKUP(order_details[[#This Row],[ProductID]], products[], 4, FALSE), categories[], 2, FALSE)</f>
        <v>Meat/Poultry</v>
      </c>
      <c r="H1818">
        <f>VLOOKUP(order_details[[#This Row],[ProductID]], products[], 4, FALSE)</f>
        <v>6</v>
      </c>
      <c r="I1818" t="str">
        <f>VLOOKUP(order_details[[#This Row],[OrderID]], orders[[OrderID]:[ShipCountry]], 14, FALSE)</f>
        <v>Spain</v>
      </c>
      <c r="J1818" s="1">
        <f>_xlfn.XLOOKUP(order_details[[#This Row],[OrderID]], orders[OrderID], orders[Month])</f>
        <v>4</v>
      </c>
    </row>
    <row r="1819" spans="1:10" x14ac:dyDescent="0.35">
      <c r="A1819">
        <v>10949</v>
      </c>
      <c r="B1819">
        <v>6</v>
      </c>
      <c r="C1819">
        <v>25</v>
      </c>
      <c r="D1819">
        <v>12</v>
      </c>
      <c r="E1819">
        <v>0</v>
      </c>
      <c r="F1819">
        <v>300</v>
      </c>
      <c r="G1819" t="str">
        <f>VLOOKUP(VLOOKUP(order_details[[#This Row],[ProductID]], products[], 4, FALSE), categories[], 2, FALSE)</f>
        <v>Condiments</v>
      </c>
      <c r="H1819">
        <f>VLOOKUP(order_details[[#This Row],[ProductID]], products[], 4, FALSE)</f>
        <v>2</v>
      </c>
      <c r="I1819" t="str">
        <f>VLOOKUP(order_details[[#This Row],[OrderID]], orders[[OrderID]:[ShipCountry]], 14, FALSE)</f>
        <v>Canada</v>
      </c>
      <c r="J1819" s="1">
        <f>_xlfn.XLOOKUP(order_details[[#This Row],[OrderID]], orders[OrderID], orders[Month])</f>
        <v>4</v>
      </c>
    </row>
    <row r="1820" spans="1:10" x14ac:dyDescent="0.35">
      <c r="A1820">
        <v>10949</v>
      </c>
      <c r="B1820">
        <v>10</v>
      </c>
      <c r="C1820">
        <v>31</v>
      </c>
      <c r="D1820">
        <v>30</v>
      </c>
      <c r="E1820">
        <v>0</v>
      </c>
      <c r="F1820">
        <v>930</v>
      </c>
      <c r="G1820" t="str">
        <f>VLOOKUP(VLOOKUP(order_details[[#This Row],[ProductID]], products[], 4, FALSE), categories[], 2, FALSE)</f>
        <v>Seafood</v>
      </c>
      <c r="H1820">
        <f>VLOOKUP(order_details[[#This Row],[ProductID]], products[], 4, FALSE)</f>
        <v>8</v>
      </c>
      <c r="I1820" t="str">
        <f>VLOOKUP(order_details[[#This Row],[OrderID]], orders[[OrderID]:[ShipCountry]], 14, FALSE)</f>
        <v>Canada</v>
      </c>
      <c r="J1820" s="1">
        <f>_xlfn.XLOOKUP(order_details[[#This Row],[OrderID]], orders[OrderID], orders[Month])</f>
        <v>4</v>
      </c>
    </row>
    <row r="1821" spans="1:10" x14ac:dyDescent="0.35">
      <c r="A1821">
        <v>10949</v>
      </c>
      <c r="B1821">
        <v>17</v>
      </c>
      <c r="C1821">
        <v>39</v>
      </c>
      <c r="D1821">
        <v>6</v>
      </c>
      <c r="E1821">
        <v>0</v>
      </c>
      <c r="F1821">
        <v>234</v>
      </c>
      <c r="G1821" t="str">
        <f>VLOOKUP(VLOOKUP(order_details[[#This Row],[ProductID]], products[], 4, FALSE), categories[], 2, FALSE)</f>
        <v>Meat/Poultry</v>
      </c>
      <c r="H1821">
        <f>VLOOKUP(order_details[[#This Row],[ProductID]], products[], 4, FALSE)</f>
        <v>6</v>
      </c>
      <c r="I1821" t="str">
        <f>VLOOKUP(order_details[[#This Row],[OrderID]], orders[[OrderID]:[ShipCountry]], 14, FALSE)</f>
        <v>Canada</v>
      </c>
      <c r="J1821" s="1">
        <f>_xlfn.XLOOKUP(order_details[[#This Row],[OrderID]], orders[OrderID], orders[Month])</f>
        <v>4</v>
      </c>
    </row>
    <row r="1822" spans="1:10" x14ac:dyDescent="0.35">
      <c r="A1822">
        <v>10949</v>
      </c>
      <c r="B1822">
        <v>62</v>
      </c>
      <c r="C1822">
        <v>49.3</v>
      </c>
      <c r="D1822">
        <v>60</v>
      </c>
      <c r="E1822">
        <v>0</v>
      </c>
      <c r="F1822">
        <v>2958</v>
      </c>
      <c r="G1822" t="str">
        <f>VLOOKUP(VLOOKUP(order_details[[#This Row],[ProductID]], products[], 4, FALSE), categories[], 2, FALSE)</f>
        <v>Confections</v>
      </c>
      <c r="H1822">
        <f>VLOOKUP(order_details[[#This Row],[ProductID]], products[], 4, FALSE)</f>
        <v>3</v>
      </c>
      <c r="I1822" t="str">
        <f>VLOOKUP(order_details[[#This Row],[OrderID]], orders[[OrderID]:[ShipCountry]], 14, FALSE)</f>
        <v>Canada</v>
      </c>
      <c r="J1822" s="1">
        <f>_xlfn.XLOOKUP(order_details[[#This Row],[OrderID]], orders[OrderID], orders[Month])</f>
        <v>4</v>
      </c>
    </row>
    <row r="1823" spans="1:10" x14ac:dyDescent="0.35">
      <c r="A1823">
        <v>10950</v>
      </c>
      <c r="B1823">
        <v>4</v>
      </c>
      <c r="C1823">
        <v>22</v>
      </c>
      <c r="D1823">
        <v>5</v>
      </c>
      <c r="E1823">
        <v>0</v>
      </c>
      <c r="F1823">
        <v>110</v>
      </c>
      <c r="G1823" t="str">
        <f>VLOOKUP(VLOOKUP(order_details[[#This Row],[ProductID]], products[], 4, FALSE), categories[], 2, FALSE)</f>
        <v>Condiments</v>
      </c>
      <c r="H1823">
        <f>VLOOKUP(order_details[[#This Row],[ProductID]], products[], 4, FALSE)</f>
        <v>2</v>
      </c>
      <c r="I1823" t="str">
        <f>VLOOKUP(order_details[[#This Row],[OrderID]], orders[[OrderID]:[ShipCountry]], 14, FALSE)</f>
        <v>Italy</v>
      </c>
      <c r="J1823" s="1">
        <f>_xlfn.XLOOKUP(order_details[[#This Row],[OrderID]], orders[OrderID], orders[Month])</f>
        <v>4</v>
      </c>
    </row>
    <row r="1824" spans="1:10" x14ac:dyDescent="0.35">
      <c r="A1824">
        <v>10951</v>
      </c>
      <c r="B1824">
        <v>33</v>
      </c>
      <c r="C1824">
        <v>2.5</v>
      </c>
      <c r="D1824">
        <v>15</v>
      </c>
      <c r="E1824">
        <v>0.05</v>
      </c>
      <c r="F1824">
        <v>35.625</v>
      </c>
      <c r="G1824" t="str">
        <f>VLOOKUP(VLOOKUP(order_details[[#This Row],[ProductID]], products[], 4, FALSE), categories[], 2, FALSE)</f>
        <v>Dairy Products</v>
      </c>
      <c r="H1824">
        <f>VLOOKUP(order_details[[#This Row],[ProductID]], products[], 4, FALSE)</f>
        <v>4</v>
      </c>
      <c r="I1824" t="str">
        <f>VLOOKUP(order_details[[#This Row],[OrderID]], orders[[OrderID]:[ShipCountry]], 14, FALSE)</f>
        <v>Switzerland</v>
      </c>
      <c r="J1824" s="1">
        <f>_xlfn.XLOOKUP(order_details[[#This Row],[OrderID]], orders[OrderID], orders[Month])</f>
        <v>4</v>
      </c>
    </row>
    <row r="1825" spans="1:10" x14ac:dyDescent="0.35">
      <c r="A1825">
        <v>10951</v>
      </c>
      <c r="B1825">
        <v>41</v>
      </c>
      <c r="C1825">
        <v>9.65</v>
      </c>
      <c r="D1825">
        <v>6</v>
      </c>
      <c r="E1825">
        <v>0.05</v>
      </c>
      <c r="F1825">
        <v>55.005000000000003</v>
      </c>
      <c r="G1825" t="str">
        <f>VLOOKUP(VLOOKUP(order_details[[#This Row],[ProductID]], products[], 4, FALSE), categories[], 2, FALSE)</f>
        <v>Seafood</v>
      </c>
      <c r="H1825">
        <f>VLOOKUP(order_details[[#This Row],[ProductID]], products[], 4, FALSE)</f>
        <v>8</v>
      </c>
      <c r="I1825" t="str">
        <f>VLOOKUP(order_details[[#This Row],[OrderID]], orders[[OrderID]:[ShipCountry]], 14, FALSE)</f>
        <v>Switzerland</v>
      </c>
      <c r="J1825" s="1">
        <f>_xlfn.XLOOKUP(order_details[[#This Row],[OrderID]], orders[OrderID], orders[Month])</f>
        <v>4</v>
      </c>
    </row>
    <row r="1826" spans="1:10" x14ac:dyDescent="0.35">
      <c r="A1826">
        <v>10951</v>
      </c>
      <c r="B1826">
        <v>75</v>
      </c>
      <c r="C1826">
        <v>7.75</v>
      </c>
      <c r="D1826">
        <v>50</v>
      </c>
      <c r="E1826">
        <v>0.05</v>
      </c>
      <c r="F1826">
        <v>368.125</v>
      </c>
      <c r="G1826" t="str">
        <f>VLOOKUP(VLOOKUP(order_details[[#This Row],[ProductID]], products[], 4, FALSE), categories[], 2, FALSE)</f>
        <v>Beverages</v>
      </c>
      <c r="H1826">
        <f>VLOOKUP(order_details[[#This Row],[ProductID]], products[], 4, FALSE)</f>
        <v>1</v>
      </c>
      <c r="I1826" t="str">
        <f>VLOOKUP(order_details[[#This Row],[OrderID]], orders[[OrderID]:[ShipCountry]], 14, FALSE)</f>
        <v>Switzerland</v>
      </c>
      <c r="J1826" s="1">
        <f>_xlfn.XLOOKUP(order_details[[#This Row],[OrderID]], orders[OrderID], orders[Month])</f>
        <v>4</v>
      </c>
    </row>
    <row r="1827" spans="1:10" x14ac:dyDescent="0.35">
      <c r="A1827">
        <v>10952</v>
      </c>
      <c r="B1827">
        <v>6</v>
      </c>
      <c r="C1827">
        <v>25</v>
      </c>
      <c r="D1827">
        <v>16</v>
      </c>
      <c r="E1827">
        <v>0.05</v>
      </c>
      <c r="F1827">
        <v>380</v>
      </c>
      <c r="G1827" t="str">
        <f>VLOOKUP(VLOOKUP(order_details[[#This Row],[ProductID]], products[], 4, FALSE), categories[], 2, FALSE)</f>
        <v>Condiments</v>
      </c>
      <c r="H1827">
        <f>VLOOKUP(order_details[[#This Row],[ProductID]], products[], 4, FALSE)</f>
        <v>2</v>
      </c>
      <c r="I1827" t="str">
        <f>VLOOKUP(order_details[[#This Row],[OrderID]], orders[[OrderID]:[ShipCountry]], 14, FALSE)</f>
        <v>Germany</v>
      </c>
      <c r="J1827" s="1">
        <f>_xlfn.XLOOKUP(order_details[[#This Row],[OrderID]], orders[OrderID], orders[Month])</f>
        <v>4</v>
      </c>
    </row>
    <row r="1828" spans="1:10" x14ac:dyDescent="0.35">
      <c r="A1828">
        <v>10952</v>
      </c>
      <c r="B1828">
        <v>28</v>
      </c>
      <c r="C1828">
        <v>45.6</v>
      </c>
      <c r="D1828">
        <v>2</v>
      </c>
      <c r="E1828">
        <v>0</v>
      </c>
      <c r="F1828">
        <v>91.2</v>
      </c>
      <c r="G1828" t="str">
        <f>VLOOKUP(VLOOKUP(order_details[[#This Row],[ProductID]], products[], 4, FALSE), categories[], 2, FALSE)</f>
        <v>Produce</v>
      </c>
      <c r="H1828">
        <f>VLOOKUP(order_details[[#This Row],[ProductID]], products[], 4, FALSE)</f>
        <v>7</v>
      </c>
      <c r="I1828" t="str">
        <f>VLOOKUP(order_details[[#This Row],[OrderID]], orders[[OrderID]:[ShipCountry]], 14, FALSE)</f>
        <v>Germany</v>
      </c>
      <c r="J1828" s="1">
        <f>_xlfn.XLOOKUP(order_details[[#This Row],[OrderID]], orders[OrderID], orders[Month])</f>
        <v>4</v>
      </c>
    </row>
    <row r="1829" spans="1:10" x14ac:dyDescent="0.35">
      <c r="A1829">
        <v>10953</v>
      </c>
      <c r="B1829">
        <v>20</v>
      </c>
      <c r="C1829">
        <v>81</v>
      </c>
      <c r="D1829">
        <v>50</v>
      </c>
      <c r="E1829">
        <v>0.05</v>
      </c>
      <c r="F1829">
        <v>3847.5</v>
      </c>
      <c r="G1829" t="str">
        <f>VLOOKUP(VLOOKUP(order_details[[#This Row],[ProductID]], products[], 4, FALSE), categories[], 2, FALSE)</f>
        <v>Confections</v>
      </c>
      <c r="H1829">
        <f>VLOOKUP(order_details[[#This Row],[ProductID]], products[], 4, FALSE)</f>
        <v>3</v>
      </c>
      <c r="I1829" t="str">
        <f>VLOOKUP(order_details[[#This Row],[OrderID]], orders[[OrderID]:[ShipCountry]], 14, FALSE)</f>
        <v>UK</v>
      </c>
      <c r="J1829" s="1">
        <f>_xlfn.XLOOKUP(order_details[[#This Row],[OrderID]], orders[OrderID], orders[Month])</f>
        <v>4</v>
      </c>
    </row>
    <row r="1830" spans="1:10" x14ac:dyDescent="0.35">
      <c r="A1830">
        <v>10953</v>
      </c>
      <c r="B1830">
        <v>31</v>
      </c>
      <c r="C1830">
        <v>12.5</v>
      </c>
      <c r="D1830">
        <v>50</v>
      </c>
      <c r="E1830">
        <v>0.05</v>
      </c>
      <c r="F1830">
        <v>593.75</v>
      </c>
      <c r="G1830" t="str">
        <f>VLOOKUP(VLOOKUP(order_details[[#This Row],[ProductID]], products[], 4, FALSE), categories[], 2, FALSE)</f>
        <v>Dairy Products</v>
      </c>
      <c r="H1830">
        <f>VLOOKUP(order_details[[#This Row],[ProductID]], products[], 4, FALSE)</f>
        <v>4</v>
      </c>
      <c r="I1830" t="str">
        <f>VLOOKUP(order_details[[#This Row],[OrderID]], orders[[OrderID]:[ShipCountry]], 14, FALSE)</f>
        <v>UK</v>
      </c>
      <c r="J1830" s="1">
        <f>_xlfn.XLOOKUP(order_details[[#This Row],[OrderID]], orders[OrderID], orders[Month])</f>
        <v>4</v>
      </c>
    </row>
    <row r="1831" spans="1:10" x14ac:dyDescent="0.35">
      <c r="A1831">
        <v>10954</v>
      </c>
      <c r="B1831">
        <v>16</v>
      </c>
      <c r="C1831">
        <v>17.45</v>
      </c>
      <c r="D1831">
        <v>28</v>
      </c>
      <c r="E1831">
        <v>0.15</v>
      </c>
      <c r="F1831">
        <v>415.30999999999995</v>
      </c>
      <c r="G1831" t="str">
        <f>VLOOKUP(VLOOKUP(order_details[[#This Row],[ProductID]], products[], 4, FALSE), categories[], 2, FALSE)</f>
        <v>Confections</v>
      </c>
      <c r="H1831">
        <f>VLOOKUP(order_details[[#This Row],[ProductID]], products[], 4, FALSE)</f>
        <v>3</v>
      </c>
      <c r="I1831" t="str">
        <f>VLOOKUP(order_details[[#This Row],[OrderID]], orders[[OrderID]:[ShipCountry]], 14, FALSE)</f>
        <v>Venezuela</v>
      </c>
      <c r="J1831" s="1">
        <f>_xlfn.XLOOKUP(order_details[[#This Row],[OrderID]], orders[OrderID], orders[Month])</f>
        <v>4</v>
      </c>
    </row>
    <row r="1832" spans="1:10" x14ac:dyDescent="0.35">
      <c r="A1832">
        <v>10954</v>
      </c>
      <c r="B1832">
        <v>31</v>
      </c>
      <c r="C1832">
        <v>12.5</v>
      </c>
      <c r="D1832">
        <v>25</v>
      </c>
      <c r="E1832">
        <v>0.15</v>
      </c>
      <c r="F1832">
        <v>265.625</v>
      </c>
      <c r="G1832" t="str">
        <f>VLOOKUP(VLOOKUP(order_details[[#This Row],[ProductID]], products[], 4, FALSE), categories[], 2, FALSE)</f>
        <v>Dairy Products</v>
      </c>
      <c r="H1832">
        <f>VLOOKUP(order_details[[#This Row],[ProductID]], products[], 4, FALSE)</f>
        <v>4</v>
      </c>
      <c r="I1832" t="str">
        <f>VLOOKUP(order_details[[#This Row],[OrderID]], orders[[OrderID]:[ShipCountry]], 14, FALSE)</f>
        <v>Venezuela</v>
      </c>
      <c r="J1832" s="1">
        <f>_xlfn.XLOOKUP(order_details[[#This Row],[OrderID]], orders[OrderID], orders[Month])</f>
        <v>4</v>
      </c>
    </row>
    <row r="1833" spans="1:10" x14ac:dyDescent="0.35">
      <c r="A1833">
        <v>10954</v>
      </c>
      <c r="B1833">
        <v>45</v>
      </c>
      <c r="C1833">
        <v>9.5</v>
      </c>
      <c r="D1833">
        <v>30</v>
      </c>
      <c r="E1833">
        <v>0</v>
      </c>
      <c r="F1833">
        <v>285</v>
      </c>
      <c r="G1833" t="str">
        <f>VLOOKUP(VLOOKUP(order_details[[#This Row],[ProductID]], products[], 4, FALSE), categories[], 2, FALSE)</f>
        <v>Seafood</v>
      </c>
      <c r="H1833">
        <f>VLOOKUP(order_details[[#This Row],[ProductID]], products[], 4, FALSE)</f>
        <v>8</v>
      </c>
      <c r="I1833" t="str">
        <f>VLOOKUP(order_details[[#This Row],[OrderID]], orders[[OrderID]:[ShipCountry]], 14, FALSE)</f>
        <v>Venezuela</v>
      </c>
      <c r="J1833" s="1">
        <f>_xlfn.XLOOKUP(order_details[[#This Row],[OrderID]], orders[OrderID], orders[Month])</f>
        <v>4</v>
      </c>
    </row>
    <row r="1834" spans="1:10" x14ac:dyDescent="0.35">
      <c r="A1834">
        <v>10954</v>
      </c>
      <c r="B1834">
        <v>60</v>
      </c>
      <c r="C1834">
        <v>34</v>
      </c>
      <c r="D1834">
        <v>24</v>
      </c>
      <c r="E1834">
        <v>0.15</v>
      </c>
      <c r="F1834">
        <v>693.6</v>
      </c>
      <c r="G1834" t="str">
        <f>VLOOKUP(VLOOKUP(order_details[[#This Row],[ProductID]], products[], 4, FALSE), categories[], 2, FALSE)</f>
        <v>Dairy Products</v>
      </c>
      <c r="H1834">
        <f>VLOOKUP(order_details[[#This Row],[ProductID]], products[], 4, FALSE)</f>
        <v>4</v>
      </c>
      <c r="I1834" t="str">
        <f>VLOOKUP(order_details[[#This Row],[OrderID]], orders[[OrderID]:[ShipCountry]], 14, FALSE)</f>
        <v>Venezuela</v>
      </c>
      <c r="J1834" s="1">
        <f>_xlfn.XLOOKUP(order_details[[#This Row],[OrderID]], orders[OrderID], orders[Month])</f>
        <v>4</v>
      </c>
    </row>
    <row r="1835" spans="1:10" x14ac:dyDescent="0.35">
      <c r="A1835">
        <v>10955</v>
      </c>
      <c r="B1835">
        <v>75</v>
      </c>
      <c r="C1835">
        <v>7.75</v>
      </c>
      <c r="D1835">
        <v>12</v>
      </c>
      <c r="E1835">
        <v>0.2</v>
      </c>
      <c r="F1835">
        <v>74.400000000000006</v>
      </c>
      <c r="G1835" t="str">
        <f>VLOOKUP(VLOOKUP(order_details[[#This Row],[ProductID]], products[], 4, FALSE), categories[], 2, FALSE)</f>
        <v>Beverages</v>
      </c>
      <c r="H1835">
        <f>VLOOKUP(order_details[[#This Row],[ProductID]], products[], 4, FALSE)</f>
        <v>1</v>
      </c>
      <c r="I1835" t="str">
        <f>VLOOKUP(order_details[[#This Row],[OrderID]], orders[[OrderID]:[ShipCountry]], 14, FALSE)</f>
        <v>Sweden</v>
      </c>
      <c r="J1835" s="1">
        <f>_xlfn.XLOOKUP(order_details[[#This Row],[OrderID]], orders[OrderID], orders[Month])</f>
        <v>4</v>
      </c>
    </row>
    <row r="1836" spans="1:10" x14ac:dyDescent="0.35">
      <c r="A1836">
        <v>10956</v>
      </c>
      <c r="B1836">
        <v>21</v>
      </c>
      <c r="C1836">
        <v>10</v>
      </c>
      <c r="D1836">
        <v>12</v>
      </c>
      <c r="E1836">
        <v>0</v>
      </c>
      <c r="F1836">
        <v>120</v>
      </c>
      <c r="G1836" t="str">
        <f>VLOOKUP(VLOOKUP(order_details[[#This Row],[ProductID]], products[], 4, FALSE), categories[], 2, FALSE)</f>
        <v>Confections</v>
      </c>
      <c r="H1836">
        <f>VLOOKUP(order_details[[#This Row],[ProductID]], products[], 4, FALSE)</f>
        <v>3</v>
      </c>
      <c r="I1836" t="str">
        <f>VLOOKUP(order_details[[#This Row],[OrderID]], orders[[OrderID]:[ShipCountry]], 14, FALSE)</f>
        <v>Germany</v>
      </c>
      <c r="J1836" s="1">
        <f>_xlfn.XLOOKUP(order_details[[#This Row],[OrderID]], orders[OrderID], orders[Month])</f>
        <v>4</v>
      </c>
    </row>
    <row r="1837" spans="1:10" x14ac:dyDescent="0.35">
      <c r="A1837">
        <v>10956</v>
      </c>
      <c r="B1837">
        <v>47</v>
      </c>
      <c r="C1837">
        <v>9.5</v>
      </c>
      <c r="D1837">
        <v>14</v>
      </c>
      <c r="E1837">
        <v>0</v>
      </c>
      <c r="F1837">
        <v>133</v>
      </c>
      <c r="G1837" t="str">
        <f>VLOOKUP(VLOOKUP(order_details[[#This Row],[ProductID]], products[], 4, FALSE), categories[], 2, FALSE)</f>
        <v>Confections</v>
      </c>
      <c r="H1837">
        <f>VLOOKUP(order_details[[#This Row],[ProductID]], products[], 4, FALSE)</f>
        <v>3</v>
      </c>
      <c r="I1837" t="str">
        <f>VLOOKUP(order_details[[#This Row],[OrderID]], orders[[OrderID]:[ShipCountry]], 14, FALSE)</f>
        <v>Germany</v>
      </c>
      <c r="J1837" s="1">
        <f>_xlfn.XLOOKUP(order_details[[#This Row],[OrderID]], orders[OrderID], orders[Month])</f>
        <v>4</v>
      </c>
    </row>
    <row r="1838" spans="1:10" x14ac:dyDescent="0.35">
      <c r="A1838">
        <v>10956</v>
      </c>
      <c r="B1838">
        <v>51</v>
      </c>
      <c r="C1838">
        <v>53</v>
      </c>
      <c r="D1838">
        <v>8</v>
      </c>
      <c r="E1838">
        <v>0</v>
      </c>
      <c r="F1838">
        <v>424</v>
      </c>
      <c r="G1838" t="str">
        <f>VLOOKUP(VLOOKUP(order_details[[#This Row],[ProductID]], products[], 4, FALSE), categories[], 2, FALSE)</f>
        <v>Produce</v>
      </c>
      <c r="H1838">
        <f>VLOOKUP(order_details[[#This Row],[ProductID]], products[], 4, FALSE)</f>
        <v>7</v>
      </c>
      <c r="I1838" t="str">
        <f>VLOOKUP(order_details[[#This Row],[OrderID]], orders[[OrderID]:[ShipCountry]], 14, FALSE)</f>
        <v>Germany</v>
      </c>
      <c r="J1838" s="1">
        <f>_xlfn.XLOOKUP(order_details[[#This Row],[OrderID]], orders[OrderID], orders[Month])</f>
        <v>4</v>
      </c>
    </row>
    <row r="1839" spans="1:10" x14ac:dyDescent="0.35">
      <c r="A1839">
        <v>10957</v>
      </c>
      <c r="B1839">
        <v>30</v>
      </c>
      <c r="C1839">
        <v>25.89</v>
      </c>
      <c r="D1839">
        <v>30</v>
      </c>
      <c r="E1839">
        <v>0</v>
      </c>
      <c r="F1839">
        <v>776.7</v>
      </c>
      <c r="G1839" t="str">
        <f>VLOOKUP(VLOOKUP(order_details[[#This Row],[ProductID]], products[], 4, FALSE), categories[], 2, FALSE)</f>
        <v>Seafood</v>
      </c>
      <c r="H1839">
        <f>VLOOKUP(order_details[[#This Row],[ProductID]], products[], 4, FALSE)</f>
        <v>8</v>
      </c>
      <c r="I1839" t="str">
        <f>VLOOKUP(order_details[[#This Row],[OrderID]], orders[[OrderID]:[ShipCountry]], 14, FALSE)</f>
        <v>Venezuela</v>
      </c>
      <c r="J1839" s="1">
        <f>_xlfn.XLOOKUP(order_details[[#This Row],[OrderID]], orders[OrderID], orders[Month])</f>
        <v>4</v>
      </c>
    </row>
    <row r="1840" spans="1:10" x14ac:dyDescent="0.35">
      <c r="A1840">
        <v>10957</v>
      </c>
      <c r="B1840">
        <v>35</v>
      </c>
      <c r="C1840">
        <v>18</v>
      </c>
      <c r="D1840">
        <v>40</v>
      </c>
      <c r="E1840">
        <v>0</v>
      </c>
      <c r="F1840">
        <v>720</v>
      </c>
      <c r="G1840" t="str">
        <f>VLOOKUP(VLOOKUP(order_details[[#This Row],[ProductID]], products[], 4, FALSE), categories[], 2, FALSE)</f>
        <v>Beverages</v>
      </c>
      <c r="H1840">
        <f>VLOOKUP(order_details[[#This Row],[ProductID]], products[], 4, FALSE)</f>
        <v>1</v>
      </c>
      <c r="I1840" t="str">
        <f>VLOOKUP(order_details[[#This Row],[OrderID]], orders[[OrderID]:[ShipCountry]], 14, FALSE)</f>
        <v>Venezuela</v>
      </c>
      <c r="J1840" s="1">
        <f>_xlfn.XLOOKUP(order_details[[#This Row],[OrderID]], orders[OrderID], orders[Month])</f>
        <v>4</v>
      </c>
    </row>
    <row r="1841" spans="1:10" x14ac:dyDescent="0.35">
      <c r="A1841">
        <v>10957</v>
      </c>
      <c r="B1841">
        <v>64</v>
      </c>
      <c r="C1841">
        <v>33.25</v>
      </c>
      <c r="D1841">
        <v>8</v>
      </c>
      <c r="E1841">
        <v>0</v>
      </c>
      <c r="F1841">
        <v>266</v>
      </c>
      <c r="G1841" t="str">
        <f>VLOOKUP(VLOOKUP(order_details[[#This Row],[ProductID]], products[], 4, FALSE), categories[], 2, FALSE)</f>
        <v>Grains/Cereals</v>
      </c>
      <c r="H1841">
        <f>VLOOKUP(order_details[[#This Row],[ProductID]], products[], 4, FALSE)</f>
        <v>5</v>
      </c>
      <c r="I1841" t="str">
        <f>VLOOKUP(order_details[[#This Row],[OrderID]], orders[[OrderID]:[ShipCountry]], 14, FALSE)</f>
        <v>Venezuela</v>
      </c>
      <c r="J1841" s="1">
        <f>_xlfn.XLOOKUP(order_details[[#This Row],[OrderID]], orders[OrderID], orders[Month])</f>
        <v>4</v>
      </c>
    </row>
    <row r="1842" spans="1:10" x14ac:dyDescent="0.35">
      <c r="A1842">
        <v>10958</v>
      </c>
      <c r="B1842">
        <v>5</v>
      </c>
      <c r="C1842">
        <v>21.35</v>
      </c>
      <c r="D1842">
        <v>20</v>
      </c>
      <c r="E1842">
        <v>0</v>
      </c>
      <c r="F1842">
        <v>427</v>
      </c>
      <c r="G1842" t="str">
        <f>VLOOKUP(VLOOKUP(order_details[[#This Row],[ProductID]], products[], 4, FALSE), categories[], 2, FALSE)</f>
        <v>Condiments</v>
      </c>
      <c r="H1842">
        <f>VLOOKUP(order_details[[#This Row],[ProductID]], products[], 4, FALSE)</f>
        <v>2</v>
      </c>
      <c r="I1842" t="str">
        <f>VLOOKUP(order_details[[#This Row],[OrderID]], orders[[OrderID]:[ShipCountry]], 14, FALSE)</f>
        <v>Argentina</v>
      </c>
      <c r="J1842" s="1">
        <f>_xlfn.XLOOKUP(order_details[[#This Row],[OrderID]], orders[OrderID], orders[Month])</f>
        <v>4</v>
      </c>
    </row>
    <row r="1843" spans="1:10" x14ac:dyDescent="0.35">
      <c r="A1843">
        <v>10958</v>
      </c>
      <c r="B1843">
        <v>7</v>
      </c>
      <c r="C1843">
        <v>30</v>
      </c>
      <c r="D1843">
        <v>6</v>
      </c>
      <c r="E1843">
        <v>0</v>
      </c>
      <c r="F1843">
        <v>180</v>
      </c>
      <c r="G1843" t="str">
        <f>VLOOKUP(VLOOKUP(order_details[[#This Row],[ProductID]], products[], 4, FALSE), categories[], 2, FALSE)</f>
        <v>Produce</v>
      </c>
      <c r="H1843">
        <f>VLOOKUP(order_details[[#This Row],[ProductID]], products[], 4, FALSE)</f>
        <v>7</v>
      </c>
      <c r="I1843" t="str">
        <f>VLOOKUP(order_details[[#This Row],[OrderID]], orders[[OrderID]:[ShipCountry]], 14, FALSE)</f>
        <v>Argentina</v>
      </c>
      <c r="J1843" s="1">
        <f>_xlfn.XLOOKUP(order_details[[#This Row],[OrderID]], orders[OrderID], orders[Month])</f>
        <v>4</v>
      </c>
    </row>
    <row r="1844" spans="1:10" x14ac:dyDescent="0.35">
      <c r="A1844">
        <v>10958</v>
      </c>
      <c r="B1844">
        <v>72</v>
      </c>
      <c r="C1844">
        <v>34.799999999999997</v>
      </c>
      <c r="D1844">
        <v>5</v>
      </c>
      <c r="E1844">
        <v>0</v>
      </c>
      <c r="F1844">
        <v>174</v>
      </c>
      <c r="G1844" t="str">
        <f>VLOOKUP(VLOOKUP(order_details[[#This Row],[ProductID]], products[], 4, FALSE), categories[], 2, FALSE)</f>
        <v>Dairy Products</v>
      </c>
      <c r="H1844">
        <f>VLOOKUP(order_details[[#This Row],[ProductID]], products[], 4, FALSE)</f>
        <v>4</v>
      </c>
      <c r="I1844" t="str">
        <f>VLOOKUP(order_details[[#This Row],[OrderID]], orders[[OrderID]:[ShipCountry]], 14, FALSE)</f>
        <v>Argentina</v>
      </c>
      <c r="J1844" s="1">
        <f>_xlfn.XLOOKUP(order_details[[#This Row],[OrderID]], orders[OrderID], orders[Month])</f>
        <v>4</v>
      </c>
    </row>
    <row r="1845" spans="1:10" x14ac:dyDescent="0.35">
      <c r="A1845">
        <v>10959</v>
      </c>
      <c r="B1845">
        <v>75</v>
      </c>
      <c r="C1845">
        <v>7.75</v>
      </c>
      <c r="D1845">
        <v>20</v>
      </c>
      <c r="E1845">
        <v>0.15</v>
      </c>
      <c r="F1845">
        <v>131.75</v>
      </c>
      <c r="G1845" t="str">
        <f>VLOOKUP(VLOOKUP(order_details[[#This Row],[ProductID]], products[], 4, FALSE), categories[], 2, FALSE)</f>
        <v>Beverages</v>
      </c>
      <c r="H1845">
        <f>VLOOKUP(order_details[[#This Row],[ProductID]], products[], 4, FALSE)</f>
        <v>1</v>
      </c>
      <c r="I1845" t="str">
        <f>VLOOKUP(order_details[[#This Row],[OrderID]], orders[[OrderID]:[ShipCountry]], 14, FALSE)</f>
        <v>Brazil</v>
      </c>
      <c r="J1845" s="1">
        <f>_xlfn.XLOOKUP(order_details[[#This Row],[OrderID]], orders[OrderID], orders[Month])</f>
        <v>4</v>
      </c>
    </row>
    <row r="1846" spans="1:10" x14ac:dyDescent="0.35">
      <c r="A1846">
        <v>10960</v>
      </c>
      <c r="B1846">
        <v>24</v>
      </c>
      <c r="C1846">
        <v>4.5</v>
      </c>
      <c r="D1846">
        <v>10</v>
      </c>
      <c r="E1846">
        <v>0.25</v>
      </c>
      <c r="F1846">
        <v>33.75</v>
      </c>
      <c r="G1846" t="str">
        <f>VLOOKUP(VLOOKUP(order_details[[#This Row],[ProductID]], products[], 4, FALSE), categories[], 2, FALSE)</f>
        <v>Beverages</v>
      </c>
      <c r="H1846">
        <f>VLOOKUP(order_details[[#This Row],[ProductID]], products[], 4, FALSE)</f>
        <v>1</v>
      </c>
      <c r="I1846" t="str">
        <f>VLOOKUP(order_details[[#This Row],[OrderID]], orders[[OrderID]:[ShipCountry]], 14, FALSE)</f>
        <v>Venezuela</v>
      </c>
      <c r="J1846" s="1">
        <f>_xlfn.XLOOKUP(order_details[[#This Row],[OrderID]], orders[OrderID], orders[Month])</f>
        <v>4</v>
      </c>
    </row>
    <row r="1847" spans="1:10" x14ac:dyDescent="0.35">
      <c r="A1847">
        <v>10960</v>
      </c>
      <c r="B1847">
        <v>41</v>
      </c>
      <c r="C1847">
        <v>9.65</v>
      </c>
      <c r="D1847">
        <v>24</v>
      </c>
      <c r="E1847">
        <v>0</v>
      </c>
      <c r="F1847">
        <v>231.60000000000002</v>
      </c>
      <c r="G1847" t="str">
        <f>VLOOKUP(VLOOKUP(order_details[[#This Row],[ProductID]], products[], 4, FALSE), categories[], 2, FALSE)</f>
        <v>Seafood</v>
      </c>
      <c r="H1847">
        <f>VLOOKUP(order_details[[#This Row],[ProductID]], products[], 4, FALSE)</f>
        <v>8</v>
      </c>
      <c r="I1847" t="str">
        <f>VLOOKUP(order_details[[#This Row],[OrderID]], orders[[OrderID]:[ShipCountry]], 14, FALSE)</f>
        <v>Venezuela</v>
      </c>
      <c r="J1847" s="1">
        <f>_xlfn.XLOOKUP(order_details[[#This Row],[OrderID]], orders[OrderID], orders[Month])</f>
        <v>4</v>
      </c>
    </row>
    <row r="1848" spans="1:10" x14ac:dyDescent="0.35">
      <c r="A1848">
        <v>10961</v>
      </c>
      <c r="B1848">
        <v>52</v>
      </c>
      <c r="C1848">
        <v>7</v>
      </c>
      <c r="D1848">
        <v>6</v>
      </c>
      <c r="E1848">
        <v>0.05</v>
      </c>
      <c r="F1848">
        <v>39.9</v>
      </c>
      <c r="G1848" t="str">
        <f>VLOOKUP(VLOOKUP(order_details[[#This Row],[ProductID]], products[], 4, FALSE), categories[], 2, FALSE)</f>
        <v>Grains/Cereals</v>
      </c>
      <c r="H1848">
        <f>VLOOKUP(order_details[[#This Row],[ProductID]], products[], 4, FALSE)</f>
        <v>5</v>
      </c>
      <c r="I1848" t="str">
        <f>VLOOKUP(order_details[[#This Row],[OrderID]], orders[[OrderID]:[ShipCountry]], 14, FALSE)</f>
        <v>Brazil</v>
      </c>
      <c r="J1848" s="1">
        <f>_xlfn.XLOOKUP(order_details[[#This Row],[OrderID]], orders[OrderID], orders[Month])</f>
        <v>4</v>
      </c>
    </row>
    <row r="1849" spans="1:10" x14ac:dyDescent="0.35">
      <c r="A1849">
        <v>10961</v>
      </c>
      <c r="B1849">
        <v>76</v>
      </c>
      <c r="C1849">
        <v>18</v>
      </c>
      <c r="D1849">
        <v>60</v>
      </c>
      <c r="E1849">
        <v>0</v>
      </c>
      <c r="F1849">
        <v>1080</v>
      </c>
      <c r="G1849" t="str">
        <f>VLOOKUP(VLOOKUP(order_details[[#This Row],[ProductID]], products[], 4, FALSE), categories[], 2, FALSE)</f>
        <v>Beverages</v>
      </c>
      <c r="H1849">
        <f>VLOOKUP(order_details[[#This Row],[ProductID]], products[], 4, FALSE)</f>
        <v>1</v>
      </c>
      <c r="I1849" t="str">
        <f>VLOOKUP(order_details[[#This Row],[OrderID]], orders[[OrderID]:[ShipCountry]], 14, FALSE)</f>
        <v>Brazil</v>
      </c>
      <c r="J1849" s="1">
        <f>_xlfn.XLOOKUP(order_details[[#This Row],[OrderID]], orders[OrderID], orders[Month])</f>
        <v>4</v>
      </c>
    </row>
    <row r="1850" spans="1:10" x14ac:dyDescent="0.35">
      <c r="A1850">
        <v>10962</v>
      </c>
      <c r="B1850">
        <v>7</v>
      </c>
      <c r="C1850">
        <v>30</v>
      </c>
      <c r="D1850">
        <v>45</v>
      </c>
      <c r="E1850">
        <v>0</v>
      </c>
      <c r="F1850">
        <v>1350</v>
      </c>
      <c r="G1850" t="str">
        <f>VLOOKUP(VLOOKUP(order_details[[#This Row],[ProductID]], products[], 4, FALSE), categories[], 2, FALSE)</f>
        <v>Produce</v>
      </c>
      <c r="H1850">
        <f>VLOOKUP(order_details[[#This Row],[ProductID]], products[], 4, FALSE)</f>
        <v>7</v>
      </c>
      <c r="I1850" t="str">
        <f>VLOOKUP(order_details[[#This Row],[OrderID]], orders[[OrderID]:[ShipCountry]], 14, FALSE)</f>
        <v>Germany</v>
      </c>
      <c r="J1850" s="1">
        <f>_xlfn.XLOOKUP(order_details[[#This Row],[OrderID]], orders[OrderID], orders[Month])</f>
        <v>4</v>
      </c>
    </row>
    <row r="1851" spans="1:10" x14ac:dyDescent="0.35">
      <c r="A1851">
        <v>10962</v>
      </c>
      <c r="B1851">
        <v>13</v>
      </c>
      <c r="C1851">
        <v>6</v>
      </c>
      <c r="D1851">
        <v>77</v>
      </c>
      <c r="E1851">
        <v>0</v>
      </c>
      <c r="F1851">
        <v>462</v>
      </c>
      <c r="G1851" t="str">
        <f>VLOOKUP(VLOOKUP(order_details[[#This Row],[ProductID]], products[], 4, FALSE), categories[], 2, FALSE)</f>
        <v>Seafood</v>
      </c>
      <c r="H1851">
        <f>VLOOKUP(order_details[[#This Row],[ProductID]], products[], 4, FALSE)</f>
        <v>8</v>
      </c>
      <c r="I1851" t="str">
        <f>VLOOKUP(order_details[[#This Row],[OrderID]], orders[[OrderID]:[ShipCountry]], 14, FALSE)</f>
        <v>Germany</v>
      </c>
      <c r="J1851" s="1">
        <f>_xlfn.XLOOKUP(order_details[[#This Row],[OrderID]], orders[OrderID], orders[Month])</f>
        <v>4</v>
      </c>
    </row>
    <row r="1852" spans="1:10" x14ac:dyDescent="0.35">
      <c r="A1852">
        <v>10962</v>
      </c>
      <c r="B1852">
        <v>53</v>
      </c>
      <c r="C1852">
        <v>32.799999999999997</v>
      </c>
      <c r="D1852">
        <v>20</v>
      </c>
      <c r="E1852">
        <v>0</v>
      </c>
      <c r="F1852">
        <v>656</v>
      </c>
      <c r="G1852" t="str">
        <f>VLOOKUP(VLOOKUP(order_details[[#This Row],[ProductID]], products[], 4, FALSE), categories[], 2, FALSE)</f>
        <v>Meat/Poultry</v>
      </c>
      <c r="H1852">
        <f>VLOOKUP(order_details[[#This Row],[ProductID]], products[], 4, FALSE)</f>
        <v>6</v>
      </c>
      <c r="I1852" t="str">
        <f>VLOOKUP(order_details[[#This Row],[OrderID]], orders[[OrderID]:[ShipCountry]], 14, FALSE)</f>
        <v>Germany</v>
      </c>
      <c r="J1852" s="1">
        <f>_xlfn.XLOOKUP(order_details[[#This Row],[OrderID]], orders[OrderID], orders[Month])</f>
        <v>4</v>
      </c>
    </row>
    <row r="1853" spans="1:10" x14ac:dyDescent="0.35">
      <c r="A1853">
        <v>10962</v>
      </c>
      <c r="B1853">
        <v>69</v>
      </c>
      <c r="C1853">
        <v>36</v>
      </c>
      <c r="D1853">
        <v>9</v>
      </c>
      <c r="E1853">
        <v>0</v>
      </c>
      <c r="F1853">
        <v>324</v>
      </c>
      <c r="G1853" t="str">
        <f>VLOOKUP(VLOOKUP(order_details[[#This Row],[ProductID]], products[], 4, FALSE), categories[], 2, FALSE)</f>
        <v>Dairy Products</v>
      </c>
      <c r="H1853">
        <f>VLOOKUP(order_details[[#This Row],[ProductID]], products[], 4, FALSE)</f>
        <v>4</v>
      </c>
      <c r="I1853" t="str">
        <f>VLOOKUP(order_details[[#This Row],[OrderID]], orders[[OrderID]:[ShipCountry]], 14, FALSE)</f>
        <v>Germany</v>
      </c>
      <c r="J1853" s="1">
        <f>_xlfn.XLOOKUP(order_details[[#This Row],[OrderID]], orders[OrderID], orders[Month])</f>
        <v>4</v>
      </c>
    </row>
    <row r="1854" spans="1:10" x14ac:dyDescent="0.35">
      <c r="A1854">
        <v>10962</v>
      </c>
      <c r="B1854">
        <v>76</v>
      </c>
      <c r="C1854">
        <v>18</v>
      </c>
      <c r="D1854">
        <v>44</v>
      </c>
      <c r="E1854">
        <v>0</v>
      </c>
      <c r="F1854">
        <v>792</v>
      </c>
      <c r="G1854" t="str">
        <f>VLOOKUP(VLOOKUP(order_details[[#This Row],[ProductID]], products[], 4, FALSE), categories[], 2, FALSE)</f>
        <v>Beverages</v>
      </c>
      <c r="H1854">
        <f>VLOOKUP(order_details[[#This Row],[ProductID]], products[], 4, FALSE)</f>
        <v>1</v>
      </c>
      <c r="I1854" t="str">
        <f>VLOOKUP(order_details[[#This Row],[OrderID]], orders[[OrderID]:[ShipCountry]], 14, FALSE)</f>
        <v>Germany</v>
      </c>
      <c r="J1854" s="1">
        <f>_xlfn.XLOOKUP(order_details[[#This Row],[OrderID]], orders[OrderID], orders[Month])</f>
        <v>4</v>
      </c>
    </row>
    <row r="1855" spans="1:10" x14ac:dyDescent="0.35">
      <c r="A1855">
        <v>10963</v>
      </c>
      <c r="B1855">
        <v>60</v>
      </c>
      <c r="C1855">
        <v>34</v>
      </c>
      <c r="D1855">
        <v>2</v>
      </c>
      <c r="E1855">
        <v>0.15</v>
      </c>
      <c r="F1855">
        <v>57.8</v>
      </c>
      <c r="G1855" t="str">
        <f>VLOOKUP(VLOOKUP(order_details[[#This Row],[ProductID]], products[], 4, FALSE), categories[], 2, FALSE)</f>
        <v>Dairy Products</v>
      </c>
      <c r="H1855">
        <f>VLOOKUP(order_details[[#This Row],[ProductID]], products[], 4, FALSE)</f>
        <v>4</v>
      </c>
      <c r="I1855" t="str">
        <f>VLOOKUP(order_details[[#This Row],[OrderID]], orders[[OrderID]:[ShipCountry]], 14, FALSE)</f>
        <v>Portugal</v>
      </c>
      <c r="J1855" s="1">
        <f>_xlfn.XLOOKUP(order_details[[#This Row],[OrderID]], orders[OrderID], orders[Month])</f>
        <v>4</v>
      </c>
    </row>
    <row r="1856" spans="1:10" x14ac:dyDescent="0.35">
      <c r="A1856">
        <v>10964</v>
      </c>
      <c r="B1856">
        <v>18</v>
      </c>
      <c r="C1856">
        <v>62.5</v>
      </c>
      <c r="D1856">
        <v>6</v>
      </c>
      <c r="E1856">
        <v>0</v>
      </c>
      <c r="F1856">
        <v>375</v>
      </c>
      <c r="G1856" t="str">
        <f>VLOOKUP(VLOOKUP(order_details[[#This Row],[ProductID]], products[], 4, FALSE), categories[], 2, FALSE)</f>
        <v>Seafood</v>
      </c>
      <c r="H1856">
        <f>VLOOKUP(order_details[[#This Row],[ProductID]], products[], 4, FALSE)</f>
        <v>8</v>
      </c>
      <c r="I1856" t="str">
        <f>VLOOKUP(order_details[[#This Row],[OrderID]], orders[[OrderID]:[ShipCountry]], 14, FALSE)</f>
        <v>France</v>
      </c>
      <c r="J1856" s="1">
        <f>_xlfn.XLOOKUP(order_details[[#This Row],[OrderID]], orders[OrderID], orders[Month])</f>
        <v>4</v>
      </c>
    </row>
    <row r="1857" spans="1:10" x14ac:dyDescent="0.35">
      <c r="A1857">
        <v>10964</v>
      </c>
      <c r="B1857">
        <v>38</v>
      </c>
      <c r="C1857">
        <v>263.5</v>
      </c>
      <c r="D1857">
        <v>5</v>
      </c>
      <c r="E1857">
        <v>0</v>
      </c>
      <c r="F1857">
        <v>1317.5</v>
      </c>
      <c r="G1857" t="str">
        <f>VLOOKUP(VLOOKUP(order_details[[#This Row],[ProductID]], products[], 4, FALSE), categories[], 2, FALSE)</f>
        <v>Beverages</v>
      </c>
      <c r="H1857">
        <f>VLOOKUP(order_details[[#This Row],[ProductID]], products[], 4, FALSE)</f>
        <v>1</v>
      </c>
      <c r="I1857" t="str">
        <f>VLOOKUP(order_details[[#This Row],[OrderID]], orders[[OrderID]:[ShipCountry]], 14, FALSE)</f>
        <v>France</v>
      </c>
      <c r="J1857" s="1">
        <f>_xlfn.XLOOKUP(order_details[[#This Row],[OrderID]], orders[OrderID], orders[Month])</f>
        <v>4</v>
      </c>
    </row>
    <row r="1858" spans="1:10" x14ac:dyDescent="0.35">
      <c r="A1858">
        <v>10964</v>
      </c>
      <c r="B1858">
        <v>69</v>
      </c>
      <c r="C1858">
        <v>36</v>
      </c>
      <c r="D1858">
        <v>10</v>
      </c>
      <c r="E1858">
        <v>0</v>
      </c>
      <c r="F1858">
        <v>360</v>
      </c>
      <c r="G1858" t="str">
        <f>VLOOKUP(VLOOKUP(order_details[[#This Row],[ProductID]], products[], 4, FALSE), categories[], 2, FALSE)</f>
        <v>Dairy Products</v>
      </c>
      <c r="H1858">
        <f>VLOOKUP(order_details[[#This Row],[ProductID]], products[], 4, FALSE)</f>
        <v>4</v>
      </c>
      <c r="I1858" t="str">
        <f>VLOOKUP(order_details[[#This Row],[OrderID]], orders[[OrderID]:[ShipCountry]], 14, FALSE)</f>
        <v>France</v>
      </c>
      <c r="J1858" s="1">
        <f>_xlfn.XLOOKUP(order_details[[#This Row],[OrderID]], orders[OrderID], orders[Month])</f>
        <v>4</v>
      </c>
    </row>
    <row r="1859" spans="1:10" x14ac:dyDescent="0.35">
      <c r="A1859">
        <v>10965</v>
      </c>
      <c r="B1859">
        <v>51</v>
      </c>
      <c r="C1859">
        <v>53</v>
      </c>
      <c r="D1859">
        <v>16</v>
      </c>
      <c r="E1859">
        <v>0</v>
      </c>
      <c r="F1859">
        <v>848</v>
      </c>
      <c r="G1859" t="str">
        <f>VLOOKUP(VLOOKUP(order_details[[#This Row],[ProductID]], products[], 4, FALSE), categories[], 2, FALSE)</f>
        <v>Produce</v>
      </c>
      <c r="H1859">
        <f>VLOOKUP(order_details[[#This Row],[ProductID]], products[], 4, FALSE)</f>
        <v>7</v>
      </c>
      <c r="I1859" t="str">
        <f>VLOOKUP(order_details[[#This Row],[OrderID]], orders[[OrderID]:[ShipCountry]], 14, FALSE)</f>
        <v>USA</v>
      </c>
      <c r="J1859" s="1">
        <f>_xlfn.XLOOKUP(order_details[[#This Row],[OrderID]], orders[OrderID], orders[Month])</f>
        <v>4</v>
      </c>
    </row>
    <row r="1860" spans="1:10" x14ac:dyDescent="0.35">
      <c r="A1860">
        <v>10966</v>
      </c>
      <c r="B1860">
        <v>37</v>
      </c>
      <c r="C1860">
        <v>26</v>
      </c>
      <c r="D1860">
        <v>8</v>
      </c>
      <c r="E1860">
        <v>0</v>
      </c>
      <c r="F1860">
        <v>208</v>
      </c>
      <c r="G1860" t="str">
        <f>VLOOKUP(VLOOKUP(order_details[[#This Row],[ProductID]], products[], 4, FALSE), categories[], 2, FALSE)</f>
        <v>Seafood</v>
      </c>
      <c r="H1860">
        <f>VLOOKUP(order_details[[#This Row],[ProductID]], products[], 4, FALSE)</f>
        <v>8</v>
      </c>
      <c r="I1860" t="str">
        <f>VLOOKUP(order_details[[#This Row],[OrderID]], orders[[OrderID]:[ShipCountry]], 14, FALSE)</f>
        <v>Switzerland</v>
      </c>
      <c r="J1860" s="1">
        <f>_xlfn.XLOOKUP(order_details[[#This Row],[OrderID]], orders[OrderID], orders[Month])</f>
        <v>4</v>
      </c>
    </row>
    <row r="1861" spans="1:10" x14ac:dyDescent="0.35">
      <c r="A1861">
        <v>10966</v>
      </c>
      <c r="B1861">
        <v>56</v>
      </c>
      <c r="C1861">
        <v>38</v>
      </c>
      <c r="D1861">
        <v>12</v>
      </c>
      <c r="E1861">
        <v>0.15</v>
      </c>
      <c r="F1861">
        <v>387.59999999999997</v>
      </c>
      <c r="G1861" t="str">
        <f>VLOOKUP(VLOOKUP(order_details[[#This Row],[ProductID]], products[], 4, FALSE), categories[], 2, FALSE)</f>
        <v>Grains/Cereals</v>
      </c>
      <c r="H1861">
        <f>VLOOKUP(order_details[[#This Row],[ProductID]], products[], 4, FALSE)</f>
        <v>5</v>
      </c>
      <c r="I1861" t="str">
        <f>VLOOKUP(order_details[[#This Row],[OrderID]], orders[[OrderID]:[ShipCountry]], 14, FALSE)</f>
        <v>Switzerland</v>
      </c>
      <c r="J1861" s="1">
        <f>_xlfn.XLOOKUP(order_details[[#This Row],[OrderID]], orders[OrderID], orders[Month])</f>
        <v>4</v>
      </c>
    </row>
    <row r="1862" spans="1:10" x14ac:dyDescent="0.35">
      <c r="A1862">
        <v>10966</v>
      </c>
      <c r="B1862">
        <v>62</v>
      </c>
      <c r="C1862">
        <v>49.3</v>
      </c>
      <c r="D1862">
        <v>12</v>
      </c>
      <c r="E1862">
        <v>0.15</v>
      </c>
      <c r="F1862">
        <v>502.8599999999999</v>
      </c>
      <c r="G1862" t="str">
        <f>VLOOKUP(VLOOKUP(order_details[[#This Row],[ProductID]], products[], 4, FALSE), categories[], 2, FALSE)</f>
        <v>Confections</v>
      </c>
      <c r="H1862">
        <f>VLOOKUP(order_details[[#This Row],[ProductID]], products[], 4, FALSE)</f>
        <v>3</v>
      </c>
      <c r="I1862" t="str">
        <f>VLOOKUP(order_details[[#This Row],[OrderID]], orders[[OrderID]:[ShipCountry]], 14, FALSE)</f>
        <v>Switzerland</v>
      </c>
      <c r="J1862" s="1">
        <f>_xlfn.XLOOKUP(order_details[[#This Row],[OrderID]], orders[OrderID], orders[Month])</f>
        <v>4</v>
      </c>
    </row>
    <row r="1863" spans="1:10" x14ac:dyDescent="0.35">
      <c r="A1863">
        <v>10967</v>
      </c>
      <c r="B1863">
        <v>19</v>
      </c>
      <c r="C1863">
        <v>9.1999999999999993</v>
      </c>
      <c r="D1863">
        <v>12</v>
      </c>
      <c r="E1863">
        <v>0</v>
      </c>
      <c r="F1863">
        <v>110.39999999999999</v>
      </c>
      <c r="G1863" t="str">
        <f>VLOOKUP(VLOOKUP(order_details[[#This Row],[ProductID]], products[], 4, FALSE), categories[], 2, FALSE)</f>
        <v>Confections</v>
      </c>
      <c r="H1863">
        <f>VLOOKUP(order_details[[#This Row],[ProductID]], products[], 4, FALSE)</f>
        <v>3</v>
      </c>
      <c r="I1863" t="str">
        <f>VLOOKUP(order_details[[#This Row],[OrderID]], orders[[OrderID]:[ShipCountry]], 14, FALSE)</f>
        <v>Germany</v>
      </c>
      <c r="J1863" s="1">
        <f>_xlfn.XLOOKUP(order_details[[#This Row],[OrderID]], orders[OrderID], orders[Month])</f>
        <v>4</v>
      </c>
    </row>
    <row r="1864" spans="1:10" x14ac:dyDescent="0.35">
      <c r="A1864">
        <v>10967</v>
      </c>
      <c r="B1864">
        <v>49</v>
      </c>
      <c r="C1864">
        <v>20</v>
      </c>
      <c r="D1864">
        <v>40</v>
      </c>
      <c r="E1864">
        <v>0</v>
      </c>
      <c r="F1864">
        <v>800</v>
      </c>
      <c r="G1864" t="str">
        <f>VLOOKUP(VLOOKUP(order_details[[#This Row],[ProductID]], products[], 4, FALSE), categories[], 2, FALSE)</f>
        <v>Confections</v>
      </c>
      <c r="H1864">
        <f>VLOOKUP(order_details[[#This Row],[ProductID]], products[], 4, FALSE)</f>
        <v>3</v>
      </c>
      <c r="I1864" t="str">
        <f>VLOOKUP(order_details[[#This Row],[OrderID]], orders[[OrderID]:[ShipCountry]], 14, FALSE)</f>
        <v>Germany</v>
      </c>
      <c r="J1864" s="1">
        <f>_xlfn.XLOOKUP(order_details[[#This Row],[OrderID]], orders[OrderID], orders[Month])</f>
        <v>4</v>
      </c>
    </row>
    <row r="1865" spans="1:10" x14ac:dyDescent="0.35">
      <c r="A1865">
        <v>10968</v>
      </c>
      <c r="B1865">
        <v>12</v>
      </c>
      <c r="C1865">
        <v>38</v>
      </c>
      <c r="D1865">
        <v>30</v>
      </c>
      <c r="E1865">
        <v>0</v>
      </c>
      <c r="F1865">
        <v>1140</v>
      </c>
      <c r="G1865" t="str">
        <f>VLOOKUP(VLOOKUP(order_details[[#This Row],[ProductID]], products[], 4, FALSE), categories[], 2, FALSE)</f>
        <v>Dairy Products</v>
      </c>
      <c r="H1865">
        <f>VLOOKUP(order_details[[#This Row],[ProductID]], products[], 4, FALSE)</f>
        <v>4</v>
      </c>
      <c r="I1865" t="str">
        <f>VLOOKUP(order_details[[#This Row],[OrderID]], orders[[OrderID]:[ShipCountry]], 14, FALSE)</f>
        <v>Austria</v>
      </c>
      <c r="J1865" s="1">
        <f>_xlfn.XLOOKUP(order_details[[#This Row],[OrderID]], orders[OrderID], orders[Month])</f>
        <v>4</v>
      </c>
    </row>
    <row r="1866" spans="1:10" x14ac:dyDescent="0.35">
      <c r="A1866">
        <v>10968</v>
      </c>
      <c r="B1866">
        <v>24</v>
      </c>
      <c r="C1866">
        <v>4.5</v>
      </c>
      <c r="D1866">
        <v>30</v>
      </c>
      <c r="E1866">
        <v>0</v>
      </c>
      <c r="F1866">
        <v>135</v>
      </c>
      <c r="G1866" t="str">
        <f>VLOOKUP(VLOOKUP(order_details[[#This Row],[ProductID]], products[], 4, FALSE), categories[], 2, FALSE)</f>
        <v>Beverages</v>
      </c>
      <c r="H1866">
        <f>VLOOKUP(order_details[[#This Row],[ProductID]], products[], 4, FALSE)</f>
        <v>1</v>
      </c>
      <c r="I1866" t="str">
        <f>VLOOKUP(order_details[[#This Row],[OrderID]], orders[[OrderID]:[ShipCountry]], 14, FALSE)</f>
        <v>Austria</v>
      </c>
      <c r="J1866" s="1">
        <f>_xlfn.XLOOKUP(order_details[[#This Row],[OrderID]], orders[OrderID], orders[Month])</f>
        <v>4</v>
      </c>
    </row>
    <row r="1867" spans="1:10" x14ac:dyDescent="0.35">
      <c r="A1867">
        <v>10968</v>
      </c>
      <c r="B1867">
        <v>64</v>
      </c>
      <c r="C1867">
        <v>33.25</v>
      </c>
      <c r="D1867">
        <v>4</v>
      </c>
      <c r="E1867">
        <v>0</v>
      </c>
      <c r="F1867">
        <v>133</v>
      </c>
      <c r="G1867" t="str">
        <f>VLOOKUP(VLOOKUP(order_details[[#This Row],[ProductID]], products[], 4, FALSE), categories[], 2, FALSE)</f>
        <v>Grains/Cereals</v>
      </c>
      <c r="H1867">
        <f>VLOOKUP(order_details[[#This Row],[ProductID]], products[], 4, FALSE)</f>
        <v>5</v>
      </c>
      <c r="I1867" t="str">
        <f>VLOOKUP(order_details[[#This Row],[OrderID]], orders[[OrderID]:[ShipCountry]], 14, FALSE)</f>
        <v>Austria</v>
      </c>
      <c r="J1867" s="1">
        <f>_xlfn.XLOOKUP(order_details[[#This Row],[OrderID]], orders[OrderID], orders[Month])</f>
        <v>4</v>
      </c>
    </row>
    <row r="1868" spans="1:10" x14ac:dyDescent="0.35">
      <c r="A1868">
        <v>10969</v>
      </c>
      <c r="B1868">
        <v>46</v>
      </c>
      <c r="C1868">
        <v>12</v>
      </c>
      <c r="D1868">
        <v>9</v>
      </c>
      <c r="E1868">
        <v>0</v>
      </c>
      <c r="F1868">
        <v>108</v>
      </c>
      <c r="G1868" t="str">
        <f>VLOOKUP(VLOOKUP(order_details[[#This Row],[ProductID]], products[], 4, FALSE), categories[], 2, FALSE)</f>
        <v>Seafood</v>
      </c>
      <c r="H1868">
        <f>VLOOKUP(order_details[[#This Row],[ProductID]], products[], 4, FALSE)</f>
        <v>8</v>
      </c>
      <c r="I1868" t="str">
        <f>VLOOKUP(order_details[[#This Row],[OrderID]], orders[[OrderID]:[ShipCountry]], 14, FALSE)</f>
        <v>Brazil</v>
      </c>
      <c r="J1868" s="1">
        <f>_xlfn.XLOOKUP(order_details[[#This Row],[OrderID]], orders[OrderID], orders[Month])</f>
        <v>4</v>
      </c>
    </row>
    <row r="1869" spans="1:10" x14ac:dyDescent="0.35">
      <c r="A1869">
        <v>10970</v>
      </c>
      <c r="B1869">
        <v>52</v>
      </c>
      <c r="C1869">
        <v>7</v>
      </c>
      <c r="D1869">
        <v>40</v>
      </c>
      <c r="E1869">
        <v>0.2</v>
      </c>
      <c r="F1869">
        <v>224</v>
      </c>
      <c r="G1869" t="str">
        <f>VLOOKUP(VLOOKUP(order_details[[#This Row],[ProductID]], products[], 4, FALSE), categories[], 2, FALSE)</f>
        <v>Grains/Cereals</v>
      </c>
      <c r="H1869">
        <f>VLOOKUP(order_details[[#This Row],[ProductID]], products[], 4, FALSE)</f>
        <v>5</v>
      </c>
      <c r="I1869" t="str">
        <f>VLOOKUP(order_details[[#This Row],[OrderID]], orders[[OrderID]:[ShipCountry]], 14, FALSE)</f>
        <v>Spain</v>
      </c>
      <c r="J1869" s="1">
        <f>_xlfn.XLOOKUP(order_details[[#This Row],[OrderID]], orders[OrderID], orders[Month])</f>
        <v>4</v>
      </c>
    </row>
    <row r="1870" spans="1:10" x14ac:dyDescent="0.35">
      <c r="A1870">
        <v>10971</v>
      </c>
      <c r="B1870">
        <v>29</v>
      </c>
      <c r="C1870">
        <v>123.79</v>
      </c>
      <c r="D1870">
        <v>14</v>
      </c>
      <c r="E1870">
        <v>0</v>
      </c>
      <c r="F1870">
        <v>1733.0600000000002</v>
      </c>
      <c r="G1870" t="str">
        <f>VLOOKUP(VLOOKUP(order_details[[#This Row],[ProductID]], products[], 4, FALSE), categories[], 2, FALSE)</f>
        <v>Meat/Poultry</v>
      </c>
      <c r="H1870">
        <f>VLOOKUP(order_details[[#This Row],[ProductID]], products[], 4, FALSE)</f>
        <v>6</v>
      </c>
      <c r="I1870" t="str">
        <f>VLOOKUP(order_details[[#This Row],[OrderID]], orders[[OrderID]:[ShipCountry]], 14, FALSE)</f>
        <v>France</v>
      </c>
      <c r="J1870" s="1">
        <f>_xlfn.XLOOKUP(order_details[[#This Row],[OrderID]], orders[OrderID], orders[Month])</f>
        <v>4</v>
      </c>
    </row>
    <row r="1871" spans="1:10" x14ac:dyDescent="0.35">
      <c r="A1871">
        <v>10972</v>
      </c>
      <c r="B1871">
        <v>17</v>
      </c>
      <c r="C1871">
        <v>39</v>
      </c>
      <c r="D1871">
        <v>6</v>
      </c>
      <c r="E1871">
        <v>0</v>
      </c>
      <c r="F1871">
        <v>234</v>
      </c>
      <c r="G1871" t="str">
        <f>VLOOKUP(VLOOKUP(order_details[[#This Row],[ProductID]], products[], 4, FALSE), categories[], 2, FALSE)</f>
        <v>Meat/Poultry</v>
      </c>
      <c r="H1871">
        <f>VLOOKUP(order_details[[#This Row],[ProductID]], products[], 4, FALSE)</f>
        <v>6</v>
      </c>
      <c r="I1871" t="str">
        <f>VLOOKUP(order_details[[#This Row],[OrderID]], orders[[OrderID]:[ShipCountry]], 14, FALSE)</f>
        <v>France</v>
      </c>
      <c r="J1871" s="1">
        <f>_xlfn.XLOOKUP(order_details[[#This Row],[OrderID]], orders[OrderID], orders[Month])</f>
        <v>4</v>
      </c>
    </row>
    <row r="1872" spans="1:10" x14ac:dyDescent="0.35">
      <c r="A1872">
        <v>10972</v>
      </c>
      <c r="B1872">
        <v>33</v>
      </c>
      <c r="C1872">
        <v>2.5</v>
      </c>
      <c r="D1872">
        <v>7</v>
      </c>
      <c r="E1872">
        <v>0</v>
      </c>
      <c r="F1872">
        <v>17.5</v>
      </c>
      <c r="G1872" t="str">
        <f>VLOOKUP(VLOOKUP(order_details[[#This Row],[ProductID]], products[], 4, FALSE), categories[], 2, FALSE)</f>
        <v>Dairy Products</v>
      </c>
      <c r="H1872">
        <f>VLOOKUP(order_details[[#This Row],[ProductID]], products[], 4, FALSE)</f>
        <v>4</v>
      </c>
      <c r="I1872" t="str">
        <f>VLOOKUP(order_details[[#This Row],[OrderID]], orders[[OrderID]:[ShipCountry]], 14, FALSE)</f>
        <v>France</v>
      </c>
      <c r="J1872" s="1">
        <f>_xlfn.XLOOKUP(order_details[[#This Row],[OrderID]], orders[OrderID], orders[Month])</f>
        <v>4</v>
      </c>
    </row>
    <row r="1873" spans="1:10" x14ac:dyDescent="0.35">
      <c r="A1873">
        <v>10973</v>
      </c>
      <c r="B1873">
        <v>26</v>
      </c>
      <c r="C1873">
        <v>31.23</v>
      </c>
      <c r="D1873">
        <v>5</v>
      </c>
      <c r="E1873">
        <v>0</v>
      </c>
      <c r="F1873">
        <v>156.15</v>
      </c>
      <c r="G1873" t="str">
        <f>VLOOKUP(VLOOKUP(order_details[[#This Row],[ProductID]], products[], 4, FALSE), categories[], 2, FALSE)</f>
        <v>Confections</v>
      </c>
      <c r="H1873">
        <f>VLOOKUP(order_details[[#This Row],[ProductID]], products[], 4, FALSE)</f>
        <v>3</v>
      </c>
      <c r="I1873" t="str">
        <f>VLOOKUP(order_details[[#This Row],[OrderID]], orders[[OrderID]:[ShipCountry]], 14, FALSE)</f>
        <v>France</v>
      </c>
      <c r="J1873" s="1">
        <f>_xlfn.XLOOKUP(order_details[[#This Row],[OrderID]], orders[OrderID], orders[Month])</f>
        <v>4</v>
      </c>
    </row>
    <row r="1874" spans="1:10" x14ac:dyDescent="0.35">
      <c r="A1874">
        <v>10973</v>
      </c>
      <c r="B1874">
        <v>41</v>
      </c>
      <c r="C1874">
        <v>9.65</v>
      </c>
      <c r="D1874">
        <v>6</v>
      </c>
      <c r="E1874">
        <v>0</v>
      </c>
      <c r="F1874">
        <v>57.900000000000006</v>
      </c>
      <c r="G1874" t="str">
        <f>VLOOKUP(VLOOKUP(order_details[[#This Row],[ProductID]], products[], 4, FALSE), categories[], 2, FALSE)</f>
        <v>Seafood</v>
      </c>
      <c r="H1874">
        <f>VLOOKUP(order_details[[#This Row],[ProductID]], products[], 4, FALSE)</f>
        <v>8</v>
      </c>
      <c r="I1874" t="str">
        <f>VLOOKUP(order_details[[#This Row],[OrderID]], orders[[OrderID]:[ShipCountry]], 14, FALSE)</f>
        <v>France</v>
      </c>
      <c r="J1874" s="1">
        <f>_xlfn.XLOOKUP(order_details[[#This Row],[OrderID]], orders[OrderID], orders[Month])</f>
        <v>4</v>
      </c>
    </row>
    <row r="1875" spans="1:10" x14ac:dyDescent="0.35">
      <c r="A1875">
        <v>10973</v>
      </c>
      <c r="B1875">
        <v>75</v>
      </c>
      <c r="C1875">
        <v>7.75</v>
      </c>
      <c r="D1875">
        <v>10</v>
      </c>
      <c r="E1875">
        <v>0</v>
      </c>
      <c r="F1875">
        <v>77.5</v>
      </c>
      <c r="G1875" t="str">
        <f>VLOOKUP(VLOOKUP(order_details[[#This Row],[ProductID]], products[], 4, FALSE), categories[], 2, FALSE)</f>
        <v>Beverages</v>
      </c>
      <c r="H1875">
        <f>VLOOKUP(order_details[[#This Row],[ProductID]], products[], 4, FALSE)</f>
        <v>1</v>
      </c>
      <c r="I1875" t="str">
        <f>VLOOKUP(order_details[[#This Row],[OrderID]], orders[[OrderID]:[ShipCountry]], 14, FALSE)</f>
        <v>France</v>
      </c>
      <c r="J1875" s="1">
        <f>_xlfn.XLOOKUP(order_details[[#This Row],[OrderID]], orders[OrderID], orders[Month])</f>
        <v>4</v>
      </c>
    </row>
    <row r="1876" spans="1:10" x14ac:dyDescent="0.35">
      <c r="A1876">
        <v>10974</v>
      </c>
      <c r="B1876">
        <v>63</v>
      </c>
      <c r="C1876">
        <v>43.9</v>
      </c>
      <c r="D1876">
        <v>10</v>
      </c>
      <c r="E1876">
        <v>0</v>
      </c>
      <c r="F1876">
        <v>439</v>
      </c>
      <c r="G1876" t="str">
        <f>VLOOKUP(VLOOKUP(order_details[[#This Row],[ProductID]], products[], 4, FALSE), categories[], 2, FALSE)</f>
        <v>Condiments</v>
      </c>
      <c r="H1876">
        <f>VLOOKUP(order_details[[#This Row],[ProductID]], products[], 4, FALSE)</f>
        <v>2</v>
      </c>
      <c r="I1876" t="str">
        <f>VLOOKUP(order_details[[#This Row],[OrderID]], orders[[OrderID]:[ShipCountry]], 14, FALSE)</f>
        <v>USA</v>
      </c>
      <c r="J1876" s="1">
        <f>_xlfn.XLOOKUP(order_details[[#This Row],[OrderID]], orders[OrderID], orders[Month])</f>
        <v>4</v>
      </c>
    </row>
    <row r="1877" spans="1:10" x14ac:dyDescent="0.35">
      <c r="A1877">
        <v>10975</v>
      </c>
      <c r="B1877">
        <v>8</v>
      </c>
      <c r="C1877">
        <v>40</v>
      </c>
      <c r="D1877">
        <v>16</v>
      </c>
      <c r="E1877">
        <v>0</v>
      </c>
      <c r="F1877">
        <v>640</v>
      </c>
      <c r="G1877" t="str">
        <f>VLOOKUP(VLOOKUP(order_details[[#This Row],[ProductID]], products[], 4, FALSE), categories[], 2, FALSE)</f>
        <v>Condiments</v>
      </c>
      <c r="H1877">
        <f>VLOOKUP(order_details[[#This Row],[ProductID]], products[], 4, FALSE)</f>
        <v>2</v>
      </c>
      <c r="I1877" t="str">
        <f>VLOOKUP(order_details[[#This Row],[OrderID]], orders[[OrderID]:[ShipCountry]], 14, FALSE)</f>
        <v>Canada</v>
      </c>
      <c r="J1877" s="1">
        <f>_xlfn.XLOOKUP(order_details[[#This Row],[OrderID]], orders[OrderID], orders[Month])</f>
        <v>4</v>
      </c>
    </row>
    <row r="1878" spans="1:10" x14ac:dyDescent="0.35">
      <c r="A1878">
        <v>10975</v>
      </c>
      <c r="B1878">
        <v>75</v>
      </c>
      <c r="C1878">
        <v>7.75</v>
      </c>
      <c r="D1878">
        <v>10</v>
      </c>
      <c r="E1878">
        <v>0</v>
      </c>
      <c r="F1878">
        <v>77.5</v>
      </c>
      <c r="G1878" t="str">
        <f>VLOOKUP(VLOOKUP(order_details[[#This Row],[ProductID]], products[], 4, FALSE), categories[], 2, FALSE)</f>
        <v>Beverages</v>
      </c>
      <c r="H1878">
        <f>VLOOKUP(order_details[[#This Row],[ProductID]], products[], 4, FALSE)</f>
        <v>1</v>
      </c>
      <c r="I1878" t="str">
        <f>VLOOKUP(order_details[[#This Row],[OrderID]], orders[[OrderID]:[ShipCountry]], 14, FALSE)</f>
        <v>Canada</v>
      </c>
      <c r="J1878" s="1">
        <f>_xlfn.XLOOKUP(order_details[[#This Row],[OrderID]], orders[OrderID], orders[Month])</f>
        <v>4</v>
      </c>
    </row>
    <row r="1879" spans="1:10" x14ac:dyDescent="0.35">
      <c r="A1879">
        <v>10976</v>
      </c>
      <c r="B1879">
        <v>28</v>
      </c>
      <c r="C1879">
        <v>45.6</v>
      </c>
      <c r="D1879">
        <v>20</v>
      </c>
      <c r="E1879">
        <v>0</v>
      </c>
      <c r="F1879">
        <v>912</v>
      </c>
      <c r="G1879" t="str">
        <f>VLOOKUP(VLOOKUP(order_details[[#This Row],[ProductID]], products[], 4, FALSE), categories[], 2, FALSE)</f>
        <v>Produce</v>
      </c>
      <c r="H1879">
        <f>VLOOKUP(order_details[[#This Row],[ProductID]], products[], 4, FALSE)</f>
        <v>7</v>
      </c>
      <c r="I1879" t="str">
        <f>VLOOKUP(order_details[[#This Row],[OrderID]], orders[[OrderID]:[ShipCountry]], 14, FALSE)</f>
        <v>Venezuela</v>
      </c>
      <c r="J1879" s="1">
        <f>_xlfn.XLOOKUP(order_details[[#This Row],[OrderID]], orders[OrderID], orders[Month])</f>
        <v>4</v>
      </c>
    </row>
    <row r="1880" spans="1:10" x14ac:dyDescent="0.35">
      <c r="A1880">
        <v>10977</v>
      </c>
      <c r="B1880">
        <v>39</v>
      </c>
      <c r="C1880">
        <v>18</v>
      </c>
      <c r="D1880">
        <v>30</v>
      </c>
      <c r="E1880">
        <v>0</v>
      </c>
      <c r="F1880">
        <v>540</v>
      </c>
      <c r="G1880" t="str">
        <f>VLOOKUP(VLOOKUP(order_details[[#This Row],[ProductID]], products[], 4, FALSE), categories[], 2, FALSE)</f>
        <v>Beverages</v>
      </c>
      <c r="H1880">
        <f>VLOOKUP(order_details[[#This Row],[ProductID]], products[], 4, FALSE)</f>
        <v>1</v>
      </c>
      <c r="I1880" t="str">
        <f>VLOOKUP(order_details[[#This Row],[OrderID]], orders[[OrderID]:[ShipCountry]], 14, FALSE)</f>
        <v>Sweden</v>
      </c>
      <c r="J1880" s="1">
        <f>_xlfn.XLOOKUP(order_details[[#This Row],[OrderID]], orders[OrderID], orders[Month])</f>
        <v>4</v>
      </c>
    </row>
    <row r="1881" spans="1:10" x14ac:dyDescent="0.35">
      <c r="A1881">
        <v>10977</v>
      </c>
      <c r="B1881">
        <v>47</v>
      </c>
      <c r="C1881">
        <v>9.5</v>
      </c>
      <c r="D1881">
        <v>30</v>
      </c>
      <c r="E1881">
        <v>0</v>
      </c>
      <c r="F1881">
        <v>285</v>
      </c>
      <c r="G1881" t="str">
        <f>VLOOKUP(VLOOKUP(order_details[[#This Row],[ProductID]], products[], 4, FALSE), categories[], 2, FALSE)</f>
        <v>Confections</v>
      </c>
      <c r="H1881">
        <f>VLOOKUP(order_details[[#This Row],[ProductID]], products[], 4, FALSE)</f>
        <v>3</v>
      </c>
      <c r="I1881" t="str">
        <f>VLOOKUP(order_details[[#This Row],[OrderID]], orders[[OrderID]:[ShipCountry]], 14, FALSE)</f>
        <v>Sweden</v>
      </c>
      <c r="J1881" s="1">
        <f>_xlfn.XLOOKUP(order_details[[#This Row],[OrderID]], orders[OrderID], orders[Month])</f>
        <v>4</v>
      </c>
    </row>
    <row r="1882" spans="1:10" x14ac:dyDescent="0.35">
      <c r="A1882">
        <v>10977</v>
      </c>
      <c r="B1882">
        <v>51</v>
      </c>
      <c r="C1882">
        <v>53</v>
      </c>
      <c r="D1882">
        <v>10</v>
      </c>
      <c r="E1882">
        <v>0</v>
      </c>
      <c r="F1882">
        <v>530</v>
      </c>
      <c r="G1882" t="str">
        <f>VLOOKUP(VLOOKUP(order_details[[#This Row],[ProductID]], products[], 4, FALSE), categories[], 2, FALSE)</f>
        <v>Produce</v>
      </c>
      <c r="H1882">
        <f>VLOOKUP(order_details[[#This Row],[ProductID]], products[], 4, FALSE)</f>
        <v>7</v>
      </c>
      <c r="I1882" t="str">
        <f>VLOOKUP(order_details[[#This Row],[OrderID]], orders[[OrderID]:[ShipCountry]], 14, FALSE)</f>
        <v>Sweden</v>
      </c>
      <c r="J1882" s="1">
        <f>_xlfn.XLOOKUP(order_details[[#This Row],[OrderID]], orders[OrderID], orders[Month])</f>
        <v>4</v>
      </c>
    </row>
    <row r="1883" spans="1:10" x14ac:dyDescent="0.35">
      <c r="A1883">
        <v>10977</v>
      </c>
      <c r="B1883">
        <v>63</v>
      </c>
      <c r="C1883">
        <v>43.9</v>
      </c>
      <c r="D1883">
        <v>20</v>
      </c>
      <c r="E1883">
        <v>0</v>
      </c>
      <c r="F1883">
        <v>878</v>
      </c>
      <c r="G1883" t="str">
        <f>VLOOKUP(VLOOKUP(order_details[[#This Row],[ProductID]], products[], 4, FALSE), categories[], 2, FALSE)</f>
        <v>Condiments</v>
      </c>
      <c r="H1883">
        <f>VLOOKUP(order_details[[#This Row],[ProductID]], products[], 4, FALSE)</f>
        <v>2</v>
      </c>
      <c r="I1883" t="str">
        <f>VLOOKUP(order_details[[#This Row],[OrderID]], orders[[OrderID]:[ShipCountry]], 14, FALSE)</f>
        <v>Sweden</v>
      </c>
      <c r="J1883" s="1">
        <f>_xlfn.XLOOKUP(order_details[[#This Row],[OrderID]], orders[OrderID], orders[Month])</f>
        <v>4</v>
      </c>
    </row>
    <row r="1884" spans="1:10" x14ac:dyDescent="0.35">
      <c r="A1884">
        <v>10978</v>
      </c>
      <c r="B1884">
        <v>8</v>
      </c>
      <c r="C1884">
        <v>40</v>
      </c>
      <c r="D1884">
        <v>20</v>
      </c>
      <c r="E1884">
        <v>0.15</v>
      </c>
      <c r="F1884">
        <v>680</v>
      </c>
      <c r="G1884" t="str">
        <f>VLOOKUP(VLOOKUP(order_details[[#This Row],[ProductID]], products[], 4, FALSE), categories[], 2, FALSE)</f>
        <v>Condiments</v>
      </c>
      <c r="H1884">
        <f>VLOOKUP(order_details[[#This Row],[ProductID]], products[], 4, FALSE)</f>
        <v>2</v>
      </c>
      <c r="I1884" t="str">
        <f>VLOOKUP(order_details[[#This Row],[OrderID]], orders[[OrderID]:[ShipCountry]], 14, FALSE)</f>
        <v>Belgium</v>
      </c>
      <c r="J1884" s="1">
        <f>_xlfn.XLOOKUP(order_details[[#This Row],[OrderID]], orders[OrderID], orders[Month])</f>
        <v>4</v>
      </c>
    </row>
    <row r="1885" spans="1:10" x14ac:dyDescent="0.35">
      <c r="A1885">
        <v>10978</v>
      </c>
      <c r="B1885">
        <v>21</v>
      </c>
      <c r="C1885">
        <v>10</v>
      </c>
      <c r="D1885">
        <v>40</v>
      </c>
      <c r="E1885">
        <v>0.15</v>
      </c>
      <c r="F1885">
        <v>340</v>
      </c>
      <c r="G1885" t="str">
        <f>VLOOKUP(VLOOKUP(order_details[[#This Row],[ProductID]], products[], 4, FALSE), categories[], 2, FALSE)</f>
        <v>Confections</v>
      </c>
      <c r="H1885">
        <f>VLOOKUP(order_details[[#This Row],[ProductID]], products[], 4, FALSE)</f>
        <v>3</v>
      </c>
      <c r="I1885" t="str">
        <f>VLOOKUP(order_details[[#This Row],[OrderID]], orders[[OrderID]:[ShipCountry]], 14, FALSE)</f>
        <v>Belgium</v>
      </c>
      <c r="J1885" s="1">
        <f>_xlfn.XLOOKUP(order_details[[#This Row],[OrderID]], orders[OrderID], orders[Month])</f>
        <v>4</v>
      </c>
    </row>
    <row r="1886" spans="1:10" x14ac:dyDescent="0.35">
      <c r="A1886">
        <v>10978</v>
      </c>
      <c r="B1886">
        <v>40</v>
      </c>
      <c r="C1886">
        <v>18.399999999999999</v>
      </c>
      <c r="D1886">
        <v>10</v>
      </c>
      <c r="E1886">
        <v>0</v>
      </c>
      <c r="F1886">
        <v>184</v>
      </c>
      <c r="G1886" t="str">
        <f>VLOOKUP(VLOOKUP(order_details[[#This Row],[ProductID]], products[], 4, FALSE), categories[], 2, FALSE)</f>
        <v>Seafood</v>
      </c>
      <c r="H1886">
        <f>VLOOKUP(order_details[[#This Row],[ProductID]], products[], 4, FALSE)</f>
        <v>8</v>
      </c>
      <c r="I1886" t="str">
        <f>VLOOKUP(order_details[[#This Row],[OrderID]], orders[[OrderID]:[ShipCountry]], 14, FALSE)</f>
        <v>Belgium</v>
      </c>
      <c r="J1886" s="1">
        <f>_xlfn.XLOOKUP(order_details[[#This Row],[OrderID]], orders[OrderID], orders[Month])</f>
        <v>4</v>
      </c>
    </row>
    <row r="1887" spans="1:10" x14ac:dyDescent="0.35">
      <c r="A1887">
        <v>10978</v>
      </c>
      <c r="B1887">
        <v>44</v>
      </c>
      <c r="C1887">
        <v>19.45</v>
      </c>
      <c r="D1887">
        <v>6</v>
      </c>
      <c r="E1887">
        <v>0.15</v>
      </c>
      <c r="F1887">
        <v>99.194999999999993</v>
      </c>
      <c r="G1887" t="str">
        <f>VLOOKUP(VLOOKUP(order_details[[#This Row],[ProductID]], products[], 4, FALSE), categories[], 2, FALSE)</f>
        <v>Condiments</v>
      </c>
      <c r="H1887">
        <f>VLOOKUP(order_details[[#This Row],[ProductID]], products[], 4, FALSE)</f>
        <v>2</v>
      </c>
      <c r="I1887" t="str">
        <f>VLOOKUP(order_details[[#This Row],[OrderID]], orders[[OrderID]:[ShipCountry]], 14, FALSE)</f>
        <v>Belgium</v>
      </c>
      <c r="J1887" s="1">
        <f>_xlfn.XLOOKUP(order_details[[#This Row],[OrderID]], orders[OrderID], orders[Month])</f>
        <v>4</v>
      </c>
    </row>
    <row r="1888" spans="1:10" x14ac:dyDescent="0.35">
      <c r="A1888">
        <v>10979</v>
      </c>
      <c r="B1888">
        <v>7</v>
      </c>
      <c r="C1888">
        <v>30</v>
      </c>
      <c r="D1888">
        <v>18</v>
      </c>
      <c r="E1888">
        <v>0</v>
      </c>
      <c r="F1888">
        <v>540</v>
      </c>
      <c r="G1888" t="str">
        <f>VLOOKUP(VLOOKUP(order_details[[#This Row],[ProductID]], products[], 4, FALSE), categories[], 2, FALSE)</f>
        <v>Produce</v>
      </c>
      <c r="H1888">
        <f>VLOOKUP(order_details[[#This Row],[ProductID]], products[], 4, FALSE)</f>
        <v>7</v>
      </c>
      <c r="I1888" t="str">
        <f>VLOOKUP(order_details[[#This Row],[OrderID]], orders[[OrderID]:[ShipCountry]], 14, FALSE)</f>
        <v>Austria</v>
      </c>
      <c r="J1888" s="1">
        <f>_xlfn.XLOOKUP(order_details[[#This Row],[OrderID]], orders[OrderID], orders[Month])</f>
        <v>4</v>
      </c>
    </row>
    <row r="1889" spans="1:10" x14ac:dyDescent="0.35">
      <c r="A1889">
        <v>10979</v>
      </c>
      <c r="B1889">
        <v>12</v>
      </c>
      <c r="C1889">
        <v>38</v>
      </c>
      <c r="D1889">
        <v>20</v>
      </c>
      <c r="E1889">
        <v>0</v>
      </c>
      <c r="F1889">
        <v>760</v>
      </c>
      <c r="G1889" t="str">
        <f>VLOOKUP(VLOOKUP(order_details[[#This Row],[ProductID]], products[], 4, FALSE), categories[], 2, FALSE)</f>
        <v>Dairy Products</v>
      </c>
      <c r="H1889">
        <f>VLOOKUP(order_details[[#This Row],[ProductID]], products[], 4, FALSE)</f>
        <v>4</v>
      </c>
      <c r="I1889" t="str">
        <f>VLOOKUP(order_details[[#This Row],[OrderID]], orders[[OrderID]:[ShipCountry]], 14, FALSE)</f>
        <v>Austria</v>
      </c>
      <c r="J1889" s="1">
        <f>_xlfn.XLOOKUP(order_details[[#This Row],[OrderID]], orders[OrderID], orders[Month])</f>
        <v>4</v>
      </c>
    </row>
    <row r="1890" spans="1:10" x14ac:dyDescent="0.35">
      <c r="A1890">
        <v>10979</v>
      </c>
      <c r="B1890">
        <v>24</v>
      </c>
      <c r="C1890">
        <v>4.5</v>
      </c>
      <c r="D1890">
        <v>80</v>
      </c>
      <c r="E1890">
        <v>0</v>
      </c>
      <c r="F1890">
        <v>360</v>
      </c>
      <c r="G1890" t="str">
        <f>VLOOKUP(VLOOKUP(order_details[[#This Row],[ProductID]], products[], 4, FALSE), categories[], 2, FALSE)</f>
        <v>Beverages</v>
      </c>
      <c r="H1890">
        <f>VLOOKUP(order_details[[#This Row],[ProductID]], products[], 4, FALSE)</f>
        <v>1</v>
      </c>
      <c r="I1890" t="str">
        <f>VLOOKUP(order_details[[#This Row],[OrderID]], orders[[OrderID]:[ShipCountry]], 14, FALSE)</f>
        <v>Austria</v>
      </c>
      <c r="J1890" s="1">
        <f>_xlfn.XLOOKUP(order_details[[#This Row],[OrderID]], orders[OrderID], orders[Month])</f>
        <v>4</v>
      </c>
    </row>
    <row r="1891" spans="1:10" x14ac:dyDescent="0.35">
      <c r="A1891">
        <v>10979</v>
      </c>
      <c r="B1891">
        <v>27</v>
      </c>
      <c r="C1891">
        <v>43.9</v>
      </c>
      <c r="D1891">
        <v>30</v>
      </c>
      <c r="E1891">
        <v>0</v>
      </c>
      <c r="F1891">
        <v>1317</v>
      </c>
      <c r="G1891" t="str">
        <f>VLOOKUP(VLOOKUP(order_details[[#This Row],[ProductID]], products[], 4, FALSE), categories[], 2, FALSE)</f>
        <v>Confections</v>
      </c>
      <c r="H1891">
        <f>VLOOKUP(order_details[[#This Row],[ProductID]], products[], 4, FALSE)</f>
        <v>3</v>
      </c>
      <c r="I1891" t="str">
        <f>VLOOKUP(order_details[[#This Row],[OrderID]], orders[[OrderID]:[ShipCountry]], 14, FALSE)</f>
        <v>Austria</v>
      </c>
      <c r="J1891" s="1">
        <f>_xlfn.XLOOKUP(order_details[[#This Row],[OrderID]], orders[OrderID], orders[Month])</f>
        <v>4</v>
      </c>
    </row>
    <row r="1892" spans="1:10" x14ac:dyDescent="0.35">
      <c r="A1892">
        <v>10979</v>
      </c>
      <c r="B1892">
        <v>31</v>
      </c>
      <c r="C1892">
        <v>12.5</v>
      </c>
      <c r="D1892">
        <v>24</v>
      </c>
      <c r="E1892">
        <v>0</v>
      </c>
      <c r="F1892">
        <v>300</v>
      </c>
      <c r="G1892" t="str">
        <f>VLOOKUP(VLOOKUP(order_details[[#This Row],[ProductID]], products[], 4, FALSE), categories[], 2, FALSE)</f>
        <v>Dairy Products</v>
      </c>
      <c r="H1892">
        <f>VLOOKUP(order_details[[#This Row],[ProductID]], products[], 4, FALSE)</f>
        <v>4</v>
      </c>
      <c r="I1892" t="str">
        <f>VLOOKUP(order_details[[#This Row],[OrderID]], orders[[OrderID]:[ShipCountry]], 14, FALSE)</f>
        <v>Austria</v>
      </c>
      <c r="J1892" s="1">
        <f>_xlfn.XLOOKUP(order_details[[#This Row],[OrderID]], orders[OrderID], orders[Month])</f>
        <v>4</v>
      </c>
    </row>
    <row r="1893" spans="1:10" x14ac:dyDescent="0.35">
      <c r="A1893">
        <v>10979</v>
      </c>
      <c r="B1893">
        <v>63</v>
      </c>
      <c r="C1893">
        <v>43.9</v>
      </c>
      <c r="D1893">
        <v>35</v>
      </c>
      <c r="E1893">
        <v>0</v>
      </c>
      <c r="F1893">
        <v>1536.5</v>
      </c>
      <c r="G1893" t="str">
        <f>VLOOKUP(VLOOKUP(order_details[[#This Row],[ProductID]], products[], 4, FALSE), categories[], 2, FALSE)</f>
        <v>Condiments</v>
      </c>
      <c r="H1893">
        <f>VLOOKUP(order_details[[#This Row],[ProductID]], products[], 4, FALSE)</f>
        <v>2</v>
      </c>
      <c r="I1893" t="str">
        <f>VLOOKUP(order_details[[#This Row],[OrderID]], orders[[OrderID]:[ShipCountry]], 14, FALSE)</f>
        <v>Austria</v>
      </c>
      <c r="J1893" s="1">
        <f>_xlfn.XLOOKUP(order_details[[#This Row],[OrderID]], orders[OrderID], orders[Month])</f>
        <v>4</v>
      </c>
    </row>
    <row r="1894" spans="1:10" x14ac:dyDescent="0.35">
      <c r="A1894">
        <v>10980</v>
      </c>
      <c r="B1894">
        <v>75</v>
      </c>
      <c r="C1894">
        <v>7.75</v>
      </c>
      <c r="D1894">
        <v>40</v>
      </c>
      <c r="E1894">
        <v>0.2</v>
      </c>
      <c r="F1894">
        <v>248</v>
      </c>
      <c r="G1894" t="str">
        <f>VLOOKUP(VLOOKUP(order_details[[#This Row],[ProductID]], products[], 4, FALSE), categories[], 2, FALSE)</f>
        <v>Beverages</v>
      </c>
      <c r="H1894">
        <f>VLOOKUP(order_details[[#This Row],[ProductID]], products[], 4, FALSE)</f>
        <v>1</v>
      </c>
      <c r="I1894" t="str">
        <f>VLOOKUP(order_details[[#This Row],[OrderID]], orders[[OrderID]:[ShipCountry]], 14, FALSE)</f>
        <v>Sweden</v>
      </c>
      <c r="J1894" s="1">
        <f>_xlfn.XLOOKUP(order_details[[#This Row],[OrderID]], orders[OrderID], orders[Month])</f>
        <v>4</v>
      </c>
    </row>
    <row r="1895" spans="1:10" x14ac:dyDescent="0.35">
      <c r="A1895">
        <v>10981</v>
      </c>
      <c r="B1895">
        <v>38</v>
      </c>
      <c r="C1895">
        <v>263.5</v>
      </c>
      <c r="D1895">
        <v>60</v>
      </c>
      <c r="E1895">
        <v>0</v>
      </c>
      <c r="F1895">
        <v>15810</v>
      </c>
      <c r="G1895" t="str">
        <f>VLOOKUP(VLOOKUP(order_details[[#This Row],[ProductID]], products[], 4, FALSE), categories[], 2, FALSE)</f>
        <v>Beverages</v>
      </c>
      <c r="H1895">
        <f>VLOOKUP(order_details[[#This Row],[ProductID]], products[], 4, FALSE)</f>
        <v>1</v>
      </c>
      <c r="I1895" t="str">
        <f>VLOOKUP(order_details[[#This Row],[OrderID]], orders[[OrderID]:[ShipCountry]], 14, FALSE)</f>
        <v>Brazil</v>
      </c>
      <c r="J1895" s="1">
        <f>_xlfn.XLOOKUP(order_details[[#This Row],[OrderID]], orders[OrderID], orders[Month])</f>
        <v>4</v>
      </c>
    </row>
    <row r="1896" spans="1:10" x14ac:dyDescent="0.35">
      <c r="A1896">
        <v>10982</v>
      </c>
      <c r="B1896">
        <v>7</v>
      </c>
      <c r="C1896">
        <v>30</v>
      </c>
      <c r="D1896">
        <v>20</v>
      </c>
      <c r="E1896">
        <v>0</v>
      </c>
      <c r="F1896">
        <v>600</v>
      </c>
      <c r="G1896" t="str">
        <f>VLOOKUP(VLOOKUP(order_details[[#This Row],[ProductID]], products[], 4, FALSE), categories[], 2, FALSE)</f>
        <v>Produce</v>
      </c>
      <c r="H1896">
        <f>VLOOKUP(order_details[[#This Row],[ProductID]], products[], 4, FALSE)</f>
        <v>7</v>
      </c>
      <c r="I1896" t="str">
        <f>VLOOKUP(order_details[[#This Row],[OrderID]], orders[[OrderID]:[ShipCountry]], 14, FALSE)</f>
        <v>Canada</v>
      </c>
      <c r="J1896" s="1">
        <f>_xlfn.XLOOKUP(order_details[[#This Row],[OrderID]], orders[OrderID], orders[Month])</f>
        <v>4</v>
      </c>
    </row>
    <row r="1897" spans="1:10" x14ac:dyDescent="0.35">
      <c r="A1897">
        <v>10982</v>
      </c>
      <c r="B1897">
        <v>43</v>
      </c>
      <c r="C1897">
        <v>46</v>
      </c>
      <c r="D1897">
        <v>9</v>
      </c>
      <c r="E1897">
        <v>0</v>
      </c>
      <c r="F1897">
        <v>414</v>
      </c>
      <c r="G1897" t="str">
        <f>VLOOKUP(VLOOKUP(order_details[[#This Row],[ProductID]], products[], 4, FALSE), categories[], 2, FALSE)</f>
        <v>Beverages</v>
      </c>
      <c r="H1897">
        <f>VLOOKUP(order_details[[#This Row],[ProductID]], products[], 4, FALSE)</f>
        <v>1</v>
      </c>
      <c r="I1897" t="str">
        <f>VLOOKUP(order_details[[#This Row],[OrderID]], orders[[OrderID]:[ShipCountry]], 14, FALSE)</f>
        <v>Canada</v>
      </c>
      <c r="J1897" s="1">
        <f>_xlfn.XLOOKUP(order_details[[#This Row],[OrderID]], orders[OrderID], orders[Month])</f>
        <v>4</v>
      </c>
    </row>
    <row r="1898" spans="1:10" x14ac:dyDescent="0.35">
      <c r="A1898">
        <v>10983</v>
      </c>
      <c r="B1898">
        <v>13</v>
      </c>
      <c r="C1898">
        <v>6</v>
      </c>
      <c r="D1898">
        <v>84</v>
      </c>
      <c r="E1898">
        <v>0.15</v>
      </c>
      <c r="F1898">
        <v>428.4</v>
      </c>
      <c r="G1898" t="str">
        <f>VLOOKUP(VLOOKUP(order_details[[#This Row],[ProductID]], products[], 4, FALSE), categories[], 2, FALSE)</f>
        <v>Seafood</v>
      </c>
      <c r="H1898">
        <f>VLOOKUP(order_details[[#This Row],[ProductID]], products[], 4, FALSE)</f>
        <v>8</v>
      </c>
      <c r="I1898" t="str">
        <f>VLOOKUP(order_details[[#This Row],[OrderID]], orders[[OrderID]:[ShipCountry]], 14, FALSE)</f>
        <v>USA</v>
      </c>
      <c r="J1898" s="1">
        <f>_xlfn.XLOOKUP(order_details[[#This Row],[OrderID]], orders[OrderID], orders[Month])</f>
        <v>4</v>
      </c>
    </row>
    <row r="1899" spans="1:10" x14ac:dyDescent="0.35">
      <c r="A1899">
        <v>10983</v>
      </c>
      <c r="B1899">
        <v>57</v>
      </c>
      <c r="C1899">
        <v>19.5</v>
      </c>
      <c r="D1899">
        <v>15</v>
      </c>
      <c r="E1899">
        <v>0</v>
      </c>
      <c r="F1899">
        <v>292.5</v>
      </c>
      <c r="G1899" t="str">
        <f>VLOOKUP(VLOOKUP(order_details[[#This Row],[ProductID]], products[], 4, FALSE), categories[], 2, FALSE)</f>
        <v>Grains/Cereals</v>
      </c>
      <c r="H1899">
        <f>VLOOKUP(order_details[[#This Row],[ProductID]], products[], 4, FALSE)</f>
        <v>5</v>
      </c>
      <c r="I1899" t="str">
        <f>VLOOKUP(order_details[[#This Row],[OrderID]], orders[[OrderID]:[ShipCountry]], 14, FALSE)</f>
        <v>USA</v>
      </c>
      <c r="J1899" s="1">
        <f>_xlfn.XLOOKUP(order_details[[#This Row],[OrderID]], orders[OrderID], orders[Month])</f>
        <v>4</v>
      </c>
    </row>
    <row r="1900" spans="1:10" x14ac:dyDescent="0.35">
      <c r="A1900">
        <v>10984</v>
      </c>
      <c r="B1900">
        <v>16</v>
      </c>
      <c r="C1900">
        <v>17.45</v>
      </c>
      <c r="D1900">
        <v>55</v>
      </c>
      <c r="E1900">
        <v>0</v>
      </c>
      <c r="F1900">
        <v>959.75</v>
      </c>
      <c r="G1900" t="str">
        <f>VLOOKUP(VLOOKUP(order_details[[#This Row],[ProductID]], products[], 4, FALSE), categories[], 2, FALSE)</f>
        <v>Confections</v>
      </c>
      <c r="H1900">
        <f>VLOOKUP(order_details[[#This Row],[ProductID]], products[], 4, FALSE)</f>
        <v>3</v>
      </c>
      <c r="I1900" t="str">
        <f>VLOOKUP(order_details[[#This Row],[OrderID]], orders[[OrderID]:[ShipCountry]], 14, FALSE)</f>
        <v>USA</v>
      </c>
      <c r="J1900" s="1">
        <f>_xlfn.XLOOKUP(order_details[[#This Row],[OrderID]], orders[OrderID], orders[Month])</f>
        <v>4</v>
      </c>
    </row>
    <row r="1901" spans="1:10" x14ac:dyDescent="0.35">
      <c r="A1901">
        <v>10984</v>
      </c>
      <c r="B1901">
        <v>24</v>
      </c>
      <c r="C1901">
        <v>4.5</v>
      </c>
      <c r="D1901">
        <v>20</v>
      </c>
      <c r="E1901">
        <v>0</v>
      </c>
      <c r="F1901">
        <v>90</v>
      </c>
      <c r="G1901" t="str">
        <f>VLOOKUP(VLOOKUP(order_details[[#This Row],[ProductID]], products[], 4, FALSE), categories[], 2, FALSE)</f>
        <v>Beverages</v>
      </c>
      <c r="H1901">
        <f>VLOOKUP(order_details[[#This Row],[ProductID]], products[], 4, FALSE)</f>
        <v>1</v>
      </c>
      <c r="I1901" t="str">
        <f>VLOOKUP(order_details[[#This Row],[OrderID]], orders[[OrderID]:[ShipCountry]], 14, FALSE)</f>
        <v>USA</v>
      </c>
      <c r="J1901" s="1">
        <f>_xlfn.XLOOKUP(order_details[[#This Row],[OrderID]], orders[OrderID], orders[Month])</f>
        <v>4</v>
      </c>
    </row>
    <row r="1902" spans="1:10" x14ac:dyDescent="0.35">
      <c r="A1902">
        <v>10984</v>
      </c>
      <c r="B1902">
        <v>36</v>
      </c>
      <c r="C1902">
        <v>19</v>
      </c>
      <c r="D1902">
        <v>40</v>
      </c>
      <c r="E1902">
        <v>0</v>
      </c>
      <c r="F1902">
        <v>760</v>
      </c>
      <c r="G1902" t="str">
        <f>VLOOKUP(VLOOKUP(order_details[[#This Row],[ProductID]], products[], 4, FALSE), categories[], 2, FALSE)</f>
        <v>Seafood</v>
      </c>
      <c r="H1902">
        <f>VLOOKUP(order_details[[#This Row],[ProductID]], products[], 4, FALSE)</f>
        <v>8</v>
      </c>
      <c r="I1902" t="str">
        <f>VLOOKUP(order_details[[#This Row],[OrderID]], orders[[OrderID]:[ShipCountry]], 14, FALSE)</f>
        <v>USA</v>
      </c>
      <c r="J1902" s="1">
        <f>_xlfn.XLOOKUP(order_details[[#This Row],[OrderID]], orders[OrderID], orders[Month])</f>
        <v>4</v>
      </c>
    </row>
    <row r="1903" spans="1:10" x14ac:dyDescent="0.35">
      <c r="A1903">
        <v>10985</v>
      </c>
      <c r="B1903">
        <v>16</v>
      </c>
      <c r="C1903">
        <v>17.45</v>
      </c>
      <c r="D1903">
        <v>36</v>
      </c>
      <c r="E1903">
        <v>0.1</v>
      </c>
      <c r="F1903">
        <v>565.38</v>
      </c>
      <c r="G1903" t="str">
        <f>VLOOKUP(VLOOKUP(order_details[[#This Row],[ProductID]], products[], 4, FALSE), categories[], 2, FALSE)</f>
        <v>Confections</v>
      </c>
      <c r="H1903">
        <f>VLOOKUP(order_details[[#This Row],[ProductID]], products[], 4, FALSE)</f>
        <v>3</v>
      </c>
      <c r="I1903" t="str">
        <f>VLOOKUP(order_details[[#This Row],[OrderID]], orders[[OrderID]:[ShipCountry]], 14, FALSE)</f>
        <v>Ireland</v>
      </c>
      <c r="J1903" s="1">
        <f>_xlfn.XLOOKUP(order_details[[#This Row],[OrderID]], orders[OrderID], orders[Month])</f>
        <v>4</v>
      </c>
    </row>
    <row r="1904" spans="1:10" x14ac:dyDescent="0.35">
      <c r="A1904">
        <v>10985</v>
      </c>
      <c r="B1904">
        <v>18</v>
      </c>
      <c r="C1904">
        <v>62.5</v>
      </c>
      <c r="D1904">
        <v>8</v>
      </c>
      <c r="E1904">
        <v>0.1</v>
      </c>
      <c r="F1904">
        <v>450</v>
      </c>
      <c r="G1904" t="str">
        <f>VLOOKUP(VLOOKUP(order_details[[#This Row],[ProductID]], products[], 4, FALSE), categories[], 2, FALSE)</f>
        <v>Seafood</v>
      </c>
      <c r="H1904">
        <f>VLOOKUP(order_details[[#This Row],[ProductID]], products[], 4, FALSE)</f>
        <v>8</v>
      </c>
      <c r="I1904" t="str">
        <f>VLOOKUP(order_details[[#This Row],[OrderID]], orders[[OrderID]:[ShipCountry]], 14, FALSE)</f>
        <v>Ireland</v>
      </c>
      <c r="J1904" s="1">
        <f>_xlfn.XLOOKUP(order_details[[#This Row],[OrderID]], orders[OrderID], orders[Month])</f>
        <v>4</v>
      </c>
    </row>
    <row r="1905" spans="1:10" x14ac:dyDescent="0.35">
      <c r="A1905">
        <v>10985</v>
      </c>
      <c r="B1905">
        <v>32</v>
      </c>
      <c r="C1905">
        <v>32</v>
      </c>
      <c r="D1905">
        <v>35</v>
      </c>
      <c r="E1905">
        <v>0.1</v>
      </c>
      <c r="F1905">
        <v>1008</v>
      </c>
      <c r="G1905" t="str">
        <f>VLOOKUP(VLOOKUP(order_details[[#This Row],[ProductID]], products[], 4, FALSE), categories[], 2, FALSE)</f>
        <v>Dairy Products</v>
      </c>
      <c r="H1905">
        <f>VLOOKUP(order_details[[#This Row],[ProductID]], products[], 4, FALSE)</f>
        <v>4</v>
      </c>
      <c r="I1905" t="str">
        <f>VLOOKUP(order_details[[#This Row],[OrderID]], orders[[OrderID]:[ShipCountry]], 14, FALSE)</f>
        <v>Ireland</v>
      </c>
      <c r="J1905" s="1">
        <f>_xlfn.XLOOKUP(order_details[[#This Row],[OrderID]], orders[OrderID], orders[Month])</f>
        <v>4</v>
      </c>
    </row>
    <row r="1906" spans="1:10" x14ac:dyDescent="0.35">
      <c r="A1906">
        <v>10986</v>
      </c>
      <c r="B1906">
        <v>11</v>
      </c>
      <c r="C1906">
        <v>21</v>
      </c>
      <c r="D1906">
        <v>30</v>
      </c>
      <c r="E1906">
        <v>0</v>
      </c>
      <c r="F1906">
        <v>630</v>
      </c>
      <c r="G1906" t="str">
        <f>VLOOKUP(VLOOKUP(order_details[[#This Row],[ProductID]], products[], 4, FALSE), categories[], 2, FALSE)</f>
        <v>Dairy Products</v>
      </c>
      <c r="H1906">
        <f>VLOOKUP(order_details[[#This Row],[ProductID]], products[], 4, FALSE)</f>
        <v>4</v>
      </c>
      <c r="I1906" t="str">
        <f>VLOOKUP(order_details[[#This Row],[OrderID]], orders[[OrderID]:[ShipCountry]], 14, FALSE)</f>
        <v>Argentina</v>
      </c>
      <c r="J1906" s="1">
        <f>_xlfn.XLOOKUP(order_details[[#This Row],[OrderID]], orders[OrderID], orders[Month])</f>
        <v>4</v>
      </c>
    </row>
    <row r="1907" spans="1:10" x14ac:dyDescent="0.35">
      <c r="A1907">
        <v>10986</v>
      </c>
      <c r="B1907">
        <v>20</v>
      </c>
      <c r="C1907">
        <v>81</v>
      </c>
      <c r="D1907">
        <v>15</v>
      </c>
      <c r="E1907">
        <v>0</v>
      </c>
      <c r="F1907">
        <v>1215</v>
      </c>
      <c r="G1907" t="str">
        <f>VLOOKUP(VLOOKUP(order_details[[#This Row],[ProductID]], products[], 4, FALSE), categories[], 2, FALSE)</f>
        <v>Confections</v>
      </c>
      <c r="H1907">
        <f>VLOOKUP(order_details[[#This Row],[ProductID]], products[], 4, FALSE)</f>
        <v>3</v>
      </c>
      <c r="I1907" t="str">
        <f>VLOOKUP(order_details[[#This Row],[OrderID]], orders[[OrderID]:[ShipCountry]], 14, FALSE)</f>
        <v>Argentina</v>
      </c>
      <c r="J1907" s="1">
        <f>_xlfn.XLOOKUP(order_details[[#This Row],[OrderID]], orders[OrderID], orders[Month])</f>
        <v>4</v>
      </c>
    </row>
    <row r="1908" spans="1:10" x14ac:dyDescent="0.35">
      <c r="A1908">
        <v>10986</v>
      </c>
      <c r="B1908">
        <v>76</v>
      </c>
      <c r="C1908">
        <v>18</v>
      </c>
      <c r="D1908">
        <v>10</v>
      </c>
      <c r="E1908">
        <v>0</v>
      </c>
      <c r="F1908">
        <v>180</v>
      </c>
      <c r="G1908" t="str">
        <f>VLOOKUP(VLOOKUP(order_details[[#This Row],[ProductID]], products[], 4, FALSE), categories[], 2, FALSE)</f>
        <v>Beverages</v>
      </c>
      <c r="H1908">
        <f>VLOOKUP(order_details[[#This Row],[ProductID]], products[], 4, FALSE)</f>
        <v>1</v>
      </c>
      <c r="I1908" t="str">
        <f>VLOOKUP(order_details[[#This Row],[OrderID]], orders[[OrderID]:[ShipCountry]], 14, FALSE)</f>
        <v>Argentina</v>
      </c>
      <c r="J1908" s="1">
        <f>_xlfn.XLOOKUP(order_details[[#This Row],[OrderID]], orders[OrderID], orders[Month])</f>
        <v>4</v>
      </c>
    </row>
    <row r="1909" spans="1:10" x14ac:dyDescent="0.35">
      <c r="A1909">
        <v>10986</v>
      </c>
      <c r="B1909">
        <v>77</v>
      </c>
      <c r="C1909">
        <v>13</v>
      </c>
      <c r="D1909">
        <v>15</v>
      </c>
      <c r="E1909">
        <v>0</v>
      </c>
      <c r="F1909">
        <v>195</v>
      </c>
      <c r="G1909" t="str">
        <f>VLOOKUP(VLOOKUP(order_details[[#This Row],[ProductID]], products[], 4, FALSE), categories[], 2, FALSE)</f>
        <v>Condiments</v>
      </c>
      <c r="H1909">
        <f>VLOOKUP(order_details[[#This Row],[ProductID]], products[], 4, FALSE)</f>
        <v>2</v>
      </c>
      <c r="I1909" t="str">
        <f>VLOOKUP(order_details[[#This Row],[OrderID]], orders[[OrderID]:[ShipCountry]], 14, FALSE)</f>
        <v>Argentina</v>
      </c>
      <c r="J1909" s="1">
        <f>_xlfn.XLOOKUP(order_details[[#This Row],[OrderID]], orders[OrderID], orders[Month])</f>
        <v>4</v>
      </c>
    </row>
    <row r="1910" spans="1:10" x14ac:dyDescent="0.35">
      <c r="A1910">
        <v>10987</v>
      </c>
      <c r="B1910">
        <v>7</v>
      </c>
      <c r="C1910">
        <v>30</v>
      </c>
      <c r="D1910">
        <v>60</v>
      </c>
      <c r="E1910">
        <v>0</v>
      </c>
      <c r="F1910">
        <v>1800</v>
      </c>
      <c r="G1910" t="str">
        <f>VLOOKUP(VLOOKUP(order_details[[#This Row],[ProductID]], products[], 4, FALSE), categories[], 2, FALSE)</f>
        <v>Produce</v>
      </c>
      <c r="H1910">
        <f>VLOOKUP(order_details[[#This Row],[ProductID]], products[], 4, FALSE)</f>
        <v>7</v>
      </c>
      <c r="I1910" t="str">
        <f>VLOOKUP(order_details[[#This Row],[OrderID]], orders[[OrderID]:[ShipCountry]], 14, FALSE)</f>
        <v>UK</v>
      </c>
      <c r="J1910" s="1">
        <f>_xlfn.XLOOKUP(order_details[[#This Row],[OrderID]], orders[OrderID], orders[Month])</f>
        <v>4</v>
      </c>
    </row>
    <row r="1911" spans="1:10" x14ac:dyDescent="0.35">
      <c r="A1911">
        <v>10987</v>
      </c>
      <c r="B1911">
        <v>43</v>
      </c>
      <c r="C1911">
        <v>46</v>
      </c>
      <c r="D1911">
        <v>6</v>
      </c>
      <c r="E1911">
        <v>0</v>
      </c>
      <c r="F1911">
        <v>276</v>
      </c>
      <c r="G1911" t="str">
        <f>VLOOKUP(VLOOKUP(order_details[[#This Row],[ProductID]], products[], 4, FALSE), categories[], 2, FALSE)</f>
        <v>Beverages</v>
      </c>
      <c r="H1911">
        <f>VLOOKUP(order_details[[#This Row],[ProductID]], products[], 4, FALSE)</f>
        <v>1</v>
      </c>
      <c r="I1911" t="str">
        <f>VLOOKUP(order_details[[#This Row],[OrderID]], orders[[OrderID]:[ShipCountry]], 14, FALSE)</f>
        <v>UK</v>
      </c>
      <c r="J1911" s="1">
        <f>_xlfn.XLOOKUP(order_details[[#This Row],[OrderID]], orders[OrderID], orders[Month])</f>
        <v>4</v>
      </c>
    </row>
    <row r="1912" spans="1:10" x14ac:dyDescent="0.35">
      <c r="A1912">
        <v>10987</v>
      </c>
      <c r="B1912">
        <v>72</v>
      </c>
      <c r="C1912">
        <v>34.799999999999997</v>
      </c>
      <c r="D1912">
        <v>20</v>
      </c>
      <c r="E1912">
        <v>0</v>
      </c>
      <c r="F1912">
        <v>696</v>
      </c>
      <c r="G1912" t="str">
        <f>VLOOKUP(VLOOKUP(order_details[[#This Row],[ProductID]], products[], 4, FALSE), categories[], 2, FALSE)</f>
        <v>Dairy Products</v>
      </c>
      <c r="H1912">
        <f>VLOOKUP(order_details[[#This Row],[ProductID]], products[], 4, FALSE)</f>
        <v>4</v>
      </c>
      <c r="I1912" t="str">
        <f>VLOOKUP(order_details[[#This Row],[OrderID]], orders[[OrderID]:[ShipCountry]], 14, FALSE)</f>
        <v>UK</v>
      </c>
      <c r="J1912" s="1">
        <f>_xlfn.XLOOKUP(order_details[[#This Row],[OrderID]], orders[OrderID], orders[Month])</f>
        <v>4</v>
      </c>
    </row>
    <row r="1913" spans="1:10" x14ac:dyDescent="0.35">
      <c r="A1913">
        <v>10988</v>
      </c>
      <c r="B1913">
        <v>7</v>
      </c>
      <c r="C1913">
        <v>30</v>
      </c>
      <c r="D1913">
        <v>60</v>
      </c>
      <c r="E1913">
        <v>0</v>
      </c>
      <c r="F1913">
        <v>1800</v>
      </c>
      <c r="G1913" t="str">
        <f>VLOOKUP(VLOOKUP(order_details[[#This Row],[ProductID]], products[], 4, FALSE), categories[], 2, FALSE)</f>
        <v>Produce</v>
      </c>
      <c r="H1913">
        <f>VLOOKUP(order_details[[#This Row],[ProductID]], products[], 4, FALSE)</f>
        <v>7</v>
      </c>
      <c r="I1913" t="str">
        <f>VLOOKUP(order_details[[#This Row],[OrderID]], orders[[OrderID]:[ShipCountry]], 14, FALSE)</f>
        <v>USA</v>
      </c>
      <c r="J1913" s="1">
        <f>_xlfn.XLOOKUP(order_details[[#This Row],[OrderID]], orders[OrderID], orders[Month])</f>
        <v>4</v>
      </c>
    </row>
    <row r="1914" spans="1:10" x14ac:dyDescent="0.35">
      <c r="A1914">
        <v>10988</v>
      </c>
      <c r="B1914">
        <v>62</v>
      </c>
      <c r="C1914">
        <v>49.3</v>
      </c>
      <c r="D1914">
        <v>40</v>
      </c>
      <c r="E1914">
        <v>0.1</v>
      </c>
      <c r="F1914">
        <v>1774.8</v>
      </c>
      <c r="G1914" t="str">
        <f>VLOOKUP(VLOOKUP(order_details[[#This Row],[ProductID]], products[], 4, FALSE), categories[], 2, FALSE)</f>
        <v>Confections</v>
      </c>
      <c r="H1914">
        <f>VLOOKUP(order_details[[#This Row],[ProductID]], products[], 4, FALSE)</f>
        <v>3</v>
      </c>
      <c r="I1914" t="str">
        <f>VLOOKUP(order_details[[#This Row],[OrderID]], orders[[OrderID]:[ShipCountry]], 14, FALSE)</f>
        <v>USA</v>
      </c>
      <c r="J1914" s="1">
        <f>_xlfn.XLOOKUP(order_details[[#This Row],[OrderID]], orders[OrderID], orders[Month])</f>
        <v>4</v>
      </c>
    </row>
    <row r="1915" spans="1:10" x14ac:dyDescent="0.35">
      <c r="A1915">
        <v>10989</v>
      </c>
      <c r="B1915">
        <v>6</v>
      </c>
      <c r="C1915">
        <v>25</v>
      </c>
      <c r="D1915">
        <v>40</v>
      </c>
      <c r="E1915">
        <v>0</v>
      </c>
      <c r="F1915">
        <v>1000</v>
      </c>
      <c r="G1915" t="str">
        <f>VLOOKUP(VLOOKUP(order_details[[#This Row],[ProductID]], products[], 4, FALSE), categories[], 2, FALSE)</f>
        <v>Condiments</v>
      </c>
      <c r="H1915">
        <f>VLOOKUP(order_details[[#This Row],[ProductID]], products[], 4, FALSE)</f>
        <v>2</v>
      </c>
      <c r="I1915" t="str">
        <f>VLOOKUP(order_details[[#This Row],[OrderID]], orders[[OrderID]:[ShipCountry]], 14, FALSE)</f>
        <v>Brazil</v>
      </c>
      <c r="J1915" s="1">
        <f>_xlfn.XLOOKUP(order_details[[#This Row],[OrderID]], orders[OrderID], orders[Month])</f>
        <v>4</v>
      </c>
    </row>
    <row r="1916" spans="1:10" x14ac:dyDescent="0.35">
      <c r="A1916">
        <v>10989</v>
      </c>
      <c r="B1916">
        <v>11</v>
      </c>
      <c r="C1916">
        <v>21</v>
      </c>
      <c r="D1916">
        <v>15</v>
      </c>
      <c r="E1916">
        <v>0</v>
      </c>
      <c r="F1916">
        <v>315</v>
      </c>
      <c r="G1916" t="str">
        <f>VLOOKUP(VLOOKUP(order_details[[#This Row],[ProductID]], products[], 4, FALSE), categories[], 2, FALSE)</f>
        <v>Dairy Products</v>
      </c>
      <c r="H1916">
        <f>VLOOKUP(order_details[[#This Row],[ProductID]], products[], 4, FALSE)</f>
        <v>4</v>
      </c>
      <c r="I1916" t="str">
        <f>VLOOKUP(order_details[[#This Row],[OrderID]], orders[[OrderID]:[ShipCountry]], 14, FALSE)</f>
        <v>Brazil</v>
      </c>
      <c r="J1916" s="1">
        <f>_xlfn.XLOOKUP(order_details[[#This Row],[OrderID]], orders[OrderID], orders[Month])</f>
        <v>4</v>
      </c>
    </row>
    <row r="1917" spans="1:10" x14ac:dyDescent="0.35">
      <c r="A1917">
        <v>10989</v>
      </c>
      <c r="B1917">
        <v>41</v>
      </c>
      <c r="C1917">
        <v>9.65</v>
      </c>
      <c r="D1917">
        <v>4</v>
      </c>
      <c r="E1917">
        <v>0</v>
      </c>
      <c r="F1917">
        <v>38.6</v>
      </c>
      <c r="G1917" t="str">
        <f>VLOOKUP(VLOOKUP(order_details[[#This Row],[ProductID]], products[], 4, FALSE), categories[], 2, FALSE)</f>
        <v>Seafood</v>
      </c>
      <c r="H1917">
        <f>VLOOKUP(order_details[[#This Row],[ProductID]], products[], 4, FALSE)</f>
        <v>8</v>
      </c>
      <c r="I1917" t="str">
        <f>VLOOKUP(order_details[[#This Row],[OrderID]], orders[[OrderID]:[ShipCountry]], 14, FALSE)</f>
        <v>Brazil</v>
      </c>
      <c r="J1917" s="1">
        <f>_xlfn.XLOOKUP(order_details[[#This Row],[OrderID]], orders[OrderID], orders[Month])</f>
        <v>4</v>
      </c>
    </row>
    <row r="1918" spans="1:10" x14ac:dyDescent="0.35">
      <c r="A1918">
        <v>10990</v>
      </c>
      <c r="B1918">
        <v>21</v>
      </c>
      <c r="C1918">
        <v>10</v>
      </c>
      <c r="D1918">
        <v>65</v>
      </c>
      <c r="E1918">
        <v>0</v>
      </c>
      <c r="F1918">
        <v>650</v>
      </c>
      <c r="G1918" t="str">
        <f>VLOOKUP(VLOOKUP(order_details[[#This Row],[ProductID]], products[], 4, FALSE), categories[], 2, FALSE)</f>
        <v>Confections</v>
      </c>
      <c r="H1918">
        <f>VLOOKUP(order_details[[#This Row],[ProductID]], products[], 4, FALSE)</f>
        <v>3</v>
      </c>
      <c r="I1918" t="str">
        <f>VLOOKUP(order_details[[#This Row],[OrderID]], orders[[OrderID]:[ShipCountry]], 14, FALSE)</f>
        <v>Austria</v>
      </c>
      <c r="J1918" s="1">
        <f>_xlfn.XLOOKUP(order_details[[#This Row],[OrderID]], orders[OrderID], orders[Month])</f>
        <v>5</v>
      </c>
    </row>
    <row r="1919" spans="1:10" x14ac:dyDescent="0.35">
      <c r="A1919">
        <v>10990</v>
      </c>
      <c r="B1919">
        <v>34</v>
      </c>
      <c r="C1919">
        <v>14</v>
      </c>
      <c r="D1919">
        <v>60</v>
      </c>
      <c r="E1919">
        <v>0.15</v>
      </c>
      <c r="F1919">
        <v>714</v>
      </c>
      <c r="G1919" t="str">
        <f>VLOOKUP(VLOOKUP(order_details[[#This Row],[ProductID]], products[], 4, FALSE), categories[], 2, FALSE)</f>
        <v>Beverages</v>
      </c>
      <c r="H1919">
        <f>VLOOKUP(order_details[[#This Row],[ProductID]], products[], 4, FALSE)</f>
        <v>1</v>
      </c>
      <c r="I1919" t="str">
        <f>VLOOKUP(order_details[[#This Row],[OrderID]], orders[[OrderID]:[ShipCountry]], 14, FALSE)</f>
        <v>Austria</v>
      </c>
      <c r="J1919" s="1">
        <f>_xlfn.XLOOKUP(order_details[[#This Row],[OrderID]], orders[OrderID], orders[Month])</f>
        <v>5</v>
      </c>
    </row>
    <row r="1920" spans="1:10" x14ac:dyDescent="0.35">
      <c r="A1920">
        <v>10990</v>
      </c>
      <c r="B1920">
        <v>55</v>
      </c>
      <c r="C1920">
        <v>24</v>
      </c>
      <c r="D1920">
        <v>65</v>
      </c>
      <c r="E1920">
        <v>0.15</v>
      </c>
      <c r="F1920">
        <v>1326</v>
      </c>
      <c r="G1920" t="str">
        <f>VLOOKUP(VLOOKUP(order_details[[#This Row],[ProductID]], products[], 4, FALSE), categories[], 2, FALSE)</f>
        <v>Meat/Poultry</v>
      </c>
      <c r="H1920">
        <f>VLOOKUP(order_details[[#This Row],[ProductID]], products[], 4, FALSE)</f>
        <v>6</v>
      </c>
      <c r="I1920" t="str">
        <f>VLOOKUP(order_details[[#This Row],[OrderID]], orders[[OrderID]:[ShipCountry]], 14, FALSE)</f>
        <v>Austria</v>
      </c>
      <c r="J1920" s="1">
        <f>_xlfn.XLOOKUP(order_details[[#This Row],[OrderID]], orders[OrderID], orders[Month])</f>
        <v>5</v>
      </c>
    </row>
    <row r="1921" spans="1:10" x14ac:dyDescent="0.35">
      <c r="A1921">
        <v>10990</v>
      </c>
      <c r="B1921">
        <v>61</v>
      </c>
      <c r="C1921">
        <v>28.5</v>
      </c>
      <c r="D1921">
        <v>66</v>
      </c>
      <c r="E1921">
        <v>0.15</v>
      </c>
      <c r="F1921">
        <v>1598.85</v>
      </c>
      <c r="G1921" t="str">
        <f>VLOOKUP(VLOOKUP(order_details[[#This Row],[ProductID]], products[], 4, FALSE), categories[], 2, FALSE)</f>
        <v>Condiments</v>
      </c>
      <c r="H1921">
        <f>VLOOKUP(order_details[[#This Row],[ProductID]], products[], 4, FALSE)</f>
        <v>2</v>
      </c>
      <c r="I1921" t="str">
        <f>VLOOKUP(order_details[[#This Row],[OrderID]], orders[[OrderID]:[ShipCountry]], 14, FALSE)</f>
        <v>Austria</v>
      </c>
      <c r="J1921" s="1">
        <f>_xlfn.XLOOKUP(order_details[[#This Row],[OrderID]], orders[OrderID], orders[Month])</f>
        <v>5</v>
      </c>
    </row>
    <row r="1922" spans="1:10" x14ac:dyDescent="0.35">
      <c r="A1922">
        <v>10991</v>
      </c>
      <c r="B1922">
        <v>2</v>
      </c>
      <c r="C1922">
        <v>19</v>
      </c>
      <c r="D1922">
        <v>50</v>
      </c>
      <c r="E1922">
        <v>0.2</v>
      </c>
      <c r="F1922">
        <v>760</v>
      </c>
      <c r="G1922" t="str">
        <f>VLOOKUP(VLOOKUP(order_details[[#This Row],[ProductID]], products[], 4, FALSE), categories[], 2, FALSE)</f>
        <v>Beverages</v>
      </c>
      <c r="H1922">
        <f>VLOOKUP(order_details[[#This Row],[ProductID]], products[], 4, FALSE)</f>
        <v>1</v>
      </c>
      <c r="I1922" t="str">
        <f>VLOOKUP(order_details[[#This Row],[OrderID]], orders[[OrderID]:[ShipCountry]], 14, FALSE)</f>
        <v>Germany</v>
      </c>
      <c r="J1922" s="1">
        <f>_xlfn.XLOOKUP(order_details[[#This Row],[OrderID]], orders[OrderID], orders[Month])</f>
        <v>5</v>
      </c>
    </row>
    <row r="1923" spans="1:10" x14ac:dyDescent="0.35">
      <c r="A1923">
        <v>10991</v>
      </c>
      <c r="B1923">
        <v>70</v>
      </c>
      <c r="C1923">
        <v>15</v>
      </c>
      <c r="D1923">
        <v>20</v>
      </c>
      <c r="E1923">
        <v>0.2</v>
      </c>
      <c r="F1923">
        <v>240</v>
      </c>
      <c r="G1923" t="str">
        <f>VLOOKUP(VLOOKUP(order_details[[#This Row],[ProductID]], products[], 4, FALSE), categories[], 2, FALSE)</f>
        <v>Beverages</v>
      </c>
      <c r="H1923">
        <f>VLOOKUP(order_details[[#This Row],[ProductID]], products[], 4, FALSE)</f>
        <v>1</v>
      </c>
      <c r="I1923" t="str">
        <f>VLOOKUP(order_details[[#This Row],[OrderID]], orders[[OrderID]:[ShipCountry]], 14, FALSE)</f>
        <v>Germany</v>
      </c>
      <c r="J1923" s="1">
        <f>_xlfn.XLOOKUP(order_details[[#This Row],[OrderID]], orders[OrderID], orders[Month])</f>
        <v>5</v>
      </c>
    </row>
    <row r="1924" spans="1:10" x14ac:dyDescent="0.35">
      <c r="A1924">
        <v>10991</v>
      </c>
      <c r="B1924">
        <v>76</v>
      </c>
      <c r="C1924">
        <v>18</v>
      </c>
      <c r="D1924">
        <v>90</v>
      </c>
      <c r="E1924">
        <v>0.2</v>
      </c>
      <c r="F1924">
        <v>1296</v>
      </c>
      <c r="G1924" t="str">
        <f>VLOOKUP(VLOOKUP(order_details[[#This Row],[ProductID]], products[], 4, FALSE), categories[], 2, FALSE)</f>
        <v>Beverages</v>
      </c>
      <c r="H1924">
        <f>VLOOKUP(order_details[[#This Row],[ProductID]], products[], 4, FALSE)</f>
        <v>1</v>
      </c>
      <c r="I1924" t="str">
        <f>VLOOKUP(order_details[[#This Row],[OrderID]], orders[[OrderID]:[ShipCountry]], 14, FALSE)</f>
        <v>Germany</v>
      </c>
      <c r="J1924" s="1">
        <f>_xlfn.XLOOKUP(order_details[[#This Row],[OrderID]], orders[OrderID], orders[Month])</f>
        <v>5</v>
      </c>
    </row>
    <row r="1925" spans="1:10" x14ac:dyDescent="0.35">
      <c r="A1925">
        <v>10992</v>
      </c>
      <c r="B1925">
        <v>72</v>
      </c>
      <c r="C1925">
        <v>34.799999999999997</v>
      </c>
      <c r="D1925">
        <v>2</v>
      </c>
      <c r="E1925">
        <v>0</v>
      </c>
      <c r="F1925">
        <v>69.599999999999994</v>
      </c>
      <c r="G1925" t="str">
        <f>VLOOKUP(VLOOKUP(order_details[[#This Row],[ProductID]], products[], 4, FALSE), categories[], 2, FALSE)</f>
        <v>Dairy Products</v>
      </c>
      <c r="H1925">
        <f>VLOOKUP(order_details[[#This Row],[ProductID]], products[], 4, FALSE)</f>
        <v>4</v>
      </c>
      <c r="I1925" t="str">
        <f>VLOOKUP(order_details[[#This Row],[OrderID]], orders[[OrderID]:[ShipCountry]], 14, FALSE)</f>
        <v>USA</v>
      </c>
      <c r="J1925" s="1">
        <f>_xlfn.XLOOKUP(order_details[[#This Row],[OrderID]], orders[OrderID], orders[Month])</f>
        <v>5</v>
      </c>
    </row>
    <row r="1926" spans="1:10" x14ac:dyDescent="0.35">
      <c r="A1926">
        <v>10993</v>
      </c>
      <c r="B1926">
        <v>29</v>
      </c>
      <c r="C1926">
        <v>123.79</v>
      </c>
      <c r="D1926">
        <v>50</v>
      </c>
      <c r="E1926">
        <v>0.25</v>
      </c>
      <c r="F1926">
        <v>4642.125</v>
      </c>
      <c r="G1926" t="str">
        <f>VLOOKUP(VLOOKUP(order_details[[#This Row],[ProductID]], products[], 4, FALSE), categories[], 2, FALSE)</f>
        <v>Meat/Poultry</v>
      </c>
      <c r="H1926">
        <f>VLOOKUP(order_details[[#This Row],[ProductID]], products[], 4, FALSE)</f>
        <v>6</v>
      </c>
      <c r="I1926" t="str">
        <f>VLOOKUP(order_details[[#This Row],[OrderID]], orders[[OrderID]:[ShipCountry]], 14, FALSE)</f>
        <v>Sweden</v>
      </c>
      <c r="J1926" s="1">
        <f>_xlfn.XLOOKUP(order_details[[#This Row],[OrderID]], orders[OrderID], orders[Month])</f>
        <v>5</v>
      </c>
    </row>
    <row r="1927" spans="1:10" x14ac:dyDescent="0.35">
      <c r="A1927">
        <v>10993</v>
      </c>
      <c r="B1927">
        <v>41</v>
      </c>
      <c r="C1927">
        <v>9.65</v>
      </c>
      <c r="D1927">
        <v>35</v>
      </c>
      <c r="E1927">
        <v>0.25</v>
      </c>
      <c r="F1927">
        <v>253.3125</v>
      </c>
      <c r="G1927" t="str">
        <f>VLOOKUP(VLOOKUP(order_details[[#This Row],[ProductID]], products[], 4, FALSE), categories[], 2, FALSE)</f>
        <v>Seafood</v>
      </c>
      <c r="H1927">
        <f>VLOOKUP(order_details[[#This Row],[ProductID]], products[], 4, FALSE)</f>
        <v>8</v>
      </c>
      <c r="I1927" t="str">
        <f>VLOOKUP(order_details[[#This Row],[OrderID]], orders[[OrderID]:[ShipCountry]], 14, FALSE)</f>
        <v>Sweden</v>
      </c>
      <c r="J1927" s="1">
        <f>_xlfn.XLOOKUP(order_details[[#This Row],[OrderID]], orders[OrderID], orders[Month])</f>
        <v>5</v>
      </c>
    </row>
    <row r="1928" spans="1:10" x14ac:dyDescent="0.35">
      <c r="A1928">
        <v>10994</v>
      </c>
      <c r="B1928">
        <v>59</v>
      </c>
      <c r="C1928">
        <v>55</v>
      </c>
      <c r="D1928">
        <v>18</v>
      </c>
      <c r="E1928">
        <v>0.05</v>
      </c>
      <c r="F1928">
        <v>940.5</v>
      </c>
      <c r="G1928" t="str">
        <f>VLOOKUP(VLOOKUP(order_details[[#This Row],[ProductID]], products[], 4, FALSE), categories[], 2, FALSE)</f>
        <v>Dairy Products</v>
      </c>
      <c r="H1928">
        <f>VLOOKUP(order_details[[#This Row],[ProductID]], products[], 4, FALSE)</f>
        <v>4</v>
      </c>
      <c r="I1928" t="str">
        <f>VLOOKUP(order_details[[#This Row],[OrderID]], orders[[OrderID]:[ShipCountry]], 14, FALSE)</f>
        <v>Denmark</v>
      </c>
      <c r="J1928" s="1">
        <f>_xlfn.XLOOKUP(order_details[[#This Row],[OrderID]], orders[OrderID], orders[Month])</f>
        <v>5</v>
      </c>
    </row>
    <row r="1929" spans="1:10" x14ac:dyDescent="0.35">
      <c r="A1929">
        <v>10995</v>
      </c>
      <c r="B1929">
        <v>51</v>
      </c>
      <c r="C1929">
        <v>53</v>
      </c>
      <c r="D1929">
        <v>20</v>
      </c>
      <c r="E1929">
        <v>0</v>
      </c>
      <c r="F1929">
        <v>1060</v>
      </c>
      <c r="G1929" t="str">
        <f>VLOOKUP(VLOOKUP(order_details[[#This Row],[ProductID]], products[], 4, FALSE), categories[], 2, FALSE)</f>
        <v>Produce</v>
      </c>
      <c r="H1929">
        <f>VLOOKUP(order_details[[#This Row],[ProductID]], products[], 4, FALSE)</f>
        <v>7</v>
      </c>
      <c r="I1929" t="str">
        <f>VLOOKUP(order_details[[#This Row],[OrderID]], orders[[OrderID]:[ShipCountry]], 14, FALSE)</f>
        <v>Mexico</v>
      </c>
      <c r="J1929" s="1">
        <f>_xlfn.XLOOKUP(order_details[[#This Row],[OrderID]], orders[OrderID], orders[Month])</f>
        <v>5</v>
      </c>
    </row>
    <row r="1930" spans="1:10" x14ac:dyDescent="0.35">
      <c r="A1930">
        <v>10995</v>
      </c>
      <c r="B1930">
        <v>60</v>
      </c>
      <c r="C1930">
        <v>34</v>
      </c>
      <c r="D1930">
        <v>4</v>
      </c>
      <c r="E1930">
        <v>0</v>
      </c>
      <c r="F1930">
        <v>136</v>
      </c>
      <c r="G1930" t="str">
        <f>VLOOKUP(VLOOKUP(order_details[[#This Row],[ProductID]], products[], 4, FALSE), categories[], 2, FALSE)</f>
        <v>Dairy Products</v>
      </c>
      <c r="H1930">
        <f>VLOOKUP(order_details[[#This Row],[ProductID]], products[], 4, FALSE)</f>
        <v>4</v>
      </c>
      <c r="I1930" t="str">
        <f>VLOOKUP(order_details[[#This Row],[OrderID]], orders[[OrderID]:[ShipCountry]], 14, FALSE)</f>
        <v>Mexico</v>
      </c>
      <c r="J1930" s="1">
        <f>_xlfn.XLOOKUP(order_details[[#This Row],[OrderID]], orders[OrderID], orders[Month])</f>
        <v>5</v>
      </c>
    </row>
    <row r="1931" spans="1:10" x14ac:dyDescent="0.35">
      <c r="A1931">
        <v>10996</v>
      </c>
      <c r="B1931">
        <v>42</v>
      </c>
      <c r="C1931">
        <v>14</v>
      </c>
      <c r="D1931">
        <v>40</v>
      </c>
      <c r="E1931">
        <v>0</v>
      </c>
      <c r="F1931">
        <v>560</v>
      </c>
      <c r="G1931" t="str">
        <f>VLOOKUP(VLOOKUP(order_details[[#This Row],[ProductID]], products[], 4, FALSE), categories[], 2, FALSE)</f>
        <v>Grains/Cereals</v>
      </c>
      <c r="H1931">
        <f>VLOOKUP(order_details[[#This Row],[ProductID]], products[], 4, FALSE)</f>
        <v>5</v>
      </c>
      <c r="I1931" t="str">
        <f>VLOOKUP(order_details[[#This Row],[OrderID]], orders[[OrderID]:[ShipCountry]], 14, FALSE)</f>
        <v>Germany</v>
      </c>
      <c r="J1931" s="1">
        <f>_xlfn.XLOOKUP(order_details[[#This Row],[OrderID]], orders[OrderID], orders[Month])</f>
        <v>5</v>
      </c>
    </row>
    <row r="1932" spans="1:10" x14ac:dyDescent="0.35">
      <c r="A1932">
        <v>10997</v>
      </c>
      <c r="B1932">
        <v>32</v>
      </c>
      <c r="C1932">
        <v>32</v>
      </c>
      <c r="D1932">
        <v>50</v>
      </c>
      <c r="E1932">
        <v>0</v>
      </c>
      <c r="F1932">
        <v>1600</v>
      </c>
      <c r="G1932" t="str">
        <f>VLOOKUP(VLOOKUP(order_details[[#This Row],[ProductID]], products[], 4, FALSE), categories[], 2, FALSE)</f>
        <v>Dairy Products</v>
      </c>
      <c r="H1932">
        <f>VLOOKUP(order_details[[#This Row],[ProductID]], products[], 4, FALSE)</f>
        <v>4</v>
      </c>
      <c r="I1932" t="str">
        <f>VLOOKUP(order_details[[#This Row],[OrderID]], orders[[OrderID]:[ShipCountry]], 14, FALSE)</f>
        <v>Venezuela</v>
      </c>
      <c r="J1932" s="1">
        <f>_xlfn.XLOOKUP(order_details[[#This Row],[OrderID]], orders[OrderID], orders[Month])</f>
        <v>5</v>
      </c>
    </row>
    <row r="1933" spans="1:10" x14ac:dyDescent="0.35">
      <c r="A1933">
        <v>10997</v>
      </c>
      <c r="B1933">
        <v>46</v>
      </c>
      <c r="C1933">
        <v>12</v>
      </c>
      <c r="D1933">
        <v>20</v>
      </c>
      <c r="E1933">
        <v>0.25</v>
      </c>
      <c r="F1933">
        <v>180</v>
      </c>
      <c r="G1933" t="str">
        <f>VLOOKUP(VLOOKUP(order_details[[#This Row],[ProductID]], products[], 4, FALSE), categories[], 2, FALSE)</f>
        <v>Seafood</v>
      </c>
      <c r="H1933">
        <f>VLOOKUP(order_details[[#This Row],[ProductID]], products[], 4, FALSE)</f>
        <v>8</v>
      </c>
      <c r="I1933" t="str">
        <f>VLOOKUP(order_details[[#This Row],[OrderID]], orders[[OrderID]:[ShipCountry]], 14, FALSE)</f>
        <v>Venezuela</v>
      </c>
      <c r="J1933" s="1">
        <f>_xlfn.XLOOKUP(order_details[[#This Row],[OrderID]], orders[OrderID], orders[Month])</f>
        <v>5</v>
      </c>
    </row>
    <row r="1934" spans="1:10" x14ac:dyDescent="0.35">
      <c r="A1934">
        <v>10997</v>
      </c>
      <c r="B1934">
        <v>52</v>
      </c>
      <c r="C1934">
        <v>7</v>
      </c>
      <c r="D1934">
        <v>20</v>
      </c>
      <c r="E1934">
        <v>0.25</v>
      </c>
      <c r="F1934">
        <v>105</v>
      </c>
      <c r="G1934" t="str">
        <f>VLOOKUP(VLOOKUP(order_details[[#This Row],[ProductID]], products[], 4, FALSE), categories[], 2, FALSE)</f>
        <v>Grains/Cereals</v>
      </c>
      <c r="H1934">
        <f>VLOOKUP(order_details[[#This Row],[ProductID]], products[], 4, FALSE)</f>
        <v>5</v>
      </c>
      <c r="I1934" t="str">
        <f>VLOOKUP(order_details[[#This Row],[OrderID]], orders[[OrderID]:[ShipCountry]], 14, FALSE)</f>
        <v>Venezuela</v>
      </c>
      <c r="J1934" s="1">
        <f>_xlfn.XLOOKUP(order_details[[#This Row],[OrderID]], orders[OrderID], orders[Month])</f>
        <v>5</v>
      </c>
    </row>
    <row r="1935" spans="1:10" x14ac:dyDescent="0.35">
      <c r="A1935">
        <v>10998</v>
      </c>
      <c r="B1935">
        <v>24</v>
      </c>
      <c r="C1935">
        <v>4.5</v>
      </c>
      <c r="D1935">
        <v>12</v>
      </c>
      <c r="E1935">
        <v>0</v>
      </c>
      <c r="F1935">
        <v>54</v>
      </c>
      <c r="G1935" t="str">
        <f>VLOOKUP(VLOOKUP(order_details[[#This Row],[ProductID]], products[], 4, FALSE), categories[], 2, FALSE)</f>
        <v>Beverages</v>
      </c>
      <c r="H1935">
        <f>VLOOKUP(order_details[[#This Row],[ProductID]], products[], 4, FALSE)</f>
        <v>1</v>
      </c>
      <c r="I1935" t="str">
        <f>VLOOKUP(order_details[[#This Row],[OrderID]], orders[[OrderID]:[ShipCountry]], 14, FALSE)</f>
        <v>Poland</v>
      </c>
      <c r="J1935" s="1">
        <f>_xlfn.XLOOKUP(order_details[[#This Row],[OrderID]], orders[OrderID], orders[Month])</f>
        <v>5</v>
      </c>
    </row>
    <row r="1936" spans="1:10" x14ac:dyDescent="0.35">
      <c r="A1936">
        <v>10998</v>
      </c>
      <c r="B1936">
        <v>61</v>
      </c>
      <c r="C1936">
        <v>28.5</v>
      </c>
      <c r="D1936">
        <v>7</v>
      </c>
      <c r="E1936">
        <v>0</v>
      </c>
      <c r="F1936">
        <v>199.5</v>
      </c>
      <c r="G1936" t="str">
        <f>VLOOKUP(VLOOKUP(order_details[[#This Row],[ProductID]], products[], 4, FALSE), categories[], 2, FALSE)</f>
        <v>Condiments</v>
      </c>
      <c r="H1936">
        <f>VLOOKUP(order_details[[#This Row],[ProductID]], products[], 4, FALSE)</f>
        <v>2</v>
      </c>
      <c r="I1936" t="str">
        <f>VLOOKUP(order_details[[#This Row],[OrderID]], orders[[OrderID]:[ShipCountry]], 14, FALSE)</f>
        <v>Poland</v>
      </c>
      <c r="J1936" s="1">
        <f>_xlfn.XLOOKUP(order_details[[#This Row],[OrderID]], orders[OrderID], orders[Month])</f>
        <v>5</v>
      </c>
    </row>
    <row r="1937" spans="1:10" x14ac:dyDescent="0.35">
      <c r="A1937">
        <v>10998</v>
      </c>
      <c r="B1937">
        <v>74</v>
      </c>
      <c r="C1937">
        <v>10</v>
      </c>
      <c r="D1937">
        <v>20</v>
      </c>
      <c r="E1937">
        <v>0</v>
      </c>
      <c r="F1937">
        <v>200</v>
      </c>
      <c r="G1937" t="str">
        <f>VLOOKUP(VLOOKUP(order_details[[#This Row],[ProductID]], products[], 4, FALSE), categories[], 2, FALSE)</f>
        <v>Produce</v>
      </c>
      <c r="H1937">
        <f>VLOOKUP(order_details[[#This Row],[ProductID]], products[], 4, FALSE)</f>
        <v>7</v>
      </c>
      <c r="I1937" t="str">
        <f>VLOOKUP(order_details[[#This Row],[OrderID]], orders[[OrderID]:[ShipCountry]], 14, FALSE)</f>
        <v>Poland</v>
      </c>
      <c r="J1937" s="1">
        <f>_xlfn.XLOOKUP(order_details[[#This Row],[OrderID]], orders[OrderID], orders[Month])</f>
        <v>5</v>
      </c>
    </row>
    <row r="1938" spans="1:10" x14ac:dyDescent="0.35">
      <c r="A1938">
        <v>10998</v>
      </c>
      <c r="B1938">
        <v>75</v>
      </c>
      <c r="C1938">
        <v>7.75</v>
      </c>
      <c r="D1938">
        <v>30</v>
      </c>
      <c r="E1938">
        <v>0</v>
      </c>
      <c r="F1938">
        <v>232.5</v>
      </c>
      <c r="G1938" t="str">
        <f>VLOOKUP(VLOOKUP(order_details[[#This Row],[ProductID]], products[], 4, FALSE), categories[], 2, FALSE)</f>
        <v>Beverages</v>
      </c>
      <c r="H1938">
        <f>VLOOKUP(order_details[[#This Row],[ProductID]], products[], 4, FALSE)</f>
        <v>1</v>
      </c>
      <c r="I1938" t="str">
        <f>VLOOKUP(order_details[[#This Row],[OrderID]], orders[[OrderID]:[ShipCountry]], 14, FALSE)</f>
        <v>Poland</v>
      </c>
      <c r="J1938" s="1">
        <f>_xlfn.XLOOKUP(order_details[[#This Row],[OrderID]], orders[OrderID], orders[Month])</f>
        <v>5</v>
      </c>
    </row>
    <row r="1939" spans="1:10" x14ac:dyDescent="0.35">
      <c r="A1939">
        <v>10999</v>
      </c>
      <c r="B1939">
        <v>41</v>
      </c>
      <c r="C1939">
        <v>9.65</v>
      </c>
      <c r="D1939">
        <v>20</v>
      </c>
      <c r="E1939">
        <v>0.05</v>
      </c>
      <c r="F1939">
        <v>183.35</v>
      </c>
      <c r="G1939" t="str">
        <f>VLOOKUP(VLOOKUP(order_details[[#This Row],[ProductID]], products[], 4, FALSE), categories[], 2, FALSE)</f>
        <v>Seafood</v>
      </c>
      <c r="H1939">
        <f>VLOOKUP(order_details[[#This Row],[ProductID]], products[], 4, FALSE)</f>
        <v>8</v>
      </c>
      <c r="I1939" t="str">
        <f>VLOOKUP(order_details[[#This Row],[OrderID]], orders[[OrderID]:[ShipCountry]], 14, FALSE)</f>
        <v>Germany</v>
      </c>
      <c r="J1939" s="1">
        <f>_xlfn.XLOOKUP(order_details[[#This Row],[OrderID]], orders[OrderID], orders[Month])</f>
        <v>5</v>
      </c>
    </row>
    <row r="1940" spans="1:10" x14ac:dyDescent="0.35">
      <c r="A1940">
        <v>10999</v>
      </c>
      <c r="B1940">
        <v>51</v>
      </c>
      <c r="C1940">
        <v>53</v>
      </c>
      <c r="D1940">
        <v>15</v>
      </c>
      <c r="E1940">
        <v>0.05</v>
      </c>
      <c r="F1940">
        <v>755.25</v>
      </c>
      <c r="G1940" t="str">
        <f>VLOOKUP(VLOOKUP(order_details[[#This Row],[ProductID]], products[], 4, FALSE), categories[], 2, FALSE)</f>
        <v>Produce</v>
      </c>
      <c r="H1940">
        <f>VLOOKUP(order_details[[#This Row],[ProductID]], products[], 4, FALSE)</f>
        <v>7</v>
      </c>
      <c r="I1940" t="str">
        <f>VLOOKUP(order_details[[#This Row],[OrderID]], orders[[OrderID]:[ShipCountry]], 14, FALSE)</f>
        <v>Germany</v>
      </c>
      <c r="J1940" s="1">
        <f>_xlfn.XLOOKUP(order_details[[#This Row],[OrderID]], orders[OrderID], orders[Month])</f>
        <v>5</v>
      </c>
    </row>
    <row r="1941" spans="1:10" x14ac:dyDescent="0.35">
      <c r="A1941">
        <v>10999</v>
      </c>
      <c r="B1941">
        <v>77</v>
      </c>
      <c r="C1941">
        <v>13</v>
      </c>
      <c r="D1941">
        <v>21</v>
      </c>
      <c r="E1941">
        <v>0.05</v>
      </c>
      <c r="F1941">
        <v>259.34999999999997</v>
      </c>
      <c r="G1941" t="str">
        <f>VLOOKUP(VLOOKUP(order_details[[#This Row],[ProductID]], products[], 4, FALSE), categories[], 2, FALSE)</f>
        <v>Condiments</v>
      </c>
      <c r="H1941">
        <f>VLOOKUP(order_details[[#This Row],[ProductID]], products[], 4, FALSE)</f>
        <v>2</v>
      </c>
      <c r="I1941" t="str">
        <f>VLOOKUP(order_details[[#This Row],[OrderID]], orders[[OrderID]:[ShipCountry]], 14, FALSE)</f>
        <v>Germany</v>
      </c>
      <c r="J1941" s="1">
        <f>_xlfn.XLOOKUP(order_details[[#This Row],[OrderID]], orders[OrderID], orders[Month])</f>
        <v>5</v>
      </c>
    </row>
    <row r="1942" spans="1:10" x14ac:dyDescent="0.35">
      <c r="A1942">
        <v>11000</v>
      </c>
      <c r="B1942">
        <v>4</v>
      </c>
      <c r="C1942">
        <v>22</v>
      </c>
      <c r="D1942">
        <v>25</v>
      </c>
      <c r="E1942">
        <v>0.25</v>
      </c>
      <c r="F1942">
        <v>412.5</v>
      </c>
      <c r="G1942" t="str">
        <f>VLOOKUP(VLOOKUP(order_details[[#This Row],[ProductID]], products[], 4, FALSE), categories[], 2, FALSE)</f>
        <v>Condiments</v>
      </c>
      <c r="H1942">
        <f>VLOOKUP(order_details[[#This Row],[ProductID]], products[], 4, FALSE)</f>
        <v>2</v>
      </c>
      <c r="I1942" t="str">
        <f>VLOOKUP(order_details[[#This Row],[OrderID]], orders[[OrderID]:[ShipCountry]], 14, FALSE)</f>
        <v>USA</v>
      </c>
      <c r="J1942" s="1">
        <f>_xlfn.XLOOKUP(order_details[[#This Row],[OrderID]], orders[OrderID], orders[Month])</f>
        <v>5</v>
      </c>
    </row>
    <row r="1943" spans="1:10" x14ac:dyDescent="0.35">
      <c r="A1943">
        <v>11000</v>
      </c>
      <c r="B1943">
        <v>24</v>
      </c>
      <c r="C1943">
        <v>4.5</v>
      </c>
      <c r="D1943">
        <v>30</v>
      </c>
      <c r="E1943">
        <v>0.25</v>
      </c>
      <c r="F1943">
        <v>101.25</v>
      </c>
      <c r="G1943" t="str">
        <f>VLOOKUP(VLOOKUP(order_details[[#This Row],[ProductID]], products[], 4, FALSE), categories[], 2, FALSE)</f>
        <v>Beverages</v>
      </c>
      <c r="H1943">
        <f>VLOOKUP(order_details[[#This Row],[ProductID]], products[], 4, FALSE)</f>
        <v>1</v>
      </c>
      <c r="I1943" t="str">
        <f>VLOOKUP(order_details[[#This Row],[OrderID]], orders[[OrderID]:[ShipCountry]], 14, FALSE)</f>
        <v>USA</v>
      </c>
      <c r="J1943" s="1">
        <f>_xlfn.XLOOKUP(order_details[[#This Row],[OrderID]], orders[OrderID], orders[Month])</f>
        <v>5</v>
      </c>
    </row>
    <row r="1944" spans="1:10" x14ac:dyDescent="0.35">
      <c r="A1944">
        <v>11000</v>
      </c>
      <c r="B1944">
        <v>77</v>
      </c>
      <c r="C1944">
        <v>13</v>
      </c>
      <c r="D1944">
        <v>30</v>
      </c>
      <c r="E1944">
        <v>0</v>
      </c>
      <c r="F1944">
        <v>390</v>
      </c>
      <c r="G1944" t="str">
        <f>VLOOKUP(VLOOKUP(order_details[[#This Row],[ProductID]], products[], 4, FALSE), categories[], 2, FALSE)</f>
        <v>Condiments</v>
      </c>
      <c r="H1944">
        <f>VLOOKUP(order_details[[#This Row],[ProductID]], products[], 4, FALSE)</f>
        <v>2</v>
      </c>
      <c r="I1944" t="str">
        <f>VLOOKUP(order_details[[#This Row],[OrderID]], orders[[OrderID]:[ShipCountry]], 14, FALSE)</f>
        <v>USA</v>
      </c>
      <c r="J1944" s="1">
        <f>_xlfn.XLOOKUP(order_details[[#This Row],[OrderID]], orders[OrderID], orders[Month])</f>
        <v>5</v>
      </c>
    </row>
    <row r="1945" spans="1:10" x14ac:dyDescent="0.35">
      <c r="A1945">
        <v>11001</v>
      </c>
      <c r="B1945">
        <v>7</v>
      </c>
      <c r="C1945">
        <v>30</v>
      </c>
      <c r="D1945">
        <v>60</v>
      </c>
      <c r="E1945">
        <v>0</v>
      </c>
      <c r="F1945">
        <v>1800</v>
      </c>
      <c r="G1945" t="str">
        <f>VLOOKUP(VLOOKUP(order_details[[#This Row],[ProductID]], products[], 4, FALSE), categories[], 2, FALSE)</f>
        <v>Produce</v>
      </c>
      <c r="H1945">
        <f>VLOOKUP(order_details[[#This Row],[ProductID]], products[], 4, FALSE)</f>
        <v>7</v>
      </c>
      <c r="I1945" t="str">
        <f>VLOOKUP(order_details[[#This Row],[OrderID]], orders[[OrderID]:[ShipCountry]], 14, FALSE)</f>
        <v>Sweden</v>
      </c>
      <c r="J1945" s="1">
        <f>_xlfn.XLOOKUP(order_details[[#This Row],[OrderID]], orders[OrderID], orders[Month])</f>
        <v>5</v>
      </c>
    </row>
    <row r="1946" spans="1:10" x14ac:dyDescent="0.35">
      <c r="A1946">
        <v>11001</v>
      </c>
      <c r="B1946">
        <v>22</v>
      </c>
      <c r="C1946">
        <v>21</v>
      </c>
      <c r="D1946">
        <v>25</v>
      </c>
      <c r="E1946">
        <v>0</v>
      </c>
      <c r="F1946">
        <v>525</v>
      </c>
      <c r="G1946" t="str">
        <f>VLOOKUP(VLOOKUP(order_details[[#This Row],[ProductID]], products[], 4, FALSE), categories[], 2, FALSE)</f>
        <v>Grains/Cereals</v>
      </c>
      <c r="H1946">
        <f>VLOOKUP(order_details[[#This Row],[ProductID]], products[], 4, FALSE)</f>
        <v>5</v>
      </c>
      <c r="I1946" t="str">
        <f>VLOOKUP(order_details[[#This Row],[OrderID]], orders[[OrderID]:[ShipCountry]], 14, FALSE)</f>
        <v>Sweden</v>
      </c>
      <c r="J1946" s="1">
        <f>_xlfn.XLOOKUP(order_details[[#This Row],[OrderID]], orders[OrderID], orders[Month])</f>
        <v>5</v>
      </c>
    </row>
    <row r="1947" spans="1:10" x14ac:dyDescent="0.35">
      <c r="A1947">
        <v>11001</v>
      </c>
      <c r="B1947">
        <v>46</v>
      </c>
      <c r="C1947">
        <v>12</v>
      </c>
      <c r="D1947">
        <v>25</v>
      </c>
      <c r="E1947">
        <v>0</v>
      </c>
      <c r="F1947">
        <v>300</v>
      </c>
      <c r="G1947" t="str">
        <f>VLOOKUP(VLOOKUP(order_details[[#This Row],[ProductID]], products[], 4, FALSE), categories[], 2, FALSE)</f>
        <v>Seafood</v>
      </c>
      <c r="H1947">
        <f>VLOOKUP(order_details[[#This Row],[ProductID]], products[], 4, FALSE)</f>
        <v>8</v>
      </c>
      <c r="I1947" t="str">
        <f>VLOOKUP(order_details[[#This Row],[OrderID]], orders[[OrderID]:[ShipCountry]], 14, FALSE)</f>
        <v>Sweden</v>
      </c>
      <c r="J1947" s="1">
        <f>_xlfn.XLOOKUP(order_details[[#This Row],[OrderID]], orders[OrderID], orders[Month])</f>
        <v>5</v>
      </c>
    </row>
    <row r="1948" spans="1:10" x14ac:dyDescent="0.35">
      <c r="A1948">
        <v>11001</v>
      </c>
      <c r="B1948">
        <v>55</v>
      </c>
      <c r="C1948">
        <v>24</v>
      </c>
      <c r="D1948">
        <v>6</v>
      </c>
      <c r="E1948">
        <v>0</v>
      </c>
      <c r="F1948">
        <v>144</v>
      </c>
      <c r="G1948" t="str">
        <f>VLOOKUP(VLOOKUP(order_details[[#This Row],[ProductID]], products[], 4, FALSE), categories[], 2, FALSE)</f>
        <v>Meat/Poultry</v>
      </c>
      <c r="H1948">
        <f>VLOOKUP(order_details[[#This Row],[ProductID]], products[], 4, FALSE)</f>
        <v>6</v>
      </c>
      <c r="I1948" t="str">
        <f>VLOOKUP(order_details[[#This Row],[OrderID]], orders[[OrderID]:[ShipCountry]], 14, FALSE)</f>
        <v>Sweden</v>
      </c>
      <c r="J1948" s="1">
        <f>_xlfn.XLOOKUP(order_details[[#This Row],[OrderID]], orders[OrderID], orders[Month])</f>
        <v>5</v>
      </c>
    </row>
    <row r="1949" spans="1:10" x14ac:dyDescent="0.35">
      <c r="A1949">
        <v>11002</v>
      </c>
      <c r="B1949">
        <v>13</v>
      </c>
      <c r="C1949">
        <v>6</v>
      </c>
      <c r="D1949">
        <v>56</v>
      </c>
      <c r="E1949">
        <v>0</v>
      </c>
      <c r="F1949">
        <v>336</v>
      </c>
      <c r="G1949" t="str">
        <f>VLOOKUP(VLOOKUP(order_details[[#This Row],[ProductID]], products[], 4, FALSE), categories[], 2, FALSE)</f>
        <v>Seafood</v>
      </c>
      <c r="H1949">
        <f>VLOOKUP(order_details[[#This Row],[ProductID]], products[], 4, FALSE)</f>
        <v>8</v>
      </c>
      <c r="I1949" t="str">
        <f>VLOOKUP(order_details[[#This Row],[OrderID]], orders[[OrderID]:[ShipCountry]], 14, FALSE)</f>
        <v>USA</v>
      </c>
      <c r="J1949" s="1">
        <f>_xlfn.XLOOKUP(order_details[[#This Row],[OrderID]], orders[OrderID], orders[Month])</f>
        <v>5</v>
      </c>
    </row>
    <row r="1950" spans="1:10" x14ac:dyDescent="0.35">
      <c r="A1950">
        <v>11002</v>
      </c>
      <c r="B1950">
        <v>35</v>
      </c>
      <c r="C1950">
        <v>18</v>
      </c>
      <c r="D1950">
        <v>15</v>
      </c>
      <c r="E1950">
        <v>0.15</v>
      </c>
      <c r="F1950">
        <v>229.5</v>
      </c>
      <c r="G1950" t="str">
        <f>VLOOKUP(VLOOKUP(order_details[[#This Row],[ProductID]], products[], 4, FALSE), categories[], 2, FALSE)</f>
        <v>Beverages</v>
      </c>
      <c r="H1950">
        <f>VLOOKUP(order_details[[#This Row],[ProductID]], products[], 4, FALSE)</f>
        <v>1</v>
      </c>
      <c r="I1950" t="str">
        <f>VLOOKUP(order_details[[#This Row],[OrderID]], orders[[OrderID]:[ShipCountry]], 14, FALSE)</f>
        <v>USA</v>
      </c>
      <c r="J1950" s="1">
        <f>_xlfn.XLOOKUP(order_details[[#This Row],[OrderID]], orders[OrderID], orders[Month])</f>
        <v>5</v>
      </c>
    </row>
    <row r="1951" spans="1:10" x14ac:dyDescent="0.35">
      <c r="A1951">
        <v>11002</v>
      </c>
      <c r="B1951">
        <v>42</v>
      </c>
      <c r="C1951">
        <v>14</v>
      </c>
      <c r="D1951">
        <v>24</v>
      </c>
      <c r="E1951">
        <v>0.15</v>
      </c>
      <c r="F1951">
        <v>285.59999999999997</v>
      </c>
      <c r="G1951" t="str">
        <f>VLOOKUP(VLOOKUP(order_details[[#This Row],[ProductID]], products[], 4, FALSE), categories[], 2, FALSE)</f>
        <v>Grains/Cereals</v>
      </c>
      <c r="H1951">
        <f>VLOOKUP(order_details[[#This Row],[ProductID]], products[], 4, FALSE)</f>
        <v>5</v>
      </c>
      <c r="I1951" t="str">
        <f>VLOOKUP(order_details[[#This Row],[OrderID]], orders[[OrderID]:[ShipCountry]], 14, FALSE)</f>
        <v>USA</v>
      </c>
      <c r="J1951" s="1">
        <f>_xlfn.XLOOKUP(order_details[[#This Row],[OrderID]], orders[OrderID], orders[Month])</f>
        <v>5</v>
      </c>
    </row>
    <row r="1952" spans="1:10" x14ac:dyDescent="0.35">
      <c r="A1952">
        <v>11002</v>
      </c>
      <c r="B1952">
        <v>55</v>
      </c>
      <c r="C1952">
        <v>24</v>
      </c>
      <c r="D1952">
        <v>40</v>
      </c>
      <c r="E1952">
        <v>0</v>
      </c>
      <c r="F1952">
        <v>960</v>
      </c>
      <c r="G1952" t="str">
        <f>VLOOKUP(VLOOKUP(order_details[[#This Row],[ProductID]], products[], 4, FALSE), categories[], 2, FALSE)</f>
        <v>Meat/Poultry</v>
      </c>
      <c r="H1952">
        <f>VLOOKUP(order_details[[#This Row],[ProductID]], products[], 4, FALSE)</f>
        <v>6</v>
      </c>
      <c r="I1952" t="str">
        <f>VLOOKUP(order_details[[#This Row],[OrderID]], orders[[OrderID]:[ShipCountry]], 14, FALSE)</f>
        <v>USA</v>
      </c>
      <c r="J1952" s="1">
        <f>_xlfn.XLOOKUP(order_details[[#This Row],[OrderID]], orders[OrderID], orders[Month])</f>
        <v>5</v>
      </c>
    </row>
    <row r="1953" spans="1:10" x14ac:dyDescent="0.35">
      <c r="A1953">
        <v>11003</v>
      </c>
      <c r="B1953">
        <v>1</v>
      </c>
      <c r="C1953">
        <v>18</v>
      </c>
      <c r="D1953">
        <v>4</v>
      </c>
      <c r="E1953">
        <v>0</v>
      </c>
      <c r="F1953">
        <v>72</v>
      </c>
      <c r="G1953" t="str">
        <f>VLOOKUP(VLOOKUP(order_details[[#This Row],[ProductID]], products[], 4, FALSE), categories[], 2, FALSE)</f>
        <v>Beverages</v>
      </c>
      <c r="H1953">
        <f>VLOOKUP(order_details[[#This Row],[ProductID]], products[], 4, FALSE)</f>
        <v>1</v>
      </c>
      <c r="I1953" t="str">
        <f>VLOOKUP(order_details[[#This Row],[OrderID]], orders[[OrderID]:[ShipCountry]], 14, FALSE)</f>
        <v>USA</v>
      </c>
      <c r="J1953" s="1">
        <f>_xlfn.XLOOKUP(order_details[[#This Row],[OrderID]], orders[OrderID], orders[Month])</f>
        <v>5</v>
      </c>
    </row>
    <row r="1954" spans="1:10" x14ac:dyDescent="0.35">
      <c r="A1954">
        <v>11003</v>
      </c>
      <c r="B1954">
        <v>40</v>
      </c>
      <c r="C1954">
        <v>18.399999999999999</v>
      </c>
      <c r="D1954">
        <v>10</v>
      </c>
      <c r="E1954">
        <v>0</v>
      </c>
      <c r="F1954">
        <v>184</v>
      </c>
      <c r="G1954" t="str">
        <f>VLOOKUP(VLOOKUP(order_details[[#This Row],[ProductID]], products[], 4, FALSE), categories[], 2, FALSE)</f>
        <v>Seafood</v>
      </c>
      <c r="H1954">
        <f>VLOOKUP(order_details[[#This Row],[ProductID]], products[], 4, FALSE)</f>
        <v>8</v>
      </c>
      <c r="I1954" t="str">
        <f>VLOOKUP(order_details[[#This Row],[OrderID]], orders[[OrderID]:[ShipCountry]], 14, FALSE)</f>
        <v>USA</v>
      </c>
      <c r="J1954" s="1">
        <f>_xlfn.XLOOKUP(order_details[[#This Row],[OrderID]], orders[OrderID], orders[Month])</f>
        <v>5</v>
      </c>
    </row>
    <row r="1955" spans="1:10" x14ac:dyDescent="0.35">
      <c r="A1955">
        <v>11003</v>
      </c>
      <c r="B1955">
        <v>52</v>
      </c>
      <c r="C1955">
        <v>7</v>
      </c>
      <c r="D1955">
        <v>10</v>
      </c>
      <c r="E1955">
        <v>0</v>
      </c>
      <c r="F1955">
        <v>70</v>
      </c>
      <c r="G1955" t="str">
        <f>VLOOKUP(VLOOKUP(order_details[[#This Row],[ProductID]], products[], 4, FALSE), categories[], 2, FALSE)</f>
        <v>Grains/Cereals</v>
      </c>
      <c r="H1955">
        <f>VLOOKUP(order_details[[#This Row],[ProductID]], products[], 4, FALSE)</f>
        <v>5</v>
      </c>
      <c r="I1955" t="str">
        <f>VLOOKUP(order_details[[#This Row],[OrderID]], orders[[OrderID]:[ShipCountry]], 14, FALSE)</f>
        <v>USA</v>
      </c>
      <c r="J1955" s="1">
        <f>_xlfn.XLOOKUP(order_details[[#This Row],[OrderID]], orders[OrderID], orders[Month])</f>
        <v>5</v>
      </c>
    </row>
    <row r="1956" spans="1:10" x14ac:dyDescent="0.35">
      <c r="A1956">
        <v>11004</v>
      </c>
      <c r="B1956">
        <v>26</v>
      </c>
      <c r="C1956">
        <v>31.23</v>
      </c>
      <c r="D1956">
        <v>6</v>
      </c>
      <c r="E1956">
        <v>0</v>
      </c>
      <c r="F1956">
        <v>187.38</v>
      </c>
      <c r="G1956" t="str">
        <f>VLOOKUP(VLOOKUP(order_details[[#This Row],[ProductID]], products[], 4, FALSE), categories[], 2, FALSE)</f>
        <v>Confections</v>
      </c>
      <c r="H1956">
        <f>VLOOKUP(order_details[[#This Row],[ProductID]], products[], 4, FALSE)</f>
        <v>3</v>
      </c>
      <c r="I1956" t="str">
        <f>VLOOKUP(order_details[[#This Row],[OrderID]], orders[[OrderID]:[ShipCountry]], 14, FALSE)</f>
        <v>Belgium</v>
      </c>
      <c r="J1956" s="1">
        <f>_xlfn.XLOOKUP(order_details[[#This Row],[OrderID]], orders[OrderID], orders[Month])</f>
        <v>5</v>
      </c>
    </row>
    <row r="1957" spans="1:10" x14ac:dyDescent="0.35">
      <c r="A1957">
        <v>11004</v>
      </c>
      <c r="B1957">
        <v>76</v>
      </c>
      <c r="C1957">
        <v>18</v>
      </c>
      <c r="D1957">
        <v>6</v>
      </c>
      <c r="E1957">
        <v>0</v>
      </c>
      <c r="F1957">
        <v>108</v>
      </c>
      <c r="G1957" t="str">
        <f>VLOOKUP(VLOOKUP(order_details[[#This Row],[ProductID]], products[], 4, FALSE), categories[], 2, FALSE)</f>
        <v>Beverages</v>
      </c>
      <c r="H1957">
        <f>VLOOKUP(order_details[[#This Row],[ProductID]], products[], 4, FALSE)</f>
        <v>1</v>
      </c>
      <c r="I1957" t="str">
        <f>VLOOKUP(order_details[[#This Row],[OrderID]], orders[[OrderID]:[ShipCountry]], 14, FALSE)</f>
        <v>Belgium</v>
      </c>
      <c r="J1957" s="1">
        <f>_xlfn.XLOOKUP(order_details[[#This Row],[OrderID]], orders[OrderID], orders[Month])</f>
        <v>5</v>
      </c>
    </row>
    <row r="1958" spans="1:10" x14ac:dyDescent="0.35">
      <c r="A1958">
        <v>11005</v>
      </c>
      <c r="B1958">
        <v>1</v>
      </c>
      <c r="C1958">
        <v>18</v>
      </c>
      <c r="D1958">
        <v>2</v>
      </c>
      <c r="E1958">
        <v>0</v>
      </c>
      <c r="F1958">
        <v>36</v>
      </c>
      <c r="G1958" t="str">
        <f>VLOOKUP(VLOOKUP(order_details[[#This Row],[ProductID]], products[], 4, FALSE), categories[], 2, FALSE)</f>
        <v>Beverages</v>
      </c>
      <c r="H1958">
        <f>VLOOKUP(order_details[[#This Row],[ProductID]], products[], 4, FALSE)</f>
        <v>1</v>
      </c>
      <c r="I1958" t="str">
        <f>VLOOKUP(order_details[[#This Row],[OrderID]], orders[[OrderID]:[ShipCountry]], 14, FALSE)</f>
        <v>Finland</v>
      </c>
      <c r="J1958" s="1">
        <f>_xlfn.XLOOKUP(order_details[[#This Row],[OrderID]], orders[OrderID], orders[Month])</f>
        <v>5</v>
      </c>
    </row>
    <row r="1959" spans="1:10" x14ac:dyDescent="0.35">
      <c r="A1959">
        <v>11005</v>
      </c>
      <c r="B1959">
        <v>59</v>
      </c>
      <c r="C1959">
        <v>55</v>
      </c>
      <c r="D1959">
        <v>10</v>
      </c>
      <c r="E1959">
        <v>0</v>
      </c>
      <c r="F1959">
        <v>550</v>
      </c>
      <c r="G1959" t="str">
        <f>VLOOKUP(VLOOKUP(order_details[[#This Row],[ProductID]], products[], 4, FALSE), categories[], 2, FALSE)</f>
        <v>Dairy Products</v>
      </c>
      <c r="H1959">
        <f>VLOOKUP(order_details[[#This Row],[ProductID]], products[], 4, FALSE)</f>
        <v>4</v>
      </c>
      <c r="I1959" t="str">
        <f>VLOOKUP(order_details[[#This Row],[OrderID]], orders[[OrderID]:[ShipCountry]], 14, FALSE)</f>
        <v>Finland</v>
      </c>
      <c r="J1959" s="1">
        <f>_xlfn.XLOOKUP(order_details[[#This Row],[OrderID]], orders[OrderID], orders[Month])</f>
        <v>5</v>
      </c>
    </row>
    <row r="1960" spans="1:10" x14ac:dyDescent="0.35">
      <c r="A1960">
        <v>11006</v>
      </c>
      <c r="B1960">
        <v>1</v>
      </c>
      <c r="C1960">
        <v>18</v>
      </c>
      <c r="D1960">
        <v>8</v>
      </c>
      <c r="E1960">
        <v>0</v>
      </c>
      <c r="F1960">
        <v>144</v>
      </c>
      <c r="G1960" t="str">
        <f>VLOOKUP(VLOOKUP(order_details[[#This Row],[ProductID]], products[], 4, FALSE), categories[], 2, FALSE)</f>
        <v>Beverages</v>
      </c>
      <c r="H1960">
        <f>VLOOKUP(order_details[[#This Row],[ProductID]], products[], 4, FALSE)</f>
        <v>1</v>
      </c>
      <c r="I1960" t="str">
        <f>VLOOKUP(order_details[[#This Row],[OrderID]], orders[[OrderID]:[ShipCountry]], 14, FALSE)</f>
        <v>USA</v>
      </c>
      <c r="J1960" s="1">
        <f>_xlfn.XLOOKUP(order_details[[#This Row],[OrderID]], orders[OrderID], orders[Month])</f>
        <v>5</v>
      </c>
    </row>
    <row r="1961" spans="1:10" x14ac:dyDescent="0.35">
      <c r="A1961">
        <v>11006</v>
      </c>
      <c r="B1961">
        <v>29</v>
      </c>
      <c r="C1961">
        <v>123.79</v>
      </c>
      <c r="D1961">
        <v>2</v>
      </c>
      <c r="E1961">
        <v>0.25</v>
      </c>
      <c r="F1961">
        <v>185.685</v>
      </c>
      <c r="G1961" t="str">
        <f>VLOOKUP(VLOOKUP(order_details[[#This Row],[ProductID]], products[], 4, FALSE), categories[], 2, FALSE)</f>
        <v>Meat/Poultry</v>
      </c>
      <c r="H1961">
        <f>VLOOKUP(order_details[[#This Row],[ProductID]], products[], 4, FALSE)</f>
        <v>6</v>
      </c>
      <c r="I1961" t="str">
        <f>VLOOKUP(order_details[[#This Row],[OrderID]], orders[[OrderID]:[ShipCountry]], 14, FALSE)</f>
        <v>USA</v>
      </c>
      <c r="J1961" s="1">
        <f>_xlfn.XLOOKUP(order_details[[#This Row],[OrderID]], orders[OrderID], orders[Month])</f>
        <v>5</v>
      </c>
    </row>
    <row r="1962" spans="1:10" x14ac:dyDescent="0.35">
      <c r="A1962">
        <v>11007</v>
      </c>
      <c r="B1962">
        <v>8</v>
      </c>
      <c r="C1962">
        <v>40</v>
      </c>
      <c r="D1962">
        <v>30</v>
      </c>
      <c r="E1962">
        <v>0</v>
      </c>
      <c r="F1962">
        <v>1200</v>
      </c>
      <c r="G1962" t="str">
        <f>VLOOKUP(VLOOKUP(order_details[[#This Row],[ProductID]], products[], 4, FALSE), categories[], 2, FALSE)</f>
        <v>Condiments</v>
      </c>
      <c r="H1962">
        <f>VLOOKUP(order_details[[#This Row],[ProductID]], products[], 4, FALSE)</f>
        <v>2</v>
      </c>
      <c r="I1962" t="str">
        <f>VLOOKUP(order_details[[#This Row],[OrderID]], orders[[OrderID]:[ShipCountry]], 14, FALSE)</f>
        <v>Portugal</v>
      </c>
      <c r="J1962" s="1">
        <f>_xlfn.XLOOKUP(order_details[[#This Row],[OrderID]], orders[OrderID], orders[Month])</f>
        <v>5</v>
      </c>
    </row>
    <row r="1963" spans="1:10" x14ac:dyDescent="0.35">
      <c r="A1963">
        <v>11007</v>
      </c>
      <c r="B1963">
        <v>29</v>
      </c>
      <c r="C1963">
        <v>123.79</v>
      </c>
      <c r="D1963">
        <v>10</v>
      </c>
      <c r="E1963">
        <v>0</v>
      </c>
      <c r="F1963">
        <v>1237.9000000000001</v>
      </c>
      <c r="G1963" t="str">
        <f>VLOOKUP(VLOOKUP(order_details[[#This Row],[ProductID]], products[], 4, FALSE), categories[], 2, FALSE)</f>
        <v>Meat/Poultry</v>
      </c>
      <c r="H1963">
        <f>VLOOKUP(order_details[[#This Row],[ProductID]], products[], 4, FALSE)</f>
        <v>6</v>
      </c>
      <c r="I1963" t="str">
        <f>VLOOKUP(order_details[[#This Row],[OrderID]], orders[[OrderID]:[ShipCountry]], 14, FALSE)</f>
        <v>Portugal</v>
      </c>
      <c r="J1963" s="1">
        <f>_xlfn.XLOOKUP(order_details[[#This Row],[OrderID]], orders[OrderID], orders[Month])</f>
        <v>5</v>
      </c>
    </row>
    <row r="1964" spans="1:10" x14ac:dyDescent="0.35">
      <c r="A1964">
        <v>11007</v>
      </c>
      <c r="B1964">
        <v>42</v>
      </c>
      <c r="C1964">
        <v>14</v>
      </c>
      <c r="D1964">
        <v>14</v>
      </c>
      <c r="E1964">
        <v>0</v>
      </c>
      <c r="F1964">
        <v>196</v>
      </c>
      <c r="G1964" t="str">
        <f>VLOOKUP(VLOOKUP(order_details[[#This Row],[ProductID]], products[], 4, FALSE), categories[], 2, FALSE)</f>
        <v>Grains/Cereals</v>
      </c>
      <c r="H1964">
        <f>VLOOKUP(order_details[[#This Row],[ProductID]], products[], 4, FALSE)</f>
        <v>5</v>
      </c>
      <c r="I1964" t="str">
        <f>VLOOKUP(order_details[[#This Row],[OrderID]], orders[[OrderID]:[ShipCountry]], 14, FALSE)</f>
        <v>Portugal</v>
      </c>
      <c r="J1964" s="1">
        <f>_xlfn.XLOOKUP(order_details[[#This Row],[OrderID]], orders[OrderID], orders[Month])</f>
        <v>5</v>
      </c>
    </row>
    <row r="1965" spans="1:10" x14ac:dyDescent="0.35">
      <c r="A1965">
        <v>11008</v>
      </c>
      <c r="B1965">
        <v>28</v>
      </c>
      <c r="C1965">
        <v>45.6</v>
      </c>
      <c r="D1965">
        <v>70</v>
      </c>
      <c r="E1965">
        <v>0.05</v>
      </c>
      <c r="F1965">
        <v>3032.3999999999996</v>
      </c>
      <c r="G1965" t="str">
        <f>VLOOKUP(VLOOKUP(order_details[[#This Row],[ProductID]], products[], 4, FALSE), categories[], 2, FALSE)</f>
        <v>Produce</v>
      </c>
      <c r="H1965">
        <f>VLOOKUP(order_details[[#This Row],[ProductID]], products[], 4, FALSE)</f>
        <v>7</v>
      </c>
      <c r="I1965" t="str">
        <f>VLOOKUP(order_details[[#This Row],[OrderID]], orders[[OrderID]:[ShipCountry]], 14, FALSE)</f>
        <v>Austria</v>
      </c>
      <c r="J1965" s="1">
        <f>_xlfn.XLOOKUP(order_details[[#This Row],[OrderID]], orders[OrderID], orders[Month])</f>
        <v>5</v>
      </c>
    </row>
    <row r="1966" spans="1:10" x14ac:dyDescent="0.35">
      <c r="A1966">
        <v>11008</v>
      </c>
      <c r="B1966">
        <v>34</v>
      </c>
      <c r="C1966">
        <v>14</v>
      </c>
      <c r="D1966">
        <v>90</v>
      </c>
      <c r="E1966">
        <v>0.05</v>
      </c>
      <c r="F1966">
        <v>1197</v>
      </c>
      <c r="G1966" t="str">
        <f>VLOOKUP(VLOOKUP(order_details[[#This Row],[ProductID]], products[], 4, FALSE), categories[], 2, FALSE)</f>
        <v>Beverages</v>
      </c>
      <c r="H1966">
        <f>VLOOKUP(order_details[[#This Row],[ProductID]], products[], 4, FALSE)</f>
        <v>1</v>
      </c>
      <c r="I1966" t="str">
        <f>VLOOKUP(order_details[[#This Row],[OrderID]], orders[[OrderID]:[ShipCountry]], 14, FALSE)</f>
        <v>Austria</v>
      </c>
      <c r="J1966" s="1">
        <f>_xlfn.XLOOKUP(order_details[[#This Row],[OrderID]], orders[OrderID], orders[Month])</f>
        <v>5</v>
      </c>
    </row>
    <row r="1967" spans="1:10" x14ac:dyDescent="0.35">
      <c r="A1967">
        <v>11008</v>
      </c>
      <c r="B1967">
        <v>71</v>
      </c>
      <c r="C1967">
        <v>21.5</v>
      </c>
      <c r="D1967">
        <v>21</v>
      </c>
      <c r="E1967">
        <v>0</v>
      </c>
      <c r="F1967">
        <v>451.5</v>
      </c>
      <c r="G1967" t="str">
        <f>VLOOKUP(VLOOKUP(order_details[[#This Row],[ProductID]], products[], 4, FALSE), categories[], 2, FALSE)</f>
        <v>Dairy Products</v>
      </c>
      <c r="H1967">
        <f>VLOOKUP(order_details[[#This Row],[ProductID]], products[], 4, FALSE)</f>
        <v>4</v>
      </c>
      <c r="I1967" t="str">
        <f>VLOOKUP(order_details[[#This Row],[OrderID]], orders[[OrderID]:[ShipCountry]], 14, FALSE)</f>
        <v>Austria</v>
      </c>
      <c r="J1967" s="1">
        <f>_xlfn.XLOOKUP(order_details[[#This Row],[OrderID]], orders[OrderID], orders[Month])</f>
        <v>5</v>
      </c>
    </row>
    <row r="1968" spans="1:10" x14ac:dyDescent="0.35">
      <c r="A1968">
        <v>11009</v>
      </c>
      <c r="B1968">
        <v>24</v>
      </c>
      <c r="C1968">
        <v>4.5</v>
      </c>
      <c r="D1968">
        <v>12</v>
      </c>
      <c r="E1968">
        <v>0</v>
      </c>
      <c r="F1968">
        <v>54</v>
      </c>
      <c r="G1968" t="str">
        <f>VLOOKUP(VLOOKUP(order_details[[#This Row],[ProductID]], products[], 4, FALSE), categories[], 2, FALSE)</f>
        <v>Beverages</v>
      </c>
      <c r="H1968">
        <f>VLOOKUP(order_details[[#This Row],[ProductID]], products[], 4, FALSE)</f>
        <v>1</v>
      </c>
      <c r="I1968" t="str">
        <f>VLOOKUP(order_details[[#This Row],[OrderID]], orders[[OrderID]:[ShipCountry]], 14, FALSE)</f>
        <v>Spain</v>
      </c>
      <c r="J1968" s="1">
        <f>_xlfn.XLOOKUP(order_details[[#This Row],[OrderID]], orders[OrderID], orders[Month])</f>
        <v>5</v>
      </c>
    </row>
    <row r="1969" spans="1:10" x14ac:dyDescent="0.35">
      <c r="A1969">
        <v>11009</v>
      </c>
      <c r="B1969">
        <v>36</v>
      </c>
      <c r="C1969">
        <v>19</v>
      </c>
      <c r="D1969">
        <v>18</v>
      </c>
      <c r="E1969">
        <v>0.25</v>
      </c>
      <c r="F1969">
        <v>256.5</v>
      </c>
      <c r="G1969" t="str">
        <f>VLOOKUP(VLOOKUP(order_details[[#This Row],[ProductID]], products[], 4, FALSE), categories[], 2, FALSE)</f>
        <v>Seafood</v>
      </c>
      <c r="H1969">
        <f>VLOOKUP(order_details[[#This Row],[ProductID]], products[], 4, FALSE)</f>
        <v>8</v>
      </c>
      <c r="I1969" t="str">
        <f>VLOOKUP(order_details[[#This Row],[OrderID]], orders[[OrderID]:[ShipCountry]], 14, FALSE)</f>
        <v>Spain</v>
      </c>
      <c r="J1969" s="1">
        <f>_xlfn.XLOOKUP(order_details[[#This Row],[OrderID]], orders[OrderID], orders[Month])</f>
        <v>5</v>
      </c>
    </row>
    <row r="1970" spans="1:10" x14ac:dyDescent="0.35">
      <c r="A1970">
        <v>11009</v>
      </c>
      <c r="B1970">
        <v>60</v>
      </c>
      <c r="C1970">
        <v>34</v>
      </c>
      <c r="D1970">
        <v>9</v>
      </c>
      <c r="E1970">
        <v>0</v>
      </c>
      <c r="F1970">
        <v>306</v>
      </c>
      <c r="G1970" t="str">
        <f>VLOOKUP(VLOOKUP(order_details[[#This Row],[ProductID]], products[], 4, FALSE), categories[], 2, FALSE)</f>
        <v>Dairy Products</v>
      </c>
      <c r="H1970">
        <f>VLOOKUP(order_details[[#This Row],[ProductID]], products[], 4, FALSE)</f>
        <v>4</v>
      </c>
      <c r="I1970" t="str">
        <f>VLOOKUP(order_details[[#This Row],[OrderID]], orders[[OrderID]:[ShipCountry]], 14, FALSE)</f>
        <v>Spain</v>
      </c>
      <c r="J1970" s="1">
        <f>_xlfn.XLOOKUP(order_details[[#This Row],[OrderID]], orders[OrderID], orders[Month])</f>
        <v>5</v>
      </c>
    </row>
    <row r="1971" spans="1:10" x14ac:dyDescent="0.35">
      <c r="A1971">
        <v>11010</v>
      </c>
      <c r="B1971">
        <v>7</v>
      </c>
      <c r="C1971">
        <v>30</v>
      </c>
      <c r="D1971">
        <v>20</v>
      </c>
      <c r="E1971">
        <v>0</v>
      </c>
      <c r="F1971">
        <v>600</v>
      </c>
      <c r="G1971" t="str">
        <f>VLOOKUP(VLOOKUP(order_details[[#This Row],[ProductID]], products[], 4, FALSE), categories[], 2, FALSE)</f>
        <v>Produce</v>
      </c>
      <c r="H1971">
        <f>VLOOKUP(order_details[[#This Row],[ProductID]], products[], 4, FALSE)</f>
        <v>7</v>
      </c>
      <c r="I1971" t="str">
        <f>VLOOKUP(order_details[[#This Row],[OrderID]], orders[[OrderID]:[ShipCountry]], 14, FALSE)</f>
        <v>Italy</v>
      </c>
      <c r="J1971" s="1">
        <f>_xlfn.XLOOKUP(order_details[[#This Row],[OrderID]], orders[OrderID], orders[Month])</f>
        <v>5</v>
      </c>
    </row>
    <row r="1972" spans="1:10" x14ac:dyDescent="0.35">
      <c r="A1972">
        <v>11010</v>
      </c>
      <c r="B1972">
        <v>24</v>
      </c>
      <c r="C1972">
        <v>4.5</v>
      </c>
      <c r="D1972">
        <v>10</v>
      </c>
      <c r="E1972">
        <v>0</v>
      </c>
      <c r="F1972">
        <v>45</v>
      </c>
      <c r="G1972" t="str">
        <f>VLOOKUP(VLOOKUP(order_details[[#This Row],[ProductID]], products[], 4, FALSE), categories[], 2, FALSE)</f>
        <v>Beverages</v>
      </c>
      <c r="H1972">
        <f>VLOOKUP(order_details[[#This Row],[ProductID]], products[], 4, FALSE)</f>
        <v>1</v>
      </c>
      <c r="I1972" t="str">
        <f>VLOOKUP(order_details[[#This Row],[OrderID]], orders[[OrderID]:[ShipCountry]], 14, FALSE)</f>
        <v>Italy</v>
      </c>
      <c r="J1972" s="1">
        <f>_xlfn.XLOOKUP(order_details[[#This Row],[OrderID]], orders[OrderID], orders[Month])</f>
        <v>5</v>
      </c>
    </row>
    <row r="1973" spans="1:10" x14ac:dyDescent="0.35">
      <c r="A1973">
        <v>11011</v>
      </c>
      <c r="B1973">
        <v>58</v>
      </c>
      <c r="C1973">
        <v>13.25</v>
      </c>
      <c r="D1973">
        <v>40</v>
      </c>
      <c r="E1973">
        <v>0.05</v>
      </c>
      <c r="F1973">
        <v>503.5</v>
      </c>
      <c r="G1973" t="str">
        <f>VLOOKUP(VLOOKUP(order_details[[#This Row],[ProductID]], products[], 4, FALSE), categories[], 2, FALSE)</f>
        <v>Seafood</v>
      </c>
      <c r="H1973">
        <f>VLOOKUP(order_details[[#This Row],[ProductID]], products[], 4, FALSE)</f>
        <v>8</v>
      </c>
      <c r="I1973" t="str">
        <f>VLOOKUP(order_details[[#This Row],[OrderID]], orders[[OrderID]:[ShipCountry]], 14, FALSE)</f>
        <v>Germany</v>
      </c>
      <c r="J1973" s="1">
        <f>_xlfn.XLOOKUP(order_details[[#This Row],[OrderID]], orders[OrderID], orders[Month])</f>
        <v>5</v>
      </c>
    </row>
    <row r="1974" spans="1:10" x14ac:dyDescent="0.35">
      <c r="A1974">
        <v>11011</v>
      </c>
      <c r="B1974">
        <v>71</v>
      </c>
      <c r="C1974">
        <v>21.5</v>
      </c>
      <c r="D1974">
        <v>20</v>
      </c>
      <c r="E1974">
        <v>0</v>
      </c>
      <c r="F1974">
        <v>430</v>
      </c>
      <c r="G1974" t="str">
        <f>VLOOKUP(VLOOKUP(order_details[[#This Row],[ProductID]], products[], 4, FALSE), categories[], 2, FALSE)</f>
        <v>Dairy Products</v>
      </c>
      <c r="H1974">
        <f>VLOOKUP(order_details[[#This Row],[ProductID]], products[], 4, FALSE)</f>
        <v>4</v>
      </c>
      <c r="I1974" t="str">
        <f>VLOOKUP(order_details[[#This Row],[OrderID]], orders[[OrderID]:[ShipCountry]], 14, FALSE)</f>
        <v>Germany</v>
      </c>
      <c r="J1974" s="1">
        <f>_xlfn.XLOOKUP(order_details[[#This Row],[OrderID]], orders[OrderID], orders[Month])</f>
        <v>5</v>
      </c>
    </row>
    <row r="1975" spans="1:10" x14ac:dyDescent="0.35">
      <c r="A1975">
        <v>11012</v>
      </c>
      <c r="B1975">
        <v>19</v>
      </c>
      <c r="C1975">
        <v>9.1999999999999993</v>
      </c>
      <c r="D1975">
        <v>50</v>
      </c>
      <c r="E1975">
        <v>0.05</v>
      </c>
      <c r="F1975">
        <v>436.99999999999994</v>
      </c>
      <c r="G1975" t="str">
        <f>VLOOKUP(VLOOKUP(order_details[[#This Row],[ProductID]], products[], 4, FALSE), categories[], 2, FALSE)</f>
        <v>Confections</v>
      </c>
      <c r="H1975">
        <f>VLOOKUP(order_details[[#This Row],[ProductID]], products[], 4, FALSE)</f>
        <v>3</v>
      </c>
      <c r="I1975" t="str">
        <f>VLOOKUP(order_details[[#This Row],[OrderID]], orders[[OrderID]:[ShipCountry]], 14, FALSE)</f>
        <v>Germany</v>
      </c>
      <c r="J1975" s="1">
        <f>_xlfn.XLOOKUP(order_details[[#This Row],[OrderID]], orders[OrderID], orders[Month])</f>
        <v>5</v>
      </c>
    </row>
    <row r="1976" spans="1:10" x14ac:dyDescent="0.35">
      <c r="A1976">
        <v>11012</v>
      </c>
      <c r="B1976">
        <v>60</v>
      </c>
      <c r="C1976">
        <v>34</v>
      </c>
      <c r="D1976">
        <v>36</v>
      </c>
      <c r="E1976">
        <v>0.05</v>
      </c>
      <c r="F1976">
        <v>1162.8</v>
      </c>
      <c r="G1976" t="str">
        <f>VLOOKUP(VLOOKUP(order_details[[#This Row],[ProductID]], products[], 4, FALSE), categories[], 2, FALSE)</f>
        <v>Dairy Products</v>
      </c>
      <c r="H1976">
        <f>VLOOKUP(order_details[[#This Row],[ProductID]], products[], 4, FALSE)</f>
        <v>4</v>
      </c>
      <c r="I1976" t="str">
        <f>VLOOKUP(order_details[[#This Row],[OrderID]], orders[[OrderID]:[ShipCountry]], 14, FALSE)</f>
        <v>Germany</v>
      </c>
      <c r="J1976" s="1">
        <f>_xlfn.XLOOKUP(order_details[[#This Row],[OrderID]], orders[OrderID], orders[Month])</f>
        <v>5</v>
      </c>
    </row>
    <row r="1977" spans="1:10" x14ac:dyDescent="0.35">
      <c r="A1977">
        <v>11012</v>
      </c>
      <c r="B1977">
        <v>71</v>
      </c>
      <c r="C1977">
        <v>21.5</v>
      </c>
      <c r="D1977">
        <v>60</v>
      </c>
      <c r="E1977">
        <v>0.05</v>
      </c>
      <c r="F1977">
        <v>1225.5</v>
      </c>
      <c r="G1977" t="str">
        <f>VLOOKUP(VLOOKUP(order_details[[#This Row],[ProductID]], products[], 4, FALSE), categories[], 2, FALSE)</f>
        <v>Dairy Products</v>
      </c>
      <c r="H1977">
        <f>VLOOKUP(order_details[[#This Row],[ProductID]], products[], 4, FALSE)</f>
        <v>4</v>
      </c>
      <c r="I1977" t="str">
        <f>VLOOKUP(order_details[[#This Row],[OrderID]], orders[[OrderID]:[ShipCountry]], 14, FALSE)</f>
        <v>Germany</v>
      </c>
      <c r="J1977" s="1">
        <f>_xlfn.XLOOKUP(order_details[[#This Row],[OrderID]], orders[OrderID], orders[Month])</f>
        <v>5</v>
      </c>
    </row>
    <row r="1978" spans="1:10" x14ac:dyDescent="0.35">
      <c r="A1978">
        <v>11013</v>
      </c>
      <c r="B1978">
        <v>23</v>
      </c>
      <c r="C1978">
        <v>9</v>
      </c>
      <c r="D1978">
        <v>10</v>
      </c>
      <c r="E1978">
        <v>0</v>
      </c>
      <c r="F1978">
        <v>90</v>
      </c>
      <c r="G1978" t="str">
        <f>VLOOKUP(VLOOKUP(order_details[[#This Row],[ProductID]], products[], 4, FALSE), categories[], 2, FALSE)</f>
        <v>Grains/Cereals</v>
      </c>
      <c r="H1978">
        <f>VLOOKUP(order_details[[#This Row],[ProductID]], products[], 4, FALSE)</f>
        <v>5</v>
      </c>
      <c r="I1978" t="str">
        <f>VLOOKUP(order_details[[#This Row],[OrderID]], orders[[OrderID]:[ShipCountry]], 14, FALSE)</f>
        <v>Spain</v>
      </c>
      <c r="J1978" s="1">
        <f>_xlfn.XLOOKUP(order_details[[#This Row],[OrderID]], orders[OrderID], orders[Month])</f>
        <v>5</v>
      </c>
    </row>
    <row r="1979" spans="1:10" x14ac:dyDescent="0.35">
      <c r="A1979">
        <v>11013</v>
      </c>
      <c r="B1979">
        <v>42</v>
      </c>
      <c r="C1979">
        <v>14</v>
      </c>
      <c r="D1979">
        <v>4</v>
      </c>
      <c r="E1979">
        <v>0</v>
      </c>
      <c r="F1979">
        <v>56</v>
      </c>
      <c r="G1979" t="str">
        <f>VLOOKUP(VLOOKUP(order_details[[#This Row],[ProductID]], products[], 4, FALSE), categories[], 2, FALSE)</f>
        <v>Grains/Cereals</v>
      </c>
      <c r="H1979">
        <f>VLOOKUP(order_details[[#This Row],[ProductID]], products[], 4, FALSE)</f>
        <v>5</v>
      </c>
      <c r="I1979" t="str">
        <f>VLOOKUP(order_details[[#This Row],[OrderID]], orders[[OrderID]:[ShipCountry]], 14, FALSE)</f>
        <v>Spain</v>
      </c>
      <c r="J1979" s="1">
        <f>_xlfn.XLOOKUP(order_details[[#This Row],[OrderID]], orders[OrderID], orders[Month])</f>
        <v>5</v>
      </c>
    </row>
    <row r="1980" spans="1:10" x14ac:dyDescent="0.35">
      <c r="A1980">
        <v>11013</v>
      </c>
      <c r="B1980">
        <v>45</v>
      </c>
      <c r="C1980">
        <v>9.5</v>
      </c>
      <c r="D1980">
        <v>20</v>
      </c>
      <c r="E1980">
        <v>0</v>
      </c>
      <c r="F1980">
        <v>190</v>
      </c>
      <c r="G1980" t="str">
        <f>VLOOKUP(VLOOKUP(order_details[[#This Row],[ProductID]], products[], 4, FALSE), categories[], 2, FALSE)</f>
        <v>Seafood</v>
      </c>
      <c r="H1980">
        <f>VLOOKUP(order_details[[#This Row],[ProductID]], products[], 4, FALSE)</f>
        <v>8</v>
      </c>
      <c r="I1980" t="str">
        <f>VLOOKUP(order_details[[#This Row],[OrderID]], orders[[OrderID]:[ShipCountry]], 14, FALSE)</f>
        <v>Spain</v>
      </c>
      <c r="J1980" s="1">
        <f>_xlfn.XLOOKUP(order_details[[#This Row],[OrderID]], orders[OrderID], orders[Month])</f>
        <v>5</v>
      </c>
    </row>
    <row r="1981" spans="1:10" x14ac:dyDescent="0.35">
      <c r="A1981">
        <v>11013</v>
      </c>
      <c r="B1981">
        <v>68</v>
      </c>
      <c r="C1981">
        <v>12.5</v>
      </c>
      <c r="D1981">
        <v>2</v>
      </c>
      <c r="E1981">
        <v>0</v>
      </c>
      <c r="F1981">
        <v>25</v>
      </c>
      <c r="G1981" t="str">
        <f>VLOOKUP(VLOOKUP(order_details[[#This Row],[ProductID]], products[], 4, FALSE), categories[], 2, FALSE)</f>
        <v>Confections</v>
      </c>
      <c r="H1981">
        <f>VLOOKUP(order_details[[#This Row],[ProductID]], products[], 4, FALSE)</f>
        <v>3</v>
      </c>
      <c r="I1981" t="str">
        <f>VLOOKUP(order_details[[#This Row],[OrderID]], orders[[OrderID]:[ShipCountry]], 14, FALSE)</f>
        <v>Spain</v>
      </c>
      <c r="J1981" s="1">
        <f>_xlfn.XLOOKUP(order_details[[#This Row],[OrderID]], orders[OrderID], orders[Month])</f>
        <v>5</v>
      </c>
    </row>
    <row r="1982" spans="1:10" x14ac:dyDescent="0.35">
      <c r="A1982">
        <v>11014</v>
      </c>
      <c r="B1982">
        <v>41</v>
      </c>
      <c r="C1982">
        <v>9.65</v>
      </c>
      <c r="D1982">
        <v>28</v>
      </c>
      <c r="E1982">
        <v>0.1</v>
      </c>
      <c r="F1982">
        <v>243.18</v>
      </c>
      <c r="G1982" t="str">
        <f>VLOOKUP(VLOOKUP(order_details[[#This Row],[ProductID]], products[], 4, FALSE), categories[], 2, FALSE)</f>
        <v>Seafood</v>
      </c>
      <c r="H1982">
        <f>VLOOKUP(order_details[[#This Row],[ProductID]], products[], 4, FALSE)</f>
        <v>8</v>
      </c>
      <c r="I1982" t="str">
        <f>VLOOKUP(order_details[[#This Row],[OrderID]], orders[[OrderID]:[ShipCountry]], 14, FALSE)</f>
        <v>Venezuela</v>
      </c>
      <c r="J1982" s="1">
        <f>_xlfn.XLOOKUP(order_details[[#This Row],[OrderID]], orders[OrderID], orders[Month])</f>
        <v>5</v>
      </c>
    </row>
    <row r="1983" spans="1:10" x14ac:dyDescent="0.35">
      <c r="A1983">
        <v>11015</v>
      </c>
      <c r="B1983">
        <v>30</v>
      </c>
      <c r="C1983">
        <v>25.89</v>
      </c>
      <c r="D1983">
        <v>15</v>
      </c>
      <c r="E1983">
        <v>0</v>
      </c>
      <c r="F1983">
        <v>388.35</v>
      </c>
      <c r="G1983" t="str">
        <f>VLOOKUP(VLOOKUP(order_details[[#This Row],[ProductID]], products[], 4, FALSE), categories[], 2, FALSE)</f>
        <v>Seafood</v>
      </c>
      <c r="H1983">
        <f>VLOOKUP(order_details[[#This Row],[ProductID]], products[], 4, FALSE)</f>
        <v>8</v>
      </c>
      <c r="I1983" t="str">
        <f>VLOOKUP(order_details[[#This Row],[OrderID]], orders[[OrderID]:[ShipCountry]], 14, FALSE)</f>
        <v>Norway</v>
      </c>
      <c r="J1983" s="1">
        <f>_xlfn.XLOOKUP(order_details[[#This Row],[OrderID]], orders[OrderID], orders[Month])</f>
        <v>5</v>
      </c>
    </row>
    <row r="1984" spans="1:10" x14ac:dyDescent="0.35">
      <c r="A1984">
        <v>11015</v>
      </c>
      <c r="B1984">
        <v>77</v>
      </c>
      <c r="C1984">
        <v>13</v>
      </c>
      <c r="D1984">
        <v>18</v>
      </c>
      <c r="E1984">
        <v>0</v>
      </c>
      <c r="F1984">
        <v>234</v>
      </c>
      <c r="G1984" t="str">
        <f>VLOOKUP(VLOOKUP(order_details[[#This Row],[ProductID]], products[], 4, FALSE), categories[], 2, FALSE)</f>
        <v>Condiments</v>
      </c>
      <c r="H1984">
        <f>VLOOKUP(order_details[[#This Row],[ProductID]], products[], 4, FALSE)</f>
        <v>2</v>
      </c>
      <c r="I1984" t="str">
        <f>VLOOKUP(order_details[[#This Row],[OrderID]], orders[[OrderID]:[ShipCountry]], 14, FALSE)</f>
        <v>Norway</v>
      </c>
      <c r="J1984" s="1">
        <f>_xlfn.XLOOKUP(order_details[[#This Row],[OrderID]], orders[OrderID], orders[Month])</f>
        <v>5</v>
      </c>
    </row>
    <row r="1985" spans="1:10" x14ac:dyDescent="0.35">
      <c r="A1985">
        <v>11016</v>
      </c>
      <c r="B1985">
        <v>31</v>
      </c>
      <c r="C1985">
        <v>12.5</v>
      </c>
      <c r="D1985">
        <v>15</v>
      </c>
      <c r="E1985">
        <v>0</v>
      </c>
      <c r="F1985">
        <v>187.5</v>
      </c>
      <c r="G1985" t="str">
        <f>VLOOKUP(VLOOKUP(order_details[[#This Row],[ProductID]], products[], 4, FALSE), categories[], 2, FALSE)</f>
        <v>Dairy Products</v>
      </c>
      <c r="H1985">
        <f>VLOOKUP(order_details[[#This Row],[ProductID]], products[], 4, FALSE)</f>
        <v>4</v>
      </c>
      <c r="I1985" t="str">
        <f>VLOOKUP(order_details[[#This Row],[OrderID]], orders[[OrderID]:[ShipCountry]], 14, FALSE)</f>
        <v>UK</v>
      </c>
      <c r="J1985" s="1">
        <f>_xlfn.XLOOKUP(order_details[[#This Row],[OrderID]], orders[OrderID], orders[Month])</f>
        <v>5</v>
      </c>
    </row>
    <row r="1986" spans="1:10" x14ac:dyDescent="0.35">
      <c r="A1986">
        <v>11016</v>
      </c>
      <c r="B1986">
        <v>36</v>
      </c>
      <c r="C1986">
        <v>19</v>
      </c>
      <c r="D1986">
        <v>16</v>
      </c>
      <c r="E1986">
        <v>0</v>
      </c>
      <c r="F1986">
        <v>304</v>
      </c>
      <c r="G1986" t="str">
        <f>VLOOKUP(VLOOKUP(order_details[[#This Row],[ProductID]], products[], 4, FALSE), categories[], 2, FALSE)</f>
        <v>Seafood</v>
      </c>
      <c r="H1986">
        <f>VLOOKUP(order_details[[#This Row],[ProductID]], products[], 4, FALSE)</f>
        <v>8</v>
      </c>
      <c r="I1986" t="str">
        <f>VLOOKUP(order_details[[#This Row],[OrderID]], orders[[OrderID]:[ShipCountry]], 14, FALSE)</f>
        <v>UK</v>
      </c>
      <c r="J1986" s="1">
        <f>_xlfn.XLOOKUP(order_details[[#This Row],[OrderID]], orders[OrderID], orders[Month])</f>
        <v>5</v>
      </c>
    </row>
    <row r="1987" spans="1:10" x14ac:dyDescent="0.35">
      <c r="A1987">
        <v>11017</v>
      </c>
      <c r="B1987">
        <v>3</v>
      </c>
      <c r="C1987">
        <v>10</v>
      </c>
      <c r="D1987">
        <v>25</v>
      </c>
      <c r="E1987">
        <v>0</v>
      </c>
      <c r="F1987">
        <v>250</v>
      </c>
      <c r="G1987" t="str">
        <f>VLOOKUP(VLOOKUP(order_details[[#This Row],[ProductID]], products[], 4, FALSE), categories[], 2, FALSE)</f>
        <v>Condiments</v>
      </c>
      <c r="H1987">
        <f>VLOOKUP(order_details[[#This Row],[ProductID]], products[], 4, FALSE)</f>
        <v>2</v>
      </c>
      <c r="I1987" t="str">
        <f>VLOOKUP(order_details[[#This Row],[OrderID]], orders[[OrderID]:[ShipCountry]], 14, FALSE)</f>
        <v>Austria</v>
      </c>
      <c r="J1987" s="1">
        <f>_xlfn.XLOOKUP(order_details[[#This Row],[OrderID]], orders[OrderID], orders[Month])</f>
        <v>5</v>
      </c>
    </row>
    <row r="1988" spans="1:10" x14ac:dyDescent="0.35">
      <c r="A1988">
        <v>11017</v>
      </c>
      <c r="B1988">
        <v>59</v>
      </c>
      <c r="C1988">
        <v>55</v>
      </c>
      <c r="D1988">
        <v>110</v>
      </c>
      <c r="E1988">
        <v>0</v>
      </c>
      <c r="F1988">
        <v>6050</v>
      </c>
      <c r="G1988" t="str">
        <f>VLOOKUP(VLOOKUP(order_details[[#This Row],[ProductID]], products[], 4, FALSE), categories[], 2, FALSE)</f>
        <v>Dairy Products</v>
      </c>
      <c r="H1988">
        <f>VLOOKUP(order_details[[#This Row],[ProductID]], products[], 4, FALSE)</f>
        <v>4</v>
      </c>
      <c r="I1988" t="str">
        <f>VLOOKUP(order_details[[#This Row],[OrderID]], orders[[OrderID]:[ShipCountry]], 14, FALSE)</f>
        <v>Austria</v>
      </c>
      <c r="J1988" s="1">
        <f>_xlfn.XLOOKUP(order_details[[#This Row],[OrderID]], orders[OrderID], orders[Month])</f>
        <v>5</v>
      </c>
    </row>
    <row r="1989" spans="1:10" x14ac:dyDescent="0.35">
      <c r="A1989">
        <v>11017</v>
      </c>
      <c r="B1989">
        <v>70</v>
      </c>
      <c r="C1989">
        <v>15</v>
      </c>
      <c r="D1989">
        <v>30</v>
      </c>
      <c r="E1989">
        <v>0</v>
      </c>
      <c r="F1989">
        <v>450</v>
      </c>
      <c r="G1989" t="str">
        <f>VLOOKUP(VLOOKUP(order_details[[#This Row],[ProductID]], products[], 4, FALSE), categories[], 2, FALSE)</f>
        <v>Beverages</v>
      </c>
      <c r="H1989">
        <f>VLOOKUP(order_details[[#This Row],[ProductID]], products[], 4, FALSE)</f>
        <v>1</v>
      </c>
      <c r="I1989" t="str">
        <f>VLOOKUP(order_details[[#This Row],[OrderID]], orders[[OrderID]:[ShipCountry]], 14, FALSE)</f>
        <v>Austria</v>
      </c>
      <c r="J1989" s="1">
        <f>_xlfn.XLOOKUP(order_details[[#This Row],[OrderID]], orders[OrderID], orders[Month])</f>
        <v>5</v>
      </c>
    </row>
    <row r="1990" spans="1:10" x14ac:dyDescent="0.35">
      <c r="A1990">
        <v>11018</v>
      </c>
      <c r="B1990">
        <v>12</v>
      </c>
      <c r="C1990">
        <v>38</v>
      </c>
      <c r="D1990">
        <v>20</v>
      </c>
      <c r="E1990">
        <v>0</v>
      </c>
      <c r="F1990">
        <v>760</v>
      </c>
      <c r="G1990" t="str">
        <f>VLOOKUP(VLOOKUP(order_details[[#This Row],[ProductID]], products[], 4, FALSE), categories[], 2, FALSE)</f>
        <v>Dairy Products</v>
      </c>
      <c r="H1990">
        <f>VLOOKUP(order_details[[#This Row],[ProductID]], products[], 4, FALSE)</f>
        <v>4</v>
      </c>
      <c r="I1990" t="str">
        <f>VLOOKUP(order_details[[#This Row],[OrderID]], orders[[OrderID]:[ShipCountry]], 14, FALSE)</f>
        <v>USA</v>
      </c>
      <c r="J1990" s="1">
        <f>_xlfn.XLOOKUP(order_details[[#This Row],[OrderID]], orders[OrderID], orders[Month])</f>
        <v>5</v>
      </c>
    </row>
    <row r="1991" spans="1:10" x14ac:dyDescent="0.35">
      <c r="A1991">
        <v>11018</v>
      </c>
      <c r="B1991">
        <v>18</v>
      </c>
      <c r="C1991">
        <v>62.5</v>
      </c>
      <c r="D1991">
        <v>10</v>
      </c>
      <c r="E1991">
        <v>0</v>
      </c>
      <c r="F1991">
        <v>625</v>
      </c>
      <c r="G1991" t="str">
        <f>VLOOKUP(VLOOKUP(order_details[[#This Row],[ProductID]], products[], 4, FALSE), categories[], 2, FALSE)</f>
        <v>Seafood</v>
      </c>
      <c r="H1991">
        <f>VLOOKUP(order_details[[#This Row],[ProductID]], products[], 4, FALSE)</f>
        <v>8</v>
      </c>
      <c r="I1991" t="str">
        <f>VLOOKUP(order_details[[#This Row],[OrderID]], orders[[OrderID]:[ShipCountry]], 14, FALSE)</f>
        <v>USA</v>
      </c>
      <c r="J1991" s="1">
        <f>_xlfn.XLOOKUP(order_details[[#This Row],[OrderID]], orders[OrderID], orders[Month])</f>
        <v>5</v>
      </c>
    </row>
    <row r="1992" spans="1:10" x14ac:dyDescent="0.35">
      <c r="A1992">
        <v>11018</v>
      </c>
      <c r="B1992">
        <v>56</v>
      </c>
      <c r="C1992">
        <v>38</v>
      </c>
      <c r="D1992">
        <v>5</v>
      </c>
      <c r="E1992">
        <v>0</v>
      </c>
      <c r="F1992">
        <v>190</v>
      </c>
      <c r="G1992" t="str">
        <f>VLOOKUP(VLOOKUP(order_details[[#This Row],[ProductID]], products[], 4, FALSE), categories[], 2, FALSE)</f>
        <v>Grains/Cereals</v>
      </c>
      <c r="H1992">
        <f>VLOOKUP(order_details[[#This Row],[ProductID]], products[], 4, FALSE)</f>
        <v>5</v>
      </c>
      <c r="I1992" t="str">
        <f>VLOOKUP(order_details[[#This Row],[OrderID]], orders[[OrderID]:[ShipCountry]], 14, FALSE)</f>
        <v>USA</v>
      </c>
      <c r="J1992" s="1">
        <f>_xlfn.XLOOKUP(order_details[[#This Row],[OrderID]], orders[OrderID], orders[Month])</f>
        <v>5</v>
      </c>
    </row>
    <row r="1993" spans="1:10" x14ac:dyDescent="0.35">
      <c r="A1993">
        <v>11019</v>
      </c>
      <c r="B1993">
        <v>46</v>
      </c>
      <c r="C1993">
        <v>12</v>
      </c>
      <c r="D1993">
        <v>3</v>
      </c>
      <c r="E1993">
        <v>0</v>
      </c>
      <c r="F1993">
        <v>36</v>
      </c>
      <c r="G1993" t="str">
        <f>VLOOKUP(VLOOKUP(order_details[[#This Row],[ProductID]], products[], 4, FALSE), categories[], 2, FALSE)</f>
        <v>Seafood</v>
      </c>
      <c r="H1993">
        <f>VLOOKUP(order_details[[#This Row],[ProductID]], products[], 4, FALSE)</f>
        <v>8</v>
      </c>
      <c r="I1993" t="str">
        <f>VLOOKUP(order_details[[#This Row],[OrderID]], orders[[OrderID]:[ShipCountry]], 14, FALSE)</f>
        <v>Argentina</v>
      </c>
      <c r="J1993" s="1">
        <f>_xlfn.XLOOKUP(order_details[[#This Row],[OrderID]], orders[OrderID], orders[Month])</f>
        <v>5</v>
      </c>
    </row>
    <row r="1994" spans="1:10" x14ac:dyDescent="0.35">
      <c r="A1994">
        <v>11019</v>
      </c>
      <c r="B1994">
        <v>49</v>
      </c>
      <c r="C1994">
        <v>20</v>
      </c>
      <c r="D1994">
        <v>2</v>
      </c>
      <c r="E1994">
        <v>0</v>
      </c>
      <c r="F1994">
        <v>40</v>
      </c>
      <c r="G1994" t="str">
        <f>VLOOKUP(VLOOKUP(order_details[[#This Row],[ProductID]], products[], 4, FALSE), categories[], 2, FALSE)</f>
        <v>Confections</v>
      </c>
      <c r="H1994">
        <f>VLOOKUP(order_details[[#This Row],[ProductID]], products[], 4, FALSE)</f>
        <v>3</v>
      </c>
      <c r="I1994" t="str">
        <f>VLOOKUP(order_details[[#This Row],[OrderID]], orders[[OrderID]:[ShipCountry]], 14, FALSE)</f>
        <v>Argentina</v>
      </c>
      <c r="J1994" s="1">
        <f>_xlfn.XLOOKUP(order_details[[#This Row],[OrderID]], orders[OrderID], orders[Month])</f>
        <v>5</v>
      </c>
    </row>
    <row r="1995" spans="1:10" x14ac:dyDescent="0.35">
      <c r="A1995">
        <v>11020</v>
      </c>
      <c r="B1995">
        <v>10</v>
      </c>
      <c r="C1995">
        <v>31</v>
      </c>
      <c r="D1995">
        <v>24</v>
      </c>
      <c r="E1995">
        <v>0.15</v>
      </c>
      <c r="F1995">
        <v>632.4</v>
      </c>
      <c r="G1995" t="str">
        <f>VLOOKUP(VLOOKUP(order_details[[#This Row],[ProductID]], products[], 4, FALSE), categories[], 2, FALSE)</f>
        <v>Seafood</v>
      </c>
      <c r="H1995">
        <f>VLOOKUP(order_details[[#This Row],[ProductID]], products[], 4, FALSE)</f>
        <v>8</v>
      </c>
      <c r="I1995" t="str">
        <f>VLOOKUP(order_details[[#This Row],[OrderID]], orders[[OrderID]:[ShipCountry]], 14, FALSE)</f>
        <v>Germany</v>
      </c>
      <c r="J1995" s="1">
        <f>_xlfn.XLOOKUP(order_details[[#This Row],[OrderID]], orders[OrderID], orders[Month])</f>
        <v>5</v>
      </c>
    </row>
    <row r="1996" spans="1:10" x14ac:dyDescent="0.35">
      <c r="A1996">
        <v>11021</v>
      </c>
      <c r="B1996">
        <v>2</v>
      </c>
      <c r="C1996">
        <v>19</v>
      </c>
      <c r="D1996">
        <v>11</v>
      </c>
      <c r="E1996">
        <v>0.25</v>
      </c>
      <c r="F1996">
        <v>156.75</v>
      </c>
      <c r="G1996" t="str">
        <f>VLOOKUP(VLOOKUP(order_details[[#This Row],[ProductID]], products[], 4, FALSE), categories[], 2, FALSE)</f>
        <v>Beverages</v>
      </c>
      <c r="H1996">
        <f>VLOOKUP(order_details[[#This Row],[ProductID]], products[], 4, FALSE)</f>
        <v>1</v>
      </c>
      <c r="I1996" t="str">
        <f>VLOOKUP(order_details[[#This Row],[OrderID]], orders[[OrderID]:[ShipCountry]], 14, FALSE)</f>
        <v>Germany</v>
      </c>
      <c r="J1996" s="1">
        <f>_xlfn.XLOOKUP(order_details[[#This Row],[OrderID]], orders[OrderID], orders[Month])</f>
        <v>5</v>
      </c>
    </row>
    <row r="1997" spans="1:10" x14ac:dyDescent="0.35">
      <c r="A1997">
        <v>11021</v>
      </c>
      <c r="B1997">
        <v>20</v>
      </c>
      <c r="C1997">
        <v>81</v>
      </c>
      <c r="D1997">
        <v>15</v>
      </c>
      <c r="E1997">
        <v>0</v>
      </c>
      <c r="F1997">
        <v>1215</v>
      </c>
      <c r="G1997" t="str">
        <f>VLOOKUP(VLOOKUP(order_details[[#This Row],[ProductID]], products[], 4, FALSE), categories[], 2, FALSE)</f>
        <v>Confections</v>
      </c>
      <c r="H1997">
        <f>VLOOKUP(order_details[[#This Row],[ProductID]], products[], 4, FALSE)</f>
        <v>3</v>
      </c>
      <c r="I1997" t="str">
        <f>VLOOKUP(order_details[[#This Row],[OrderID]], orders[[OrderID]:[ShipCountry]], 14, FALSE)</f>
        <v>Germany</v>
      </c>
      <c r="J1997" s="1">
        <f>_xlfn.XLOOKUP(order_details[[#This Row],[OrderID]], orders[OrderID], orders[Month])</f>
        <v>5</v>
      </c>
    </row>
    <row r="1998" spans="1:10" x14ac:dyDescent="0.35">
      <c r="A1998">
        <v>11021</v>
      </c>
      <c r="B1998">
        <v>26</v>
      </c>
      <c r="C1998">
        <v>31.23</v>
      </c>
      <c r="D1998">
        <v>63</v>
      </c>
      <c r="E1998">
        <v>0</v>
      </c>
      <c r="F1998">
        <v>1967.49</v>
      </c>
      <c r="G1998" t="str">
        <f>VLOOKUP(VLOOKUP(order_details[[#This Row],[ProductID]], products[], 4, FALSE), categories[], 2, FALSE)</f>
        <v>Confections</v>
      </c>
      <c r="H1998">
        <f>VLOOKUP(order_details[[#This Row],[ProductID]], products[], 4, FALSE)</f>
        <v>3</v>
      </c>
      <c r="I1998" t="str">
        <f>VLOOKUP(order_details[[#This Row],[OrderID]], orders[[OrderID]:[ShipCountry]], 14, FALSE)</f>
        <v>Germany</v>
      </c>
      <c r="J1998" s="1">
        <f>_xlfn.XLOOKUP(order_details[[#This Row],[OrderID]], orders[OrderID], orders[Month])</f>
        <v>5</v>
      </c>
    </row>
    <row r="1999" spans="1:10" x14ac:dyDescent="0.35">
      <c r="A1999">
        <v>11021</v>
      </c>
      <c r="B1999">
        <v>51</v>
      </c>
      <c r="C1999">
        <v>53</v>
      </c>
      <c r="D1999">
        <v>44</v>
      </c>
      <c r="E1999">
        <v>0.25</v>
      </c>
      <c r="F1999">
        <v>1749</v>
      </c>
      <c r="G1999" t="str">
        <f>VLOOKUP(VLOOKUP(order_details[[#This Row],[ProductID]], products[], 4, FALSE), categories[], 2, FALSE)</f>
        <v>Produce</v>
      </c>
      <c r="H1999">
        <f>VLOOKUP(order_details[[#This Row],[ProductID]], products[], 4, FALSE)</f>
        <v>7</v>
      </c>
      <c r="I1999" t="str">
        <f>VLOOKUP(order_details[[#This Row],[OrderID]], orders[[OrderID]:[ShipCountry]], 14, FALSE)</f>
        <v>Germany</v>
      </c>
      <c r="J1999" s="1">
        <f>_xlfn.XLOOKUP(order_details[[#This Row],[OrderID]], orders[OrderID], orders[Month])</f>
        <v>5</v>
      </c>
    </row>
    <row r="2000" spans="1:10" x14ac:dyDescent="0.35">
      <c r="A2000">
        <v>11021</v>
      </c>
      <c r="B2000">
        <v>72</v>
      </c>
      <c r="C2000">
        <v>34.799999999999997</v>
      </c>
      <c r="D2000">
        <v>35</v>
      </c>
      <c r="E2000">
        <v>0</v>
      </c>
      <c r="F2000">
        <v>1218</v>
      </c>
      <c r="G2000" t="str">
        <f>VLOOKUP(VLOOKUP(order_details[[#This Row],[ProductID]], products[], 4, FALSE), categories[], 2, FALSE)</f>
        <v>Dairy Products</v>
      </c>
      <c r="H2000">
        <f>VLOOKUP(order_details[[#This Row],[ProductID]], products[], 4, FALSE)</f>
        <v>4</v>
      </c>
      <c r="I2000" t="str">
        <f>VLOOKUP(order_details[[#This Row],[OrderID]], orders[[OrderID]:[ShipCountry]], 14, FALSE)</f>
        <v>Germany</v>
      </c>
      <c r="J2000" s="1">
        <f>_xlfn.XLOOKUP(order_details[[#This Row],[OrderID]], orders[OrderID], orders[Month])</f>
        <v>5</v>
      </c>
    </row>
    <row r="2001" spans="1:10" x14ac:dyDescent="0.35">
      <c r="A2001">
        <v>11022</v>
      </c>
      <c r="B2001">
        <v>19</v>
      </c>
      <c r="C2001">
        <v>9.1999999999999993</v>
      </c>
      <c r="D2001">
        <v>35</v>
      </c>
      <c r="E2001">
        <v>0</v>
      </c>
      <c r="F2001">
        <v>322</v>
      </c>
      <c r="G2001" t="str">
        <f>VLOOKUP(VLOOKUP(order_details[[#This Row],[ProductID]], products[], 4, FALSE), categories[], 2, FALSE)</f>
        <v>Confections</v>
      </c>
      <c r="H2001">
        <f>VLOOKUP(order_details[[#This Row],[ProductID]], products[], 4, FALSE)</f>
        <v>3</v>
      </c>
      <c r="I2001" t="str">
        <f>VLOOKUP(order_details[[#This Row],[OrderID]], orders[[OrderID]:[ShipCountry]], 14, FALSE)</f>
        <v>Brazil</v>
      </c>
      <c r="J2001" s="1">
        <f>_xlfn.XLOOKUP(order_details[[#This Row],[OrderID]], orders[OrderID], orders[Month])</f>
        <v>5</v>
      </c>
    </row>
    <row r="2002" spans="1:10" x14ac:dyDescent="0.35">
      <c r="A2002">
        <v>11022</v>
      </c>
      <c r="B2002">
        <v>69</v>
      </c>
      <c r="C2002">
        <v>36</v>
      </c>
      <c r="D2002">
        <v>30</v>
      </c>
      <c r="E2002">
        <v>0</v>
      </c>
      <c r="F2002">
        <v>1080</v>
      </c>
      <c r="G2002" t="str">
        <f>VLOOKUP(VLOOKUP(order_details[[#This Row],[ProductID]], products[], 4, FALSE), categories[], 2, FALSE)</f>
        <v>Dairy Products</v>
      </c>
      <c r="H2002">
        <f>VLOOKUP(order_details[[#This Row],[ProductID]], products[], 4, FALSE)</f>
        <v>4</v>
      </c>
      <c r="I2002" t="str">
        <f>VLOOKUP(order_details[[#This Row],[OrderID]], orders[[OrderID]:[ShipCountry]], 14, FALSE)</f>
        <v>Brazil</v>
      </c>
      <c r="J2002" s="1">
        <f>_xlfn.XLOOKUP(order_details[[#This Row],[OrderID]], orders[OrderID], orders[Month])</f>
        <v>5</v>
      </c>
    </row>
    <row r="2003" spans="1:10" x14ac:dyDescent="0.35">
      <c r="A2003">
        <v>11023</v>
      </c>
      <c r="B2003">
        <v>7</v>
      </c>
      <c r="C2003">
        <v>30</v>
      </c>
      <c r="D2003">
        <v>4</v>
      </c>
      <c r="E2003">
        <v>0</v>
      </c>
      <c r="F2003">
        <v>120</v>
      </c>
      <c r="G2003" t="str">
        <f>VLOOKUP(VLOOKUP(order_details[[#This Row],[ProductID]], products[], 4, FALSE), categories[], 2, FALSE)</f>
        <v>Produce</v>
      </c>
      <c r="H2003">
        <f>VLOOKUP(order_details[[#This Row],[ProductID]], products[], 4, FALSE)</f>
        <v>7</v>
      </c>
      <c r="I2003" t="str">
        <f>VLOOKUP(order_details[[#This Row],[OrderID]], orders[[OrderID]:[ShipCountry]], 14, FALSE)</f>
        <v>UK</v>
      </c>
      <c r="J2003" s="1">
        <f>_xlfn.XLOOKUP(order_details[[#This Row],[OrderID]], orders[OrderID], orders[Month])</f>
        <v>5</v>
      </c>
    </row>
    <row r="2004" spans="1:10" x14ac:dyDescent="0.35">
      <c r="A2004">
        <v>11023</v>
      </c>
      <c r="B2004">
        <v>43</v>
      </c>
      <c r="C2004">
        <v>46</v>
      </c>
      <c r="D2004">
        <v>30</v>
      </c>
      <c r="E2004">
        <v>0</v>
      </c>
      <c r="F2004">
        <v>1380</v>
      </c>
      <c r="G2004" t="str">
        <f>VLOOKUP(VLOOKUP(order_details[[#This Row],[ProductID]], products[], 4, FALSE), categories[], 2, FALSE)</f>
        <v>Beverages</v>
      </c>
      <c r="H2004">
        <f>VLOOKUP(order_details[[#This Row],[ProductID]], products[], 4, FALSE)</f>
        <v>1</v>
      </c>
      <c r="I2004" t="str">
        <f>VLOOKUP(order_details[[#This Row],[OrderID]], orders[[OrderID]:[ShipCountry]], 14, FALSE)</f>
        <v>UK</v>
      </c>
      <c r="J2004" s="1">
        <f>_xlfn.XLOOKUP(order_details[[#This Row],[OrderID]], orders[OrderID], orders[Month])</f>
        <v>5</v>
      </c>
    </row>
    <row r="2005" spans="1:10" x14ac:dyDescent="0.35">
      <c r="A2005">
        <v>11024</v>
      </c>
      <c r="B2005">
        <v>26</v>
      </c>
      <c r="C2005">
        <v>31.23</v>
      </c>
      <c r="D2005">
        <v>12</v>
      </c>
      <c r="E2005">
        <v>0</v>
      </c>
      <c r="F2005">
        <v>374.76</v>
      </c>
      <c r="G2005" t="str">
        <f>VLOOKUP(VLOOKUP(order_details[[#This Row],[ProductID]], products[], 4, FALSE), categories[], 2, FALSE)</f>
        <v>Confections</v>
      </c>
      <c r="H2005">
        <f>VLOOKUP(order_details[[#This Row],[ProductID]], products[], 4, FALSE)</f>
        <v>3</v>
      </c>
      <c r="I2005" t="str">
        <f>VLOOKUP(order_details[[#This Row],[OrderID]], orders[[OrderID]:[ShipCountry]], 14, FALSE)</f>
        <v>UK</v>
      </c>
      <c r="J2005" s="1">
        <f>_xlfn.XLOOKUP(order_details[[#This Row],[OrderID]], orders[OrderID], orders[Month])</f>
        <v>5</v>
      </c>
    </row>
    <row r="2006" spans="1:10" x14ac:dyDescent="0.35">
      <c r="A2006">
        <v>11024</v>
      </c>
      <c r="B2006">
        <v>33</v>
      </c>
      <c r="C2006">
        <v>2.5</v>
      </c>
      <c r="D2006">
        <v>30</v>
      </c>
      <c r="E2006">
        <v>0</v>
      </c>
      <c r="F2006">
        <v>75</v>
      </c>
      <c r="G2006" t="str">
        <f>VLOOKUP(VLOOKUP(order_details[[#This Row],[ProductID]], products[], 4, FALSE), categories[], 2, FALSE)</f>
        <v>Dairy Products</v>
      </c>
      <c r="H2006">
        <f>VLOOKUP(order_details[[#This Row],[ProductID]], products[], 4, FALSE)</f>
        <v>4</v>
      </c>
      <c r="I2006" t="str">
        <f>VLOOKUP(order_details[[#This Row],[OrderID]], orders[[OrderID]:[ShipCountry]], 14, FALSE)</f>
        <v>UK</v>
      </c>
      <c r="J2006" s="1">
        <f>_xlfn.XLOOKUP(order_details[[#This Row],[OrderID]], orders[OrderID], orders[Month])</f>
        <v>5</v>
      </c>
    </row>
    <row r="2007" spans="1:10" x14ac:dyDescent="0.35">
      <c r="A2007">
        <v>11024</v>
      </c>
      <c r="B2007">
        <v>65</v>
      </c>
      <c r="C2007">
        <v>21.05</v>
      </c>
      <c r="D2007">
        <v>21</v>
      </c>
      <c r="E2007">
        <v>0</v>
      </c>
      <c r="F2007">
        <v>442.05</v>
      </c>
      <c r="G2007" t="str">
        <f>VLOOKUP(VLOOKUP(order_details[[#This Row],[ProductID]], products[], 4, FALSE), categories[], 2, FALSE)</f>
        <v>Condiments</v>
      </c>
      <c r="H2007">
        <f>VLOOKUP(order_details[[#This Row],[ProductID]], products[], 4, FALSE)</f>
        <v>2</v>
      </c>
      <c r="I2007" t="str">
        <f>VLOOKUP(order_details[[#This Row],[OrderID]], orders[[OrderID]:[ShipCountry]], 14, FALSE)</f>
        <v>UK</v>
      </c>
      <c r="J2007" s="1">
        <f>_xlfn.XLOOKUP(order_details[[#This Row],[OrderID]], orders[OrderID], orders[Month])</f>
        <v>5</v>
      </c>
    </row>
    <row r="2008" spans="1:10" x14ac:dyDescent="0.35">
      <c r="A2008">
        <v>11024</v>
      </c>
      <c r="B2008">
        <v>71</v>
      </c>
      <c r="C2008">
        <v>21.5</v>
      </c>
      <c r="D2008">
        <v>50</v>
      </c>
      <c r="E2008">
        <v>0</v>
      </c>
      <c r="F2008">
        <v>1075</v>
      </c>
      <c r="G2008" t="str">
        <f>VLOOKUP(VLOOKUP(order_details[[#This Row],[ProductID]], products[], 4, FALSE), categories[], 2, FALSE)</f>
        <v>Dairy Products</v>
      </c>
      <c r="H2008">
        <f>VLOOKUP(order_details[[#This Row],[ProductID]], products[], 4, FALSE)</f>
        <v>4</v>
      </c>
      <c r="I2008" t="str">
        <f>VLOOKUP(order_details[[#This Row],[OrderID]], orders[[OrderID]:[ShipCountry]], 14, FALSE)</f>
        <v>UK</v>
      </c>
      <c r="J2008" s="1">
        <f>_xlfn.XLOOKUP(order_details[[#This Row],[OrderID]], orders[OrderID], orders[Month])</f>
        <v>5</v>
      </c>
    </row>
    <row r="2009" spans="1:10" x14ac:dyDescent="0.35">
      <c r="A2009">
        <v>11025</v>
      </c>
      <c r="B2009">
        <v>1</v>
      </c>
      <c r="C2009">
        <v>18</v>
      </c>
      <c r="D2009">
        <v>10</v>
      </c>
      <c r="E2009">
        <v>0.1</v>
      </c>
      <c r="F2009">
        <v>162</v>
      </c>
      <c r="G2009" t="str">
        <f>VLOOKUP(VLOOKUP(order_details[[#This Row],[ProductID]], products[], 4, FALSE), categories[], 2, FALSE)</f>
        <v>Beverages</v>
      </c>
      <c r="H2009">
        <f>VLOOKUP(order_details[[#This Row],[ProductID]], products[], 4, FALSE)</f>
        <v>1</v>
      </c>
      <c r="I2009" t="str">
        <f>VLOOKUP(order_details[[#This Row],[OrderID]], orders[[OrderID]:[ShipCountry]], 14, FALSE)</f>
        <v>Finland</v>
      </c>
      <c r="J2009" s="1">
        <f>_xlfn.XLOOKUP(order_details[[#This Row],[OrderID]], orders[OrderID], orders[Month])</f>
        <v>5</v>
      </c>
    </row>
    <row r="2010" spans="1:10" x14ac:dyDescent="0.35">
      <c r="A2010">
        <v>11025</v>
      </c>
      <c r="B2010">
        <v>13</v>
      </c>
      <c r="C2010">
        <v>6</v>
      </c>
      <c r="D2010">
        <v>20</v>
      </c>
      <c r="E2010">
        <v>0.1</v>
      </c>
      <c r="F2010">
        <v>108</v>
      </c>
      <c r="G2010" t="str">
        <f>VLOOKUP(VLOOKUP(order_details[[#This Row],[ProductID]], products[], 4, FALSE), categories[], 2, FALSE)</f>
        <v>Seafood</v>
      </c>
      <c r="H2010">
        <f>VLOOKUP(order_details[[#This Row],[ProductID]], products[], 4, FALSE)</f>
        <v>8</v>
      </c>
      <c r="I2010" t="str">
        <f>VLOOKUP(order_details[[#This Row],[OrderID]], orders[[OrderID]:[ShipCountry]], 14, FALSE)</f>
        <v>Finland</v>
      </c>
      <c r="J2010" s="1">
        <f>_xlfn.XLOOKUP(order_details[[#This Row],[OrderID]], orders[OrderID], orders[Month])</f>
        <v>5</v>
      </c>
    </row>
    <row r="2011" spans="1:10" x14ac:dyDescent="0.35">
      <c r="A2011">
        <v>11026</v>
      </c>
      <c r="B2011">
        <v>18</v>
      </c>
      <c r="C2011">
        <v>62.5</v>
      </c>
      <c r="D2011">
        <v>8</v>
      </c>
      <c r="E2011">
        <v>0</v>
      </c>
      <c r="F2011">
        <v>500</v>
      </c>
      <c r="G2011" t="str">
        <f>VLOOKUP(VLOOKUP(order_details[[#This Row],[ProductID]], products[], 4, FALSE), categories[], 2, FALSE)</f>
        <v>Seafood</v>
      </c>
      <c r="H2011">
        <f>VLOOKUP(order_details[[#This Row],[ProductID]], products[], 4, FALSE)</f>
        <v>8</v>
      </c>
      <c r="I2011" t="str">
        <f>VLOOKUP(order_details[[#This Row],[OrderID]], orders[[OrderID]:[ShipCountry]], 14, FALSE)</f>
        <v>Italy</v>
      </c>
      <c r="J2011" s="1">
        <f>_xlfn.XLOOKUP(order_details[[#This Row],[OrderID]], orders[OrderID], orders[Month])</f>
        <v>5</v>
      </c>
    </row>
    <row r="2012" spans="1:10" x14ac:dyDescent="0.35">
      <c r="A2012">
        <v>11026</v>
      </c>
      <c r="B2012">
        <v>51</v>
      </c>
      <c r="C2012">
        <v>53</v>
      </c>
      <c r="D2012">
        <v>10</v>
      </c>
      <c r="E2012">
        <v>0</v>
      </c>
      <c r="F2012">
        <v>530</v>
      </c>
      <c r="G2012" t="str">
        <f>VLOOKUP(VLOOKUP(order_details[[#This Row],[ProductID]], products[], 4, FALSE), categories[], 2, FALSE)</f>
        <v>Produce</v>
      </c>
      <c r="H2012">
        <f>VLOOKUP(order_details[[#This Row],[ProductID]], products[], 4, FALSE)</f>
        <v>7</v>
      </c>
      <c r="I2012" t="str">
        <f>VLOOKUP(order_details[[#This Row],[OrderID]], orders[[OrderID]:[ShipCountry]], 14, FALSE)</f>
        <v>Italy</v>
      </c>
      <c r="J2012" s="1">
        <f>_xlfn.XLOOKUP(order_details[[#This Row],[OrderID]], orders[OrderID], orders[Month])</f>
        <v>5</v>
      </c>
    </row>
    <row r="2013" spans="1:10" x14ac:dyDescent="0.35">
      <c r="A2013">
        <v>11027</v>
      </c>
      <c r="B2013">
        <v>24</v>
      </c>
      <c r="C2013">
        <v>4.5</v>
      </c>
      <c r="D2013">
        <v>30</v>
      </c>
      <c r="E2013">
        <v>0.25</v>
      </c>
      <c r="F2013">
        <v>101.25</v>
      </c>
      <c r="G2013" t="str">
        <f>VLOOKUP(VLOOKUP(order_details[[#This Row],[ProductID]], products[], 4, FALSE), categories[], 2, FALSE)</f>
        <v>Beverages</v>
      </c>
      <c r="H2013">
        <f>VLOOKUP(order_details[[#This Row],[ProductID]], products[], 4, FALSE)</f>
        <v>1</v>
      </c>
      <c r="I2013" t="str">
        <f>VLOOKUP(order_details[[#This Row],[OrderID]], orders[[OrderID]:[ShipCountry]], 14, FALSE)</f>
        <v>Canada</v>
      </c>
      <c r="J2013" s="1">
        <f>_xlfn.XLOOKUP(order_details[[#This Row],[OrderID]], orders[OrderID], orders[Month])</f>
        <v>5</v>
      </c>
    </row>
    <row r="2014" spans="1:10" x14ac:dyDescent="0.35">
      <c r="A2014">
        <v>11027</v>
      </c>
      <c r="B2014">
        <v>62</v>
      </c>
      <c r="C2014">
        <v>49.3</v>
      </c>
      <c r="D2014">
        <v>21</v>
      </c>
      <c r="E2014">
        <v>0.25</v>
      </c>
      <c r="F2014">
        <v>776.47499999999991</v>
      </c>
      <c r="G2014" t="str">
        <f>VLOOKUP(VLOOKUP(order_details[[#This Row],[ProductID]], products[], 4, FALSE), categories[], 2, FALSE)</f>
        <v>Confections</v>
      </c>
      <c r="H2014">
        <f>VLOOKUP(order_details[[#This Row],[ProductID]], products[], 4, FALSE)</f>
        <v>3</v>
      </c>
      <c r="I2014" t="str">
        <f>VLOOKUP(order_details[[#This Row],[OrderID]], orders[[OrderID]:[ShipCountry]], 14, FALSE)</f>
        <v>Canada</v>
      </c>
      <c r="J2014" s="1">
        <f>_xlfn.XLOOKUP(order_details[[#This Row],[OrderID]], orders[OrderID], orders[Month])</f>
        <v>5</v>
      </c>
    </row>
    <row r="2015" spans="1:10" x14ac:dyDescent="0.35">
      <c r="A2015">
        <v>11028</v>
      </c>
      <c r="B2015">
        <v>55</v>
      </c>
      <c r="C2015">
        <v>24</v>
      </c>
      <c r="D2015">
        <v>35</v>
      </c>
      <c r="E2015">
        <v>0</v>
      </c>
      <c r="F2015">
        <v>840</v>
      </c>
      <c r="G2015" t="str">
        <f>VLOOKUP(VLOOKUP(order_details[[#This Row],[ProductID]], products[], 4, FALSE), categories[], 2, FALSE)</f>
        <v>Meat/Poultry</v>
      </c>
      <c r="H2015">
        <f>VLOOKUP(order_details[[#This Row],[ProductID]], products[], 4, FALSE)</f>
        <v>6</v>
      </c>
      <c r="I2015" t="str">
        <f>VLOOKUP(order_details[[#This Row],[OrderID]], orders[[OrderID]:[ShipCountry]], 14, FALSE)</f>
        <v>Germany</v>
      </c>
      <c r="J2015" s="1">
        <f>_xlfn.XLOOKUP(order_details[[#This Row],[OrderID]], orders[OrderID], orders[Month])</f>
        <v>5</v>
      </c>
    </row>
    <row r="2016" spans="1:10" x14ac:dyDescent="0.35">
      <c r="A2016">
        <v>11028</v>
      </c>
      <c r="B2016">
        <v>59</v>
      </c>
      <c r="C2016">
        <v>55</v>
      </c>
      <c r="D2016">
        <v>24</v>
      </c>
      <c r="E2016">
        <v>0</v>
      </c>
      <c r="F2016">
        <v>1320</v>
      </c>
      <c r="G2016" t="str">
        <f>VLOOKUP(VLOOKUP(order_details[[#This Row],[ProductID]], products[], 4, FALSE), categories[], 2, FALSE)</f>
        <v>Dairy Products</v>
      </c>
      <c r="H2016">
        <f>VLOOKUP(order_details[[#This Row],[ProductID]], products[], 4, FALSE)</f>
        <v>4</v>
      </c>
      <c r="I2016" t="str">
        <f>VLOOKUP(order_details[[#This Row],[OrderID]], orders[[OrderID]:[ShipCountry]], 14, FALSE)</f>
        <v>Germany</v>
      </c>
      <c r="J2016" s="1">
        <f>_xlfn.XLOOKUP(order_details[[#This Row],[OrderID]], orders[OrderID], orders[Month])</f>
        <v>5</v>
      </c>
    </row>
    <row r="2017" spans="1:10" x14ac:dyDescent="0.35">
      <c r="A2017">
        <v>11029</v>
      </c>
      <c r="B2017">
        <v>56</v>
      </c>
      <c r="C2017">
        <v>38</v>
      </c>
      <c r="D2017">
        <v>20</v>
      </c>
      <c r="E2017">
        <v>0</v>
      </c>
      <c r="F2017">
        <v>760</v>
      </c>
      <c r="G2017" t="str">
        <f>VLOOKUP(VLOOKUP(order_details[[#This Row],[ProductID]], products[], 4, FALSE), categories[], 2, FALSE)</f>
        <v>Grains/Cereals</v>
      </c>
      <c r="H2017">
        <f>VLOOKUP(order_details[[#This Row],[ProductID]], products[], 4, FALSE)</f>
        <v>5</v>
      </c>
      <c r="I2017" t="str">
        <f>VLOOKUP(order_details[[#This Row],[OrderID]], orders[[OrderID]:[ShipCountry]], 14, FALSE)</f>
        <v>Switzerland</v>
      </c>
      <c r="J2017" s="1">
        <f>_xlfn.XLOOKUP(order_details[[#This Row],[OrderID]], orders[OrderID], orders[Month])</f>
        <v>5</v>
      </c>
    </row>
    <row r="2018" spans="1:10" x14ac:dyDescent="0.35">
      <c r="A2018">
        <v>11029</v>
      </c>
      <c r="B2018">
        <v>63</v>
      </c>
      <c r="C2018">
        <v>43.9</v>
      </c>
      <c r="D2018">
        <v>12</v>
      </c>
      <c r="E2018">
        <v>0</v>
      </c>
      <c r="F2018">
        <v>526.79999999999995</v>
      </c>
      <c r="G2018" t="str">
        <f>VLOOKUP(VLOOKUP(order_details[[#This Row],[ProductID]], products[], 4, FALSE), categories[], 2, FALSE)</f>
        <v>Condiments</v>
      </c>
      <c r="H2018">
        <f>VLOOKUP(order_details[[#This Row],[ProductID]], products[], 4, FALSE)</f>
        <v>2</v>
      </c>
      <c r="I2018" t="str">
        <f>VLOOKUP(order_details[[#This Row],[OrderID]], orders[[OrderID]:[ShipCountry]], 14, FALSE)</f>
        <v>Switzerland</v>
      </c>
      <c r="J2018" s="1">
        <f>_xlfn.XLOOKUP(order_details[[#This Row],[OrderID]], orders[OrderID], orders[Month])</f>
        <v>5</v>
      </c>
    </row>
    <row r="2019" spans="1:10" x14ac:dyDescent="0.35">
      <c r="A2019">
        <v>11030</v>
      </c>
      <c r="B2019">
        <v>2</v>
      </c>
      <c r="C2019">
        <v>19</v>
      </c>
      <c r="D2019">
        <v>100</v>
      </c>
      <c r="E2019">
        <v>0.25</v>
      </c>
      <c r="F2019">
        <v>1425</v>
      </c>
      <c r="G2019" t="str">
        <f>VLOOKUP(VLOOKUP(order_details[[#This Row],[ProductID]], products[], 4, FALSE), categories[], 2, FALSE)</f>
        <v>Beverages</v>
      </c>
      <c r="H2019">
        <f>VLOOKUP(order_details[[#This Row],[ProductID]], products[], 4, FALSE)</f>
        <v>1</v>
      </c>
      <c r="I2019" t="str">
        <f>VLOOKUP(order_details[[#This Row],[OrderID]], orders[[OrderID]:[ShipCountry]], 14, FALSE)</f>
        <v>USA</v>
      </c>
      <c r="J2019" s="1">
        <f>_xlfn.XLOOKUP(order_details[[#This Row],[OrderID]], orders[OrderID], orders[Month])</f>
        <v>5</v>
      </c>
    </row>
    <row r="2020" spans="1:10" x14ac:dyDescent="0.35">
      <c r="A2020">
        <v>11030</v>
      </c>
      <c r="B2020">
        <v>5</v>
      </c>
      <c r="C2020">
        <v>21.35</v>
      </c>
      <c r="D2020">
        <v>70</v>
      </c>
      <c r="E2020">
        <v>0</v>
      </c>
      <c r="F2020">
        <v>1494.5</v>
      </c>
      <c r="G2020" t="str">
        <f>VLOOKUP(VLOOKUP(order_details[[#This Row],[ProductID]], products[], 4, FALSE), categories[], 2, FALSE)</f>
        <v>Condiments</v>
      </c>
      <c r="H2020">
        <f>VLOOKUP(order_details[[#This Row],[ProductID]], products[], 4, FALSE)</f>
        <v>2</v>
      </c>
      <c r="I2020" t="str">
        <f>VLOOKUP(order_details[[#This Row],[OrderID]], orders[[OrderID]:[ShipCountry]], 14, FALSE)</f>
        <v>USA</v>
      </c>
      <c r="J2020" s="1">
        <f>_xlfn.XLOOKUP(order_details[[#This Row],[OrderID]], orders[OrderID], orders[Month])</f>
        <v>5</v>
      </c>
    </row>
    <row r="2021" spans="1:10" x14ac:dyDescent="0.35">
      <c r="A2021">
        <v>11030</v>
      </c>
      <c r="B2021">
        <v>29</v>
      </c>
      <c r="C2021">
        <v>123.79</v>
      </c>
      <c r="D2021">
        <v>60</v>
      </c>
      <c r="E2021">
        <v>0.25</v>
      </c>
      <c r="F2021">
        <v>5570.55</v>
      </c>
      <c r="G2021" t="str">
        <f>VLOOKUP(VLOOKUP(order_details[[#This Row],[ProductID]], products[], 4, FALSE), categories[], 2, FALSE)</f>
        <v>Meat/Poultry</v>
      </c>
      <c r="H2021">
        <f>VLOOKUP(order_details[[#This Row],[ProductID]], products[], 4, FALSE)</f>
        <v>6</v>
      </c>
      <c r="I2021" t="str">
        <f>VLOOKUP(order_details[[#This Row],[OrderID]], orders[[OrderID]:[ShipCountry]], 14, FALSE)</f>
        <v>USA</v>
      </c>
      <c r="J2021" s="1">
        <f>_xlfn.XLOOKUP(order_details[[#This Row],[OrderID]], orders[OrderID], orders[Month])</f>
        <v>5</v>
      </c>
    </row>
    <row r="2022" spans="1:10" x14ac:dyDescent="0.35">
      <c r="A2022">
        <v>11030</v>
      </c>
      <c r="B2022">
        <v>59</v>
      </c>
      <c r="C2022">
        <v>55</v>
      </c>
      <c r="D2022">
        <v>100</v>
      </c>
      <c r="E2022">
        <v>0.25</v>
      </c>
      <c r="F2022">
        <v>4125</v>
      </c>
      <c r="G2022" t="str">
        <f>VLOOKUP(VLOOKUP(order_details[[#This Row],[ProductID]], products[], 4, FALSE), categories[], 2, FALSE)</f>
        <v>Dairy Products</v>
      </c>
      <c r="H2022">
        <f>VLOOKUP(order_details[[#This Row],[ProductID]], products[], 4, FALSE)</f>
        <v>4</v>
      </c>
      <c r="I2022" t="str">
        <f>VLOOKUP(order_details[[#This Row],[OrderID]], orders[[OrderID]:[ShipCountry]], 14, FALSE)</f>
        <v>USA</v>
      </c>
      <c r="J2022" s="1">
        <f>_xlfn.XLOOKUP(order_details[[#This Row],[OrderID]], orders[OrderID], orders[Month])</f>
        <v>5</v>
      </c>
    </row>
    <row r="2023" spans="1:10" x14ac:dyDescent="0.35">
      <c r="A2023">
        <v>11031</v>
      </c>
      <c r="B2023">
        <v>1</v>
      </c>
      <c r="C2023">
        <v>18</v>
      </c>
      <c r="D2023">
        <v>45</v>
      </c>
      <c r="E2023">
        <v>0</v>
      </c>
      <c r="F2023">
        <v>810</v>
      </c>
      <c r="G2023" t="str">
        <f>VLOOKUP(VLOOKUP(order_details[[#This Row],[ProductID]], products[], 4, FALSE), categories[], 2, FALSE)</f>
        <v>Beverages</v>
      </c>
      <c r="H2023">
        <f>VLOOKUP(order_details[[#This Row],[ProductID]], products[], 4, FALSE)</f>
        <v>1</v>
      </c>
      <c r="I2023" t="str">
        <f>VLOOKUP(order_details[[#This Row],[OrderID]], orders[[OrderID]:[ShipCountry]], 14, FALSE)</f>
        <v>USA</v>
      </c>
      <c r="J2023" s="1">
        <f>_xlfn.XLOOKUP(order_details[[#This Row],[OrderID]], orders[OrderID], orders[Month])</f>
        <v>5</v>
      </c>
    </row>
    <row r="2024" spans="1:10" x14ac:dyDescent="0.35">
      <c r="A2024">
        <v>11031</v>
      </c>
      <c r="B2024">
        <v>13</v>
      </c>
      <c r="C2024">
        <v>6</v>
      </c>
      <c r="D2024">
        <v>80</v>
      </c>
      <c r="E2024">
        <v>0</v>
      </c>
      <c r="F2024">
        <v>480</v>
      </c>
      <c r="G2024" t="str">
        <f>VLOOKUP(VLOOKUP(order_details[[#This Row],[ProductID]], products[], 4, FALSE), categories[], 2, FALSE)</f>
        <v>Seafood</v>
      </c>
      <c r="H2024">
        <f>VLOOKUP(order_details[[#This Row],[ProductID]], products[], 4, FALSE)</f>
        <v>8</v>
      </c>
      <c r="I2024" t="str">
        <f>VLOOKUP(order_details[[#This Row],[OrderID]], orders[[OrderID]:[ShipCountry]], 14, FALSE)</f>
        <v>USA</v>
      </c>
      <c r="J2024" s="1">
        <f>_xlfn.XLOOKUP(order_details[[#This Row],[OrderID]], orders[OrderID], orders[Month])</f>
        <v>5</v>
      </c>
    </row>
    <row r="2025" spans="1:10" x14ac:dyDescent="0.35">
      <c r="A2025">
        <v>11031</v>
      </c>
      <c r="B2025">
        <v>24</v>
      </c>
      <c r="C2025">
        <v>4.5</v>
      </c>
      <c r="D2025">
        <v>21</v>
      </c>
      <c r="E2025">
        <v>0</v>
      </c>
      <c r="F2025">
        <v>94.5</v>
      </c>
      <c r="G2025" t="str">
        <f>VLOOKUP(VLOOKUP(order_details[[#This Row],[ProductID]], products[], 4, FALSE), categories[], 2, FALSE)</f>
        <v>Beverages</v>
      </c>
      <c r="H2025">
        <f>VLOOKUP(order_details[[#This Row],[ProductID]], products[], 4, FALSE)</f>
        <v>1</v>
      </c>
      <c r="I2025" t="str">
        <f>VLOOKUP(order_details[[#This Row],[OrderID]], orders[[OrderID]:[ShipCountry]], 14, FALSE)</f>
        <v>USA</v>
      </c>
      <c r="J2025" s="1">
        <f>_xlfn.XLOOKUP(order_details[[#This Row],[OrderID]], orders[OrderID], orders[Month])</f>
        <v>5</v>
      </c>
    </row>
    <row r="2026" spans="1:10" x14ac:dyDescent="0.35">
      <c r="A2026">
        <v>11031</v>
      </c>
      <c r="B2026">
        <v>64</v>
      </c>
      <c r="C2026">
        <v>33.25</v>
      </c>
      <c r="D2026">
        <v>20</v>
      </c>
      <c r="E2026">
        <v>0</v>
      </c>
      <c r="F2026">
        <v>665</v>
      </c>
      <c r="G2026" t="str">
        <f>VLOOKUP(VLOOKUP(order_details[[#This Row],[ProductID]], products[], 4, FALSE), categories[], 2, FALSE)</f>
        <v>Grains/Cereals</v>
      </c>
      <c r="H2026">
        <f>VLOOKUP(order_details[[#This Row],[ProductID]], products[], 4, FALSE)</f>
        <v>5</v>
      </c>
      <c r="I2026" t="str">
        <f>VLOOKUP(order_details[[#This Row],[OrderID]], orders[[OrderID]:[ShipCountry]], 14, FALSE)</f>
        <v>USA</v>
      </c>
      <c r="J2026" s="1">
        <f>_xlfn.XLOOKUP(order_details[[#This Row],[OrderID]], orders[OrderID], orders[Month])</f>
        <v>5</v>
      </c>
    </row>
    <row r="2027" spans="1:10" x14ac:dyDescent="0.35">
      <c r="A2027">
        <v>11031</v>
      </c>
      <c r="B2027">
        <v>71</v>
      </c>
      <c r="C2027">
        <v>21.5</v>
      </c>
      <c r="D2027">
        <v>16</v>
      </c>
      <c r="E2027">
        <v>0</v>
      </c>
      <c r="F2027">
        <v>344</v>
      </c>
      <c r="G2027" t="str">
        <f>VLOOKUP(VLOOKUP(order_details[[#This Row],[ProductID]], products[], 4, FALSE), categories[], 2, FALSE)</f>
        <v>Dairy Products</v>
      </c>
      <c r="H2027">
        <f>VLOOKUP(order_details[[#This Row],[ProductID]], products[], 4, FALSE)</f>
        <v>4</v>
      </c>
      <c r="I2027" t="str">
        <f>VLOOKUP(order_details[[#This Row],[OrderID]], orders[[OrderID]:[ShipCountry]], 14, FALSE)</f>
        <v>USA</v>
      </c>
      <c r="J2027" s="1">
        <f>_xlfn.XLOOKUP(order_details[[#This Row],[OrderID]], orders[OrderID], orders[Month])</f>
        <v>5</v>
      </c>
    </row>
    <row r="2028" spans="1:10" x14ac:dyDescent="0.35">
      <c r="A2028">
        <v>11032</v>
      </c>
      <c r="B2028">
        <v>36</v>
      </c>
      <c r="C2028">
        <v>19</v>
      </c>
      <c r="D2028">
        <v>35</v>
      </c>
      <c r="E2028">
        <v>0</v>
      </c>
      <c r="F2028">
        <v>665</v>
      </c>
      <c r="G2028" t="str">
        <f>VLOOKUP(VLOOKUP(order_details[[#This Row],[ProductID]], products[], 4, FALSE), categories[], 2, FALSE)</f>
        <v>Seafood</v>
      </c>
      <c r="H2028">
        <f>VLOOKUP(order_details[[#This Row],[ProductID]], products[], 4, FALSE)</f>
        <v>8</v>
      </c>
      <c r="I2028" t="str">
        <f>VLOOKUP(order_details[[#This Row],[OrderID]], orders[[OrderID]:[ShipCountry]], 14, FALSE)</f>
        <v>USA</v>
      </c>
      <c r="J2028" s="1">
        <f>_xlfn.XLOOKUP(order_details[[#This Row],[OrderID]], orders[OrderID], orders[Month])</f>
        <v>5</v>
      </c>
    </row>
    <row r="2029" spans="1:10" x14ac:dyDescent="0.35">
      <c r="A2029">
        <v>11032</v>
      </c>
      <c r="B2029">
        <v>38</v>
      </c>
      <c r="C2029">
        <v>263.5</v>
      </c>
      <c r="D2029">
        <v>25</v>
      </c>
      <c r="E2029">
        <v>0</v>
      </c>
      <c r="F2029">
        <v>6587.5</v>
      </c>
      <c r="G2029" t="str">
        <f>VLOOKUP(VLOOKUP(order_details[[#This Row],[ProductID]], products[], 4, FALSE), categories[], 2, FALSE)</f>
        <v>Beverages</v>
      </c>
      <c r="H2029">
        <f>VLOOKUP(order_details[[#This Row],[ProductID]], products[], 4, FALSE)</f>
        <v>1</v>
      </c>
      <c r="I2029" t="str">
        <f>VLOOKUP(order_details[[#This Row],[OrderID]], orders[[OrderID]:[ShipCountry]], 14, FALSE)</f>
        <v>USA</v>
      </c>
      <c r="J2029" s="1">
        <f>_xlfn.XLOOKUP(order_details[[#This Row],[OrderID]], orders[OrderID], orders[Month])</f>
        <v>5</v>
      </c>
    </row>
    <row r="2030" spans="1:10" x14ac:dyDescent="0.35">
      <c r="A2030">
        <v>11032</v>
      </c>
      <c r="B2030">
        <v>59</v>
      </c>
      <c r="C2030">
        <v>55</v>
      </c>
      <c r="D2030">
        <v>30</v>
      </c>
      <c r="E2030">
        <v>0</v>
      </c>
      <c r="F2030">
        <v>1650</v>
      </c>
      <c r="G2030" t="str">
        <f>VLOOKUP(VLOOKUP(order_details[[#This Row],[ProductID]], products[], 4, FALSE), categories[], 2, FALSE)</f>
        <v>Dairy Products</v>
      </c>
      <c r="H2030">
        <f>VLOOKUP(order_details[[#This Row],[ProductID]], products[], 4, FALSE)</f>
        <v>4</v>
      </c>
      <c r="I2030" t="str">
        <f>VLOOKUP(order_details[[#This Row],[OrderID]], orders[[OrderID]:[ShipCountry]], 14, FALSE)</f>
        <v>USA</v>
      </c>
      <c r="J2030" s="1">
        <f>_xlfn.XLOOKUP(order_details[[#This Row],[OrderID]], orders[OrderID], orders[Month])</f>
        <v>5</v>
      </c>
    </row>
    <row r="2031" spans="1:10" x14ac:dyDescent="0.35">
      <c r="A2031">
        <v>11033</v>
      </c>
      <c r="B2031">
        <v>53</v>
      </c>
      <c r="C2031">
        <v>32.799999999999997</v>
      </c>
      <c r="D2031">
        <v>70</v>
      </c>
      <c r="E2031">
        <v>0.1</v>
      </c>
      <c r="F2031">
        <v>2066.4</v>
      </c>
      <c r="G2031" t="str">
        <f>VLOOKUP(VLOOKUP(order_details[[#This Row],[ProductID]], products[], 4, FALSE), categories[], 2, FALSE)</f>
        <v>Meat/Poultry</v>
      </c>
      <c r="H2031">
        <f>VLOOKUP(order_details[[#This Row],[ProductID]], products[], 4, FALSE)</f>
        <v>6</v>
      </c>
      <c r="I2031" t="str">
        <f>VLOOKUP(order_details[[#This Row],[OrderID]], orders[[OrderID]:[ShipCountry]], 14, FALSE)</f>
        <v>Switzerland</v>
      </c>
      <c r="J2031" s="1">
        <f>_xlfn.XLOOKUP(order_details[[#This Row],[OrderID]], orders[OrderID], orders[Month])</f>
        <v>5</v>
      </c>
    </row>
    <row r="2032" spans="1:10" x14ac:dyDescent="0.35">
      <c r="A2032">
        <v>11033</v>
      </c>
      <c r="B2032">
        <v>69</v>
      </c>
      <c r="C2032">
        <v>36</v>
      </c>
      <c r="D2032">
        <v>36</v>
      </c>
      <c r="E2032">
        <v>0.1</v>
      </c>
      <c r="F2032">
        <v>1166.4000000000001</v>
      </c>
      <c r="G2032" t="str">
        <f>VLOOKUP(VLOOKUP(order_details[[#This Row],[ProductID]], products[], 4, FALSE), categories[], 2, FALSE)</f>
        <v>Dairy Products</v>
      </c>
      <c r="H2032">
        <f>VLOOKUP(order_details[[#This Row],[ProductID]], products[], 4, FALSE)</f>
        <v>4</v>
      </c>
      <c r="I2032" t="str">
        <f>VLOOKUP(order_details[[#This Row],[OrderID]], orders[[OrderID]:[ShipCountry]], 14, FALSE)</f>
        <v>Switzerland</v>
      </c>
      <c r="J2032" s="1">
        <f>_xlfn.XLOOKUP(order_details[[#This Row],[OrderID]], orders[OrderID], orders[Month])</f>
        <v>5</v>
      </c>
    </row>
    <row r="2033" spans="1:10" x14ac:dyDescent="0.35">
      <c r="A2033">
        <v>11034</v>
      </c>
      <c r="B2033">
        <v>21</v>
      </c>
      <c r="C2033">
        <v>10</v>
      </c>
      <c r="D2033">
        <v>15</v>
      </c>
      <c r="E2033">
        <v>0.1</v>
      </c>
      <c r="F2033">
        <v>135</v>
      </c>
      <c r="G2033" t="str">
        <f>VLOOKUP(VLOOKUP(order_details[[#This Row],[ProductID]], products[], 4, FALSE), categories[], 2, FALSE)</f>
        <v>Confections</v>
      </c>
      <c r="H2033">
        <f>VLOOKUP(order_details[[#This Row],[ProductID]], products[], 4, FALSE)</f>
        <v>3</v>
      </c>
      <c r="I2033" t="str">
        <f>VLOOKUP(order_details[[#This Row],[OrderID]], orders[[OrderID]:[ShipCountry]], 14, FALSE)</f>
        <v>USA</v>
      </c>
      <c r="J2033" s="1">
        <f>_xlfn.XLOOKUP(order_details[[#This Row],[OrderID]], orders[OrderID], orders[Month])</f>
        <v>5</v>
      </c>
    </row>
    <row r="2034" spans="1:10" x14ac:dyDescent="0.35">
      <c r="A2034">
        <v>11034</v>
      </c>
      <c r="B2034">
        <v>44</v>
      </c>
      <c r="C2034">
        <v>19.45</v>
      </c>
      <c r="D2034">
        <v>12</v>
      </c>
      <c r="E2034">
        <v>0</v>
      </c>
      <c r="F2034">
        <v>233.39999999999998</v>
      </c>
      <c r="G2034" t="str">
        <f>VLOOKUP(VLOOKUP(order_details[[#This Row],[ProductID]], products[], 4, FALSE), categories[], 2, FALSE)</f>
        <v>Condiments</v>
      </c>
      <c r="H2034">
        <f>VLOOKUP(order_details[[#This Row],[ProductID]], products[], 4, FALSE)</f>
        <v>2</v>
      </c>
      <c r="I2034" t="str">
        <f>VLOOKUP(order_details[[#This Row],[OrderID]], orders[[OrderID]:[ShipCountry]], 14, FALSE)</f>
        <v>USA</v>
      </c>
      <c r="J2034" s="1">
        <f>_xlfn.XLOOKUP(order_details[[#This Row],[OrderID]], orders[OrderID], orders[Month])</f>
        <v>5</v>
      </c>
    </row>
    <row r="2035" spans="1:10" x14ac:dyDescent="0.35">
      <c r="A2035">
        <v>11034</v>
      </c>
      <c r="B2035">
        <v>61</v>
      </c>
      <c r="C2035">
        <v>28.5</v>
      </c>
      <c r="D2035">
        <v>6</v>
      </c>
      <c r="E2035">
        <v>0</v>
      </c>
      <c r="F2035">
        <v>171</v>
      </c>
      <c r="G2035" t="str">
        <f>VLOOKUP(VLOOKUP(order_details[[#This Row],[ProductID]], products[], 4, FALSE), categories[], 2, FALSE)</f>
        <v>Condiments</v>
      </c>
      <c r="H2035">
        <f>VLOOKUP(order_details[[#This Row],[ProductID]], products[], 4, FALSE)</f>
        <v>2</v>
      </c>
      <c r="I2035" t="str">
        <f>VLOOKUP(order_details[[#This Row],[OrderID]], orders[[OrderID]:[ShipCountry]], 14, FALSE)</f>
        <v>USA</v>
      </c>
      <c r="J2035" s="1">
        <f>_xlfn.XLOOKUP(order_details[[#This Row],[OrderID]], orders[OrderID], orders[Month])</f>
        <v>5</v>
      </c>
    </row>
    <row r="2036" spans="1:10" x14ac:dyDescent="0.35">
      <c r="A2036">
        <v>11035</v>
      </c>
      <c r="B2036">
        <v>1</v>
      </c>
      <c r="C2036">
        <v>18</v>
      </c>
      <c r="D2036">
        <v>10</v>
      </c>
      <c r="E2036">
        <v>0</v>
      </c>
      <c r="F2036">
        <v>180</v>
      </c>
      <c r="G2036" t="str">
        <f>VLOOKUP(VLOOKUP(order_details[[#This Row],[ProductID]], products[], 4, FALSE), categories[], 2, FALSE)</f>
        <v>Beverages</v>
      </c>
      <c r="H2036">
        <f>VLOOKUP(order_details[[#This Row],[ProductID]], products[], 4, FALSE)</f>
        <v>1</v>
      </c>
      <c r="I2036" t="str">
        <f>VLOOKUP(order_details[[#This Row],[OrderID]], orders[[OrderID]:[ShipCountry]], 14, FALSE)</f>
        <v>Belgium</v>
      </c>
      <c r="J2036" s="1">
        <f>_xlfn.XLOOKUP(order_details[[#This Row],[OrderID]], orders[OrderID], orders[Month])</f>
        <v>5</v>
      </c>
    </row>
    <row r="2037" spans="1:10" x14ac:dyDescent="0.35">
      <c r="A2037">
        <v>11035</v>
      </c>
      <c r="B2037">
        <v>35</v>
      </c>
      <c r="C2037">
        <v>18</v>
      </c>
      <c r="D2037">
        <v>60</v>
      </c>
      <c r="E2037">
        <v>0</v>
      </c>
      <c r="F2037">
        <v>1080</v>
      </c>
      <c r="G2037" t="str">
        <f>VLOOKUP(VLOOKUP(order_details[[#This Row],[ProductID]], products[], 4, FALSE), categories[], 2, FALSE)</f>
        <v>Beverages</v>
      </c>
      <c r="H2037">
        <f>VLOOKUP(order_details[[#This Row],[ProductID]], products[], 4, FALSE)</f>
        <v>1</v>
      </c>
      <c r="I2037" t="str">
        <f>VLOOKUP(order_details[[#This Row],[OrderID]], orders[[OrderID]:[ShipCountry]], 14, FALSE)</f>
        <v>Belgium</v>
      </c>
      <c r="J2037" s="1">
        <f>_xlfn.XLOOKUP(order_details[[#This Row],[OrderID]], orders[OrderID], orders[Month])</f>
        <v>5</v>
      </c>
    </row>
    <row r="2038" spans="1:10" x14ac:dyDescent="0.35">
      <c r="A2038">
        <v>11035</v>
      </c>
      <c r="B2038">
        <v>42</v>
      </c>
      <c r="C2038">
        <v>14</v>
      </c>
      <c r="D2038">
        <v>30</v>
      </c>
      <c r="E2038">
        <v>0</v>
      </c>
      <c r="F2038">
        <v>420</v>
      </c>
      <c r="G2038" t="str">
        <f>VLOOKUP(VLOOKUP(order_details[[#This Row],[ProductID]], products[], 4, FALSE), categories[], 2, FALSE)</f>
        <v>Grains/Cereals</v>
      </c>
      <c r="H2038">
        <f>VLOOKUP(order_details[[#This Row],[ProductID]], products[], 4, FALSE)</f>
        <v>5</v>
      </c>
      <c r="I2038" t="str">
        <f>VLOOKUP(order_details[[#This Row],[OrderID]], orders[[OrderID]:[ShipCountry]], 14, FALSE)</f>
        <v>Belgium</v>
      </c>
      <c r="J2038" s="1">
        <f>_xlfn.XLOOKUP(order_details[[#This Row],[OrderID]], orders[OrderID], orders[Month])</f>
        <v>5</v>
      </c>
    </row>
    <row r="2039" spans="1:10" x14ac:dyDescent="0.35">
      <c r="A2039">
        <v>11035</v>
      </c>
      <c r="B2039">
        <v>54</v>
      </c>
      <c r="C2039">
        <v>7.45</v>
      </c>
      <c r="D2039">
        <v>10</v>
      </c>
      <c r="E2039">
        <v>0</v>
      </c>
      <c r="F2039">
        <v>74.5</v>
      </c>
      <c r="G2039" t="str">
        <f>VLOOKUP(VLOOKUP(order_details[[#This Row],[ProductID]], products[], 4, FALSE), categories[], 2, FALSE)</f>
        <v>Meat/Poultry</v>
      </c>
      <c r="H2039">
        <f>VLOOKUP(order_details[[#This Row],[ProductID]], products[], 4, FALSE)</f>
        <v>6</v>
      </c>
      <c r="I2039" t="str">
        <f>VLOOKUP(order_details[[#This Row],[OrderID]], orders[[OrderID]:[ShipCountry]], 14, FALSE)</f>
        <v>Belgium</v>
      </c>
      <c r="J2039" s="1">
        <f>_xlfn.XLOOKUP(order_details[[#This Row],[OrderID]], orders[OrderID], orders[Month])</f>
        <v>5</v>
      </c>
    </row>
    <row r="2040" spans="1:10" x14ac:dyDescent="0.35">
      <c r="A2040">
        <v>11036</v>
      </c>
      <c r="B2040">
        <v>13</v>
      </c>
      <c r="C2040">
        <v>6</v>
      </c>
      <c r="D2040">
        <v>7</v>
      </c>
      <c r="E2040">
        <v>0</v>
      </c>
      <c r="F2040">
        <v>42</v>
      </c>
      <c r="G2040" t="str">
        <f>VLOOKUP(VLOOKUP(order_details[[#This Row],[ProductID]], products[], 4, FALSE), categories[], 2, FALSE)</f>
        <v>Seafood</v>
      </c>
      <c r="H2040">
        <f>VLOOKUP(order_details[[#This Row],[ProductID]], products[], 4, FALSE)</f>
        <v>8</v>
      </c>
      <c r="I2040" t="str">
        <f>VLOOKUP(order_details[[#This Row],[OrderID]], orders[[OrderID]:[ShipCountry]], 14, FALSE)</f>
        <v>Germany</v>
      </c>
      <c r="J2040" s="1">
        <f>_xlfn.XLOOKUP(order_details[[#This Row],[OrderID]], orders[OrderID], orders[Month])</f>
        <v>5</v>
      </c>
    </row>
    <row r="2041" spans="1:10" x14ac:dyDescent="0.35">
      <c r="A2041">
        <v>11036</v>
      </c>
      <c r="B2041">
        <v>59</v>
      </c>
      <c r="C2041">
        <v>55</v>
      </c>
      <c r="D2041">
        <v>30</v>
      </c>
      <c r="E2041">
        <v>0</v>
      </c>
      <c r="F2041">
        <v>1650</v>
      </c>
      <c r="G2041" t="str">
        <f>VLOOKUP(VLOOKUP(order_details[[#This Row],[ProductID]], products[], 4, FALSE), categories[], 2, FALSE)</f>
        <v>Dairy Products</v>
      </c>
      <c r="H2041">
        <f>VLOOKUP(order_details[[#This Row],[ProductID]], products[], 4, FALSE)</f>
        <v>4</v>
      </c>
      <c r="I2041" t="str">
        <f>VLOOKUP(order_details[[#This Row],[OrderID]], orders[[OrderID]:[ShipCountry]], 14, FALSE)</f>
        <v>Germany</v>
      </c>
      <c r="J2041" s="1">
        <f>_xlfn.XLOOKUP(order_details[[#This Row],[OrderID]], orders[OrderID], orders[Month])</f>
        <v>5</v>
      </c>
    </row>
    <row r="2042" spans="1:10" x14ac:dyDescent="0.35">
      <c r="A2042">
        <v>11037</v>
      </c>
      <c r="B2042">
        <v>70</v>
      </c>
      <c r="C2042">
        <v>15</v>
      </c>
      <c r="D2042">
        <v>4</v>
      </c>
      <c r="E2042">
        <v>0</v>
      </c>
      <c r="F2042">
        <v>60</v>
      </c>
      <c r="G2042" t="str">
        <f>VLOOKUP(VLOOKUP(order_details[[#This Row],[ProductID]], products[], 4, FALSE), categories[], 2, FALSE)</f>
        <v>Beverages</v>
      </c>
      <c r="H2042">
        <f>VLOOKUP(order_details[[#This Row],[ProductID]], products[], 4, FALSE)</f>
        <v>1</v>
      </c>
      <c r="I2042" t="str">
        <f>VLOOKUP(order_details[[#This Row],[OrderID]], orders[[OrderID]:[ShipCountry]], 14, FALSE)</f>
        <v>Spain</v>
      </c>
      <c r="J2042" s="1">
        <f>_xlfn.XLOOKUP(order_details[[#This Row],[OrderID]], orders[OrderID], orders[Month])</f>
        <v>5</v>
      </c>
    </row>
    <row r="2043" spans="1:10" x14ac:dyDescent="0.35">
      <c r="A2043">
        <v>11038</v>
      </c>
      <c r="B2043">
        <v>40</v>
      </c>
      <c r="C2043">
        <v>18.399999999999999</v>
      </c>
      <c r="D2043">
        <v>5</v>
      </c>
      <c r="E2043">
        <v>0.2</v>
      </c>
      <c r="F2043">
        <v>73.600000000000009</v>
      </c>
      <c r="G2043" t="str">
        <f>VLOOKUP(VLOOKUP(order_details[[#This Row],[ProductID]], products[], 4, FALSE), categories[], 2, FALSE)</f>
        <v>Seafood</v>
      </c>
      <c r="H2043">
        <f>VLOOKUP(order_details[[#This Row],[ProductID]], products[], 4, FALSE)</f>
        <v>8</v>
      </c>
      <c r="I2043" t="str">
        <f>VLOOKUP(order_details[[#This Row],[OrderID]], orders[[OrderID]:[ShipCountry]], 14, FALSE)</f>
        <v>Belgium</v>
      </c>
      <c r="J2043" s="1">
        <f>_xlfn.XLOOKUP(order_details[[#This Row],[OrderID]], orders[OrderID], orders[Month])</f>
        <v>5</v>
      </c>
    </row>
    <row r="2044" spans="1:10" x14ac:dyDescent="0.35">
      <c r="A2044">
        <v>11038</v>
      </c>
      <c r="B2044">
        <v>52</v>
      </c>
      <c r="C2044">
        <v>7</v>
      </c>
      <c r="D2044">
        <v>2</v>
      </c>
      <c r="E2044">
        <v>0</v>
      </c>
      <c r="F2044">
        <v>14</v>
      </c>
      <c r="G2044" t="str">
        <f>VLOOKUP(VLOOKUP(order_details[[#This Row],[ProductID]], products[], 4, FALSE), categories[], 2, FALSE)</f>
        <v>Grains/Cereals</v>
      </c>
      <c r="H2044">
        <f>VLOOKUP(order_details[[#This Row],[ProductID]], products[], 4, FALSE)</f>
        <v>5</v>
      </c>
      <c r="I2044" t="str">
        <f>VLOOKUP(order_details[[#This Row],[OrderID]], orders[[OrderID]:[ShipCountry]], 14, FALSE)</f>
        <v>Belgium</v>
      </c>
      <c r="J2044" s="1">
        <f>_xlfn.XLOOKUP(order_details[[#This Row],[OrderID]], orders[OrderID], orders[Month])</f>
        <v>5</v>
      </c>
    </row>
    <row r="2045" spans="1:10" x14ac:dyDescent="0.35">
      <c r="A2045">
        <v>11038</v>
      </c>
      <c r="B2045">
        <v>71</v>
      </c>
      <c r="C2045">
        <v>21.5</v>
      </c>
      <c r="D2045">
        <v>30</v>
      </c>
      <c r="E2045">
        <v>0</v>
      </c>
      <c r="F2045">
        <v>645</v>
      </c>
      <c r="G2045" t="str">
        <f>VLOOKUP(VLOOKUP(order_details[[#This Row],[ProductID]], products[], 4, FALSE), categories[], 2, FALSE)</f>
        <v>Dairy Products</v>
      </c>
      <c r="H2045">
        <f>VLOOKUP(order_details[[#This Row],[ProductID]], products[], 4, FALSE)</f>
        <v>4</v>
      </c>
      <c r="I2045" t="str">
        <f>VLOOKUP(order_details[[#This Row],[OrderID]], orders[[OrderID]:[ShipCountry]], 14, FALSE)</f>
        <v>Belgium</v>
      </c>
      <c r="J2045" s="1">
        <f>_xlfn.XLOOKUP(order_details[[#This Row],[OrderID]], orders[OrderID], orders[Month])</f>
        <v>5</v>
      </c>
    </row>
    <row r="2046" spans="1:10" x14ac:dyDescent="0.35">
      <c r="A2046">
        <v>11039</v>
      </c>
      <c r="B2046">
        <v>28</v>
      </c>
      <c r="C2046">
        <v>45.6</v>
      </c>
      <c r="D2046">
        <v>20</v>
      </c>
      <c r="E2046">
        <v>0</v>
      </c>
      <c r="F2046">
        <v>912</v>
      </c>
      <c r="G2046" t="str">
        <f>VLOOKUP(VLOOKUP(order_details[[#This Row],[ProductID]], products[], 4, FALSE), categories[], 2, FALSE)</f>
        <v>Produce</v>
      </c>
      <c r="H2046">
        <f>VLOOKUP(order_details[[#This Row],[ProductID]], products[], 4, FALSE)</f>
        <v>7</v>
      </c>
      <c r="I2046" t="str">
        <f>VLOOKUP(order_details[[#This Row],[OrderID]], orders[[OrderID]:[ShipCountry]], 14, FALSE)</f>
        <v>Venezuela</v>
      </c>
      <c r="J2046" s="1">
        <f>_xlfn.XLOOKUP(order_details[[#This Row],[OrderID]], orders[OrderID], orders[Month])</f>
        <v>5</v>
      </c>
    </row>
    <row r="2047" spans="1:10" x14ac:dyDescent="0.35">
      <c r="A2047">
        <v>11039</v>
      </c>
      <c r="B2047">
        <v>35</v>
      </c>
      <c r="C2047">
        <v>18</v>
      </c>
      <c r="D2047">
        <v>24</v>
      </c>
      <c r="E2047">
        <v>0</v>
      </c>
      <c r="F2047">
        <v>432</v>
      </c>
      <c r="G2047" t="str">
        <f>VLOOKUP(VLOOKUP(order_details[[#This Row],[ProductID]], products[], 4, FALSE), categories[], 2, FALSE)</f>
        <v>Beverages</v>
      </c>
      <c r="H2047">
        <f>VLOOKUP(order_details[[#This Row],[ProductID]], products[], 4, FALSE)</f>
        <v>1</v>
      </c>
      <c r="I2047" t="str">
        <f>VLOOKUP(order_details[[#This Row],[OrderID]], orders[[OrderID]:[ShipCountry]], 14, FALSE)</f>
        <v>Venezuela</v>
      </c>
      <c r="J2047" s="1">
        <f>_xlfn.XLOOKUP(order_details[[#This Row],[OrderID]], orders[OrderID], orders[Month])</f>
        <v>5</v>
      </c>
    </row>
    <row r="2048" spans="1:10" x14ac:dyDescent="0.35">
      <c r="A2048">
        <v>11039</v>
      </c>
      <c r="B2048">
        <v>49</v>
      </c>
      <c r="C2048">
        <v>20</v>
      </c>
      <c r="D2048">
        <v>60</v>
      </c>
      <c r="E2048">
        <v>0</v>
      </c>
      <c r="F2048">
        <v>1200</v>
      </c>
      <c r="G2048" t="str">
        <f>VLOOKUP(VLOOKUP(order_details[[#This Row],[ProductID]], products[], 4, FALSE), categories[], 2, FALSE)</f>
        <v>Confections</v>
      </c>
      <c r="H2048">
        <f>VLOOKUP(order_details[[#This Row],[ProductID]], products[], 4, FALSE)</f>
        <v>3</v>
      </c>
      <c r="I2048" t="str">
        <f>VLOOKUP(order_details[[#This Row],[OrderID]], orders[[OrderID]:[ShipCountry]], 14, FALSE)</f>
        <v>Venezuela</v>
      </c>
      <c r="J2048" s="1">
        <f>_xlfn.XLOOKUP(order_details[[#This Row],[OrderID]], orders[OrderID], orders[Month])</f>
        <v>5</v>
      </c>
    </row>
    <row r="2049" spans="1:10" x14ac:dyDescent="0.35">
      <c r="A2049">
        <v>11039</v>
      </c>
      <c r="B2049">
        <v>57</v>
      </c>
      <c r="C2049">
        <v>19.5</v>
      </c>
      <c r="D2049">
        <v>28</v>
      </c>
      <c r="E2049">
        <v>0</v>
      </c>
      <c r="F2049">
        <v>546</v>
      </c>
      <c r="G2049" t="str">
        <f>VLOOKUP(VLOOKUP(order_details[[#This Row],[ProductID]], products[], 4, FALSE), categories[], 2, FALSE)</f>
        <v>Grains/Cereals</v>
      </c>
      <c r="H2049">
        <f>VLOOKUP(order_details[[#This Row],[ProductID]], products[], 4, FALSE)</f>
        <v>5</v>
      </c>
      <c r="I2049" t="str">
        <f>VLOOKUP(order_details[[#This Row],[OrderID]], orders[[OrderID]:[ShipCountry]], 14, FALSE)</f>
        <v>Venezuela</v>
      </c>
      <c r="J2049" s="1">
        <f>_xlfn.XLOOKUP(order_details[[#This Row],[OrderID]], orders[OrderID], orders[Month])</f>
        <v>5</v>
      </c>
    </row>
    <row r="2050" spans="1:10" x14ac:dyDescent="0.35">
      <c r="A2050">
        <v>11040</v>
      </c>
      <c r="B2050">
        <v>21</v>
      </c>
      <c r="C2050">
        <v>10</v>
      </c>
      <c r="D2050">
        <v>20</v>
      </c>
      <c r="E2050">
        <v>0</v>
      </c>
      <c r="F2050">
        <v>200</v>
      </c>
      <c r="G2050" t="str">
        <f>VLOOKUP(VLOOKUP(order_details[[#This Row],[ProductID]], products[], 4, FALSE), categories[], 2, FALSE)</f>
        <v>Confections</v>
      </c>
      <c r="H2050">
        <f>VLOOKUP(order_details[[#This Row],[ProductID]], products[], 4, FALSE)</f>
        <v>3</v>
      </c>
      <c r="I2050" t="str">
        <f>VLOOKUP(order_details[[#This Row],[OrderID]], orders[[OrderID]:[ShipCountry]], 14, FALSE)</f>
        <v>USA</v>
      </c>
      <c r="J2050" s="1">
        <f>_xlfn.XLOOKUP(order_details[[#This Row],[OrderID]], orders[OrderID], orders[Month])</f>
        <v>5</v>
      </c>
    </row>
    <row r="2051" spans="1:10" x14ac:dyDescent="0.35">
      <c r="A2051">
        <v>11041</v>
      </c>
      <c r="B2051">
        <v>2</v>
      </c>
      <c r="C2051">
        <v>19</v>
      </c>
      <c r="D2051">
        <v>30</v>
      </c>
      <c r="E2051">
        <v>0.2</v>
      </c>
      <c r="F2051">
        <v>456</v>
      </c>
      <c r="G2051" t="str">
        <f>VLOOKUP(VLOOKUP(order_details[[#This Row],[ProductID]], products[], 4, FALSE), categories[], 2, FALSE)</f>
        <v>Beverages</v>
      </c>
      <c r="H2051">
        <f>VLOOKUP(order_details[[#This Row],[ProductID]], products[], 4, FALSE)</f>
        <v>1</v>
      </c>
      <c r="I2051" t="str">
        <f>VLOOKUP(order_details[[#This Row],[OrderID]], orders[[OrderID]:[ShipCountry]], 14, FALSE)</f>
        <v>Switzerland</v>
      </c>
      <c r="J2051" s="1">
        <f>_xlfn.XLOOKUP(order_details[[#This Row],[OrderID]], orders[OrderID], orders[Month])</f>
        <v>5</v>
      </c>
    </row>
    <row r="2052" spans="1:10" x14ac:dyDescent="0.35">
      <c r="A2052">
        <v>11041</v>
      </c>
      <c r="B2052">
        <v>63</v>
      </c>
      <c r="C2052">
        <v>43.9</v>
      </c>
      <c r="D2052">
        <v>30</v>
      </c>
      <c r="E2052">
        <v>0</v>
      </c>
      <c r="F2052">
        <v>1317</v>
      </c>
      <c r="G2052" t="str">
        <f>VLOOKUP(VLOOKUP(order_details[[#This Row],[ProductID]], products[], 4, FALSE), categories[], 2, FALSE)</f>
        <v>Condiments</v>
      </c>
      <c r="H2052">
        <f>VLOOKUP(order_details[[#This Row],[ProductID]], products[], 4, FALSE)</f>
        <v>2</v>
      </c>
      <c r="I2052" t="str">
        <f>VLOOKUP(order_details[[#This Row],[OrderID]], orders[[OrderID]:[ShipCountry]], 14, FALSE)</f>
        <v>Switzerland</v>
      </c>
      <c r="J2052" s="1">
        <f>_xlfn.XLOOKUP(order_details[[#This Row],[OrderID]], orders[OrderID], orders[Month])</f>
        <v>5</v>
      </c>
    </row>
    <row r="2053" spans="1:10" x14ac:dyDescent="0.35">
      <c r="A2053">
        <v>11042</v>
      </c>
      <c r="B2053">
        <v>44</v>
      </c>
      <c r="C2053">
        <v>19.45</v>
      </c>
      <c r="D2053">
        <v>15</v>
      </c>
      <c r="E2053">
        <v>0</v>
      </c>
      <c r="F2053">
        <v>291.75</v>
      </c>
      <c r="G2053" t="str">
        <f>VLOOKUP(VLOOKUP(order_details[[#This Row],[ProductID]], products[], 4, FALSE), categories[], 2, FALSE)</f>
        <v>Condiments</v>
      </c>
      <c r="H2053">
        <f>VLOOKUP(order_details[[#This Row],[ProductID]], products[], 4, FALSE)</f>
        <v>2</v>
      </c>
      <c r="I2053" t="str">
        <f>VLOOKUP(order_details[[#This Row],[OrderID]], orders[[OrderID]:[ShipCountry]], 14, FALSE)</f>
        <v>Brazil</v>
      </c>
      <c r="J2053" s="1">
        <f>_xlfn.XLOOKUP(order_details[[#This Row],[OrderID]], orders[OrderID], orders[Month])</f>
        <v>5</v>
      </c>
    </row>
    <row r="2054" spans="1:10" x14ac:dyDescent="0.35">
      <c r="A2054">
        <v>11042</v>
      </c>
      <c r="B2054">
        <v>61</v>
      </c>
      <c r="C2054">
        <v>28.5</v>
      </c>
      <c r="D2054">
        <v>4</v>
      </c>
      <c r="E2054">
        <v>0</v>
      </c>
      <c r="F2054">
        <v>114</v>
      </c>
      <c r="G2054" t="str">
        <f>VLOOKUP(VLOOKUP(order_details[[#This Row],[ProductID]], products[], 4, FALSE), categories[], 2, FALSE)</f>
        <v>Condiments</v>
      </c>
      <c r="H2054">
        <f>VLOOKUP(order_details[[#This Row],[ProductID]], products[], 4, FALSE)</f>
        <v>2</v>
      </c>
      <c r="I2054" t="str">
        <f>VLOOKUP(order_details[[#This Row],[OrderID]], orders[[OrderID]:[ShipCountry]], 14, FALSE)</f>
        <v>Brazil</v>
      </c>
      <c r="J2054" s="1">
        <f>_xlfn.XLOOKUP(order_details[[#This Row],[OrderID]], orders[OrderID], orders[Month])</f>
        <v>5</v>
      </c>
    </row>
    <row r="2055" spans="1:10" x14ac:dyDescent="0.35">
      <c r="A2055">
        <v>11043</v>
      </c>
      <c r="B2055">
        <v>11</v>
      </c>
      <c r="C2055">
        <v>21</v>
      </c>
      <c r="D2055">
        <v>10</v>
      </c>
      <c r="E2055">
        <v>0</v>
      </c>
      <c r="F2055">
        <v>210</v>
      </c>
      <c r="G2055" t="str">
        <f>VLOOKUP(VLOOKUP(order_details[[#This Row],[ProductID]], products[], 4, FALSE), categories[], 2, FALSE)</f>
        <v>Dairy Products</v>
      </c>
      <c r="H2055">
        <f>VLOOKUP(order_details[[#This Row],[ProductID]], products[], 4, FALSE)</f>
        <v>4</v>
      </c>
      <c r="I2055" t="str">
        <f>VLOOKUP(order_details[[#This Row],[OrderID]], orders[[OrderID]:[ShipCountry]], 14, FALSE)</f>
        <v>France</v>
      </c>
      <c r="J2055" s="1">
        <f>_xlfn.XLOOKUP(order_details[[#This Row],[OrderID]], orders[OrderID], orders[Month])</f>
        <v>5</v>
      </c>
    </row>
    <row r="2056" spans="1:10" x14ac:dyDescent="0.35">
      <c r="A2056">
        <v>11044</v>
      </c>
      <c r="B2056">
        <v>62</v>
      </c>
      <c r="C2056">
        <v>49.3</v>
      </c>
      <c r="D2056">
        <v>12</v>
      </c>
      <c r="E2056">
        <v>0</v>
      </c>
      <c r="F2056">
        <v>591.59999999999991</v>
      </c>
      <c r="G2056" t="str">
        <f>VLOOKUP(VLOOKUP(order_details[[#This Row],[ProductID]], products[], 4, FALSE), categories[], 2, FALSE)</f>
        <v>Confections</v>
      </c>
      <c r="H2056">
        <f>VLOOKUP(order_details[[#This Row],[ProductID]], products[], 4, FALSE)</f>
        <v>3</v>
      </c>
      <c r="I2056" t="str">
        <f>VLOOKUP(order_details[[#This Row],[OrderID]], orders[[OrderID]:[ShipCountry]], 14, FALSE)</f>
        <v>Poland</v>
      </c>
      <c r="J2056" s="1">
        <f>_xlfn.XLOOKUP(order_details[[#This Row],[OrderID]], orders[OrderID], orders[Month])</f>
        <v>5</v>
      </c>
    </row>
    <row r="2057" spans="1:10" x14ac:dyDescent="0.35">
      <c r="A2057">
        <v>11045</v>
      </c>
      <c r="B2057">
        <v>33</v>
      </c>
      <c r="C2057">
        <v>2.5</v>
      </c>
      <c r="D2057">
        <v>15</v>
      </c>
      <c r="E2057">
        <v>0</v>
      </c>
      <c r="F2057">
        <v>37.5</v>
      </c>
      <c r="G2057" t="str">
        <f>VLOOKUP(VLOOKUP(order_details[[#This Row],[ProductID]], products[], 4, FALSE), categories[], 2, FALSE)</f>
        <v>Dairy Products</v>
      </c>
      <c r="H2057">
        <f>VLOOKUP(order_details[[#This Row],[ProductID]], products[], 4, FALSE)</f>
        <v>4</v>
      </c>
      <c r="I2057" t="str">
        <f>VLOOKUP(order_details[[#This Row],[OrderID]], orders[[OrderID]:[ShipCountry]], 14, FALSE)</f>
        <v>Canada</v>
      </c>
      <c r="J2057" s="1">
        <f>_xlfn.XLOOKUP(order_details[[#This Row],[OrderID]], orders[OrderID], orders[Month])</f>
        <v>5</v>
      </c>
    </row>
    <row r="2058" spans="1:10" x14ac:dyDescent="0.35">
      <c r="A2058">
        <v>11045</v>
      </c>
      <c r="B2058">
        <v>51</v>
      </c>
      <c r="C2058">
        <v>53</v>
      </c>
      <c r="D2058">
        <v>24</v>
      </c>
      <c r="E2058">
        <v>0</v>
      </c>
      <c r="F2058">
        <v>1272</v>
      </c>
      <c r="G2058" t="str">
        <f>VLOOKUP(VLOOKUP(order_details[[#This Row],[ProductID]], products[], 4, FALSE), categories[], 2, FALSE)</f>
        <v>Produce</v>
      </c>
      <c r="H2058">
        <f>VLOOKUP(order_details[[#This Row],[ProductID]], products[], 4, FALSE)</f>
        <v>7</v>
      </c>
      <c r="I2058" t="str">
        <f>VLOOKUP(order_details[[#This Row],[OrderID]], orders[[OrderID]:[ShipCountry]], 14, FALSE)</f>
        <v>Canada</v>
      </c>
      <c r="J2058" s="1">
        <f>_xlfn.XLOOKUP(order_details[[#This Row],[OrderID]], orders[OrderID], orders[Month])</f>
        <v>5</v>
      </c>
    </row>
    <row r="2059" spans="1:10" x14ac:dyDescent="0.35">
      <c r="A2059">
        <v>11046</v>
      </c>
      <c r="B2059">
        <v>12</v>
      </c>
      <c r="C2059">
        <v>38</v>
      </c>
      <c r="D2059">
        <v>20</v>
      </c>
      <c r="E2059">
        <v>0.05</v>
      </c>
      <c r="F2059">
        <v>722</v>
      </c>
      <c r="G2059" t="str">
        <f>VLOOKUP(VLOOKUP(order_details[[#This Row],[ProductID]], products[], 4, FALSE), categories[], 2, FALSE)</f>
        <v>Dairy Products</v>
      </c>
      <c r="H2059">
        <f>VLOOKUP(order_details[[#This Row],[ProductID]], products[], 4, FALSE)</f>
        <v>4</v>
      </c>
      <c r="I2059" t="str">
        <f>VLOOKUP(order_details[[#This Row],[OrderID]], orders[[OrderID]:[ShipCountry]], 14, FALSE)</f>
        <v>Germany</v>
      </c>
      <c r="J2059" s="1">
        <f>_xlfn.XLOOKUP(order_details[[#This Row],[OrderID]], orders[OrderID], orders[Month])</f>
        <v>5</v>
      </c>
    </row>
    <row r="2060" spans="1:10" x14ac:dyDescent="0.35">
      <c r="A2060">
        <v>11046</v>
      </c>
      <c r="B2060">
        <v>32</v>
      </c>
      <c r="C2060">
        <v>32</v>
      </c>
      <c r="D2060">
        <v>15</v>
      </c>
      <c r="E2060">
        <v>0.05</v>
      </c>
      <c r="F2060">
        <v>456</v>
      </c>
      <c r="G2060" t="str">
        <f>VLOOKUP(VLOOKUP(order_details[[#This Row],[ProductID]], products[], 4, FALSE), categories[], 2, FALSE)</f>
        <v>Dairy Products</v>
      </c>
      <c r="H2060">
        <f>VLOOKUP(order_details[[#This Row],[ProductID]], products[], 4, FALSE)</f>
        <v>4</v>
      </c>
      <c r="I2060" t="str">
        <f>VLOOKUP(order_details[[#This Row],[OrderID]], orders[[OrderID]:[ShipCountry]], 14, FALSE)</f>
        <v>Germany</v>
      </c>
      <c r="J2060" s="1">
        <f>_xlfn.XLOOKUP(order_details[[#This Row],[OrderID]], orders[OrderID], orders[Month])</f>
        <v>5</v>
      </c>
    </row>
    <row r="2061" spans="1:10" x14ac:dyDescent="0.35">
      <c r="A2061">
        <v>11046</v>
      </c>
      <c r="B2061">
        <v>35</v>
      </c>
      <c r="C2061">
        <v>18</v>
      </c>
      <c r="D2061">
        <v>18</v>
      </c>
      <c r="E2061">
        <v>0.05</v>
      </c>
      <c r="F2061">
        <v>307.8</v>
      </c>
      <c r="G2061" t="str">
        <f>VLOOKUP(VLOOKUP(order_details[[#This Row],[ProductID]], products[], 4, FALSE), categories[], 2, FALSE)</f>
        <v>Beverages</v>
      </c>
      <c r="H2061">
        <f>VLOOKUP(order_details[[#This Row],[ProductID]], products[], 4, FALSE)</f>
        <v>1</v>
      </c>
      <c r="I2061" t="str">
        <f>VLOOKUP(order_details[[#This Row],[OrderID]], orders[[OrderID]:[ShipCountry]], 14, FALSE)</f>
        <v>Germany</v>
      </c>
      <c r="J2061" s="1">
        <f>_xlfn.XLOOKUP(order_details[[#This Row],[OrderID]], orders[OrderID], orders[Month])</f>
        <v>5</v>
      </c>
    </row>
    <row r="2062" spans="1:10" x14ac:dyDescent="0.35">
      <c r="A2062">
        <v>11047</v>
      </c>
      <c r="B2062">
        <v>1</v>
      </c>
      <c r="C2062">
        <v>18</v>
      </c>
      <c r="D2062">
        <v>25</v>
      </c>
      <c r="E2062">
        <v>0.25</v>
      </c>
      <c r="F2062">
        <v>337.5</v>
      </c>
      <c r="G2062" t="str">
        <f>VLOOKUP(VLOOKUP(order_details[[#This Row],[ProductID]], products[], 4, FALSE), categories[], 2, FALSE)</f>
        <v>Beverages</v>
      </c>
      <c r="H2062">
        <f>VLOOKUP(order_details[[#This Row],[ProductID]], products[], 4, FALSE)</f>
        <v>1</v>
      </c>
      <c r="I2062" t="str">
        <f>VLOOKUP(order_details[[#This Row],[OrderID]], orders[[OrderID]:[ShipCountry]], 14, FALSE)</f>
        <v>UK</v>
      </c>
      <c r="J2062" s="1">
        <f>_xlfn.XLOOKUP(order_details[[#This Row],[OrderID]], orders[OrderID], orders[Month])</f>
        <v>5</v>
      </c>
    </row>
    <row r="2063" spans="1:10" x14ac:dyDescent="0.35">
      <c r="A2063">
        <v>11047</v>
      </c>
      <c r="B2063">
        <v>5</v>
      </c>
      <c r="C2063">
        <v>21.35</v>
      </c>
      <c r="D2063">
        <v>30</v>
      </c>
      <c r="E2063">
        <v>0.25</v>
      </c>
      <c r="F2063">
        <v>480.375</v>
      </c>
      <c r="G2063" t="str">
        <f>VLOOKUP(VLOOKUP(order_details[[#This Row],[ProductID]], products[], 4, FALSE), categories[], 2, FALSE)</f>
        <v>Condiments</v>
      </c>
      <c r="H2063">
        <f>VLOOKUP(order_details[[#This Row],[ProductID]], products[], 4, FALSE)</f>
        <v>2</v>
      </c>
      <c r="I2063" t="str">
        <f>VLOOKUP(order_details[[#This Row],[OrderID]], orders[[OrderID]:[ShipCountry]], 14, FALSE)</f>
        <v>UK</v>
      </c>
      <c r="J2063" s="1">
        <f>_xlfn.XLOOKUP(order_details[[#This Row],[OrderID]], orders[OrderID], orders[Month])</f>
        <v>5</v>
      </c>
    </row>
    <row r="2064" spans="1:10" x14ac:dyDescent="0.35">
      <c r="A2064">
        <v>11048</v>
      </c>
      <c r="B2064">
        <v>68</v>
      </c>
      <c r="C2064">
        <v>12.5</v>
      </c>
      <c r="D2064">
        <v>42</v>
      </c>
      <c r="E2064">
        <v>0</v>
      </c>
      <c r="F2064">
        <v>525</v>
      </c>
      <c r="G2064" t="str">
        <f>VLOOKUP(VLOOKUP(order_details[[#This Row],[ProductID]], products[], 4, FALSE), categories[], 2, FALSE)</f>
        <v>Confections</v>
      </c>
      <c r="H2064">
        <f>VLOOKUP(order_details[[#This Row],[ProductID]], products[], 4, FALSE)</f>
        <v>3</v>
      </c>
      <c r="I2064" t="str">
        <f>VLOOKUP(order_details[[#This Row],[OrderID]], orders[[OrderID]:[ShipCountry]], 14, FALSE)</f>
        <v>Canada</v>
      </c>
      <c r="J2064" s="1">
        <f>_xlfn.XLOOKUP(order_details[[#This Row],[OrderID]], orders[OrderID], orders[Month])</f>
        <v>5</v>
      </c>
    </row>
    <row r="2065" spans="1:10" x14ac:dyDescent="0.35">
      <c r="A2065">
        <v>11049</v>
      </c>
      <c r="B2065">
        <v>2</v>
      </c>
      <c r="C2065">
        <v>19</v>
      </c>
      <c r="D2065">
        <v>10</v>
      </c>
      <c r="E2065">
        <v>0.2</v>
      </c>
      <c r="F2065">
        <v>152</v>
      </c>
      <c r="G2065" t="str">
        <f>VLOOKUP(VLOOKUP(order_details[[#This Row],[ProductID]], products[], 4, FALSE), categories[], 2, FALSE)</f>
        <v>Beverages</v>
      </c>
      <c r="H2065">
        <f>VLOOKUP(order_details[[#This Row],[ProductID]], products[], 4, FALSE)</f>
        <v>1</v>
      </c>
      <c r="I2065" t="str">
        <f>VLOOKUP(order_details[[#This Row],[OrderID]], orders[[OrderID]:[ShipCountry]], 14, FALSE)</f>
        <v>Brazil</v>
      </c>
      <c r="J2065" s="1">
        <f>_xlfn.XLOOKUP(order_details[[#This Row],[OrderID]], orders[OrderID], orders[Month])</f>
        <v>5</v>
      </c>
    </row>
    <row r="2066" spans="1:10" x14ac:dyDescent="0.35">
      <c r="A2066">
        <v>11049</v>
      </c>
      <c r="B2066">
        <v>12</v>
      </c>
      <c r="C2066">
        <v>38</v>
      </c>
      <c r="D2066">
        <v>4</v>
      </c>
      <c r="E2066">
        <v>0.2</v>
      </c>
      <c r="F2066">
        <v>121.60000000000001</v>
      </c>
      <c r="G2066" t="str">
        <f>VLOOKUP(VLOOKUP(order_details[[#This Row],[ProductID]], products[], 4, FALSE), categories[], 2, FALSE)</f>
        <v>Dairy Products</v>
      </c>
      <c r="H2066">
        <f>VLOOKUP(order_details[[#This Row],[ProductID]], products[], 4, FALSE)</f>
        <v>4</v>
      </c>
      <c r="I2066" t="str">
        <f>VLOOKUP(order_details[[#This Row],[OrderID]], orders[[OrderID]:[ShipCountry]], 14, FALSE)</f>
        <v>Brazil</v>
      </c>
      <c r="J2066" s="1">
        <f>_xlfn.XLOOKUP(order_details[[#This Row],[OrderID]], orders[OrderID], orders[Month])</f>
        <v>5</v>
      </c>
    </row>
    <row r="2067" spans="1:10" x14ac:dyDescent="0.35">
      <c r="A2067">
        <v>11050</v>
      </c>
      <c r="B2067">
        <v>76</v>
      </c>
      <c r="C2067">
        <v>18</v>
      </c>
      <c r="D2067">
        <v>50</v>
      </c>
      <c r="E2067">
        <v>0.1</v>
      </c>
      <c r="F2067">
        <v>810</v>
      </c>
      <c r="G2067" t="str">
        <f>VLOOKUP(VLOOKUP(order_details[[#This Row],[ProductID]], products[], 4, FALSE), categories[], 2, FALSE)</f>
        <v>Beverages</v>
      </c>
      <c r="H2067">
        <f>VLOOKUP(order_details[[#This Row],[ProductID]], products[], 4, FALSE)</f>
        <v>1</v>
      </c>
      <c r="I2067" t="str">
        <f>VLOOKUP(order_details[[#This Row],[OrderID]], orders[[OrderID]:[ShipCountry]], 14, FALSE)</f>
        <v>Sweden</v>
      </c>
      <c r="J2067" s="1">
        <f>_xlfn.XLOOKUP(order_details[[#This Row],[OrderID]], orders[OrderID], orders[Month])</f>
        <v>5</v>
      </c>
    </row>
    <row r="2068" spans="1:10" x14ac:dyDescent="0.35">
      <c r="A2068">
        <v>11051</v>
      </c>
      <c r="B2068">
        <v>24</v>
      </c>
      <c r="C2068">
        <v>4.5</v>
      </c>
      <c r="D2068">
        <v>10</v>
      </c>
      <c r="E2068">
        <v>0.2</v>
      </c>
      <c r="F2068">
        <v>36</v>
      </c>
      <c r="G2068" t="str">
        <f>VLOOKUP(VLOOKUP(order_details[[#This Row],[ProductID]], products[], 4, FALSE), categories[], 2, FALSE)</f>
        <v>Beverages</v>
      </c>
      <c r="H2068">
        <f>VLOOKUP(order_details[[#This Row],[ProductID]], products[], 4, FALSE)</f>
        <v>1</v>
      </c>
      <c r="I2068" t="str">
        <f>VLOOKUP(order_details[[#This Row],[OrderID]], orders[[OrderID]:[ShipCountry]], 14, FALSE)</f>
        <v>France</v>
      </c>
      <c r="J2068" s="1">
        <f>_xlfn.XLOOKUP(order_details[[#This Row],[OrderID]], orders[OrderID], orders[Month])</f>
        <v>5</v>
      </c>
    </row>
    <row r="2069" spans="1:10" x14ac:dyDescent="0.35">
      <c r="A2069">
        <v>11052</v>
      </c>
      <c r="B2069">
        <v>43</v>
      </c>
      <c r="C2069">
        <v>46</v>
      </c>
      <c r="D2069">
        <v>30</v>
      </c>
      <c r="E2069">
        <v>0.2</v>
      </c>
      <c r="F2069">
        <v>1104</v>
      </c>
      <c r="G2069" t="str">
        <f>VLOOKUP(VLOOKUP(order_details[[#This Row],[ProductID]], products[], 4, FALSE), categories[], 2, FALSE)</f>
        <v>Beverages</v>
      </c>
      <c r="H2069">
        <f>VLOOKUP(order_details[[#This Row],[ProductID]], products[], 4, FALSE)</f>
        <v>1</v>
      </c>
      <c r="I2069" t="str">
        <f>VLOOKUP(order_details[[#This Row],[OrderID]], orders[[OrderID]:[ShipCountry]], 14, FALSE)</f>
        <v>Brazil</v>
      </c>
      <c r="J2069" s="1">
        <f>_xlfn.XLOOKUP(order_details[[#This Row],[OrderID]], orders[OrderID], orders[Month])</f>
        <v>5</v>
      </c>
    </row>
    <row r="2070" spans="1:10" x14ac:dyDescent="0.35">
      <c r="A2070">
        <v>11052</v>
      </c>
      <c r="B2070">
        <v>61</v>
      </c>
      <c r="C2070">
        <v>28.5</v>
      </c>
      <c r="D2070">
        <v>10</v>
      </c>
      <c r="E2070">
        <v>0.2</v>
      </c>
      <c r="F2070">
        <v>228</v>
      </c>
      <c r="G2070" t="str">
        <f>VLOOKUP(VLOOKUP(order_details[[#This Row],[ProductID]], products[], 4, FALSE), categories[], 2, FALSE)</f>
        <v>Condiments</v>
      </c>
      <c r="H2070">
        <f>VLOOKUP(order_details[[#This Row],[ProductID]], products[], 4, FALSE)</f>
        <v>2</v>
      </c>
      <c r="I2070" t="str">
        <f>VLOOKUP(order_details[[#This Row],[OrderID]], orders[[OrderID]:[ShipCountry]], 14, FALSE)</f>
        <v>Brazil</v>
      </c>
      <c r="J2070" s="1">
        <f>_xlfn.XLOOKUP(order_details[[#This Row],[OrderID]], orders[OrderID], orders[Month])</f>
        <v>5</v>
      </c>
    </row>
    <row r="2071" spans="1:10" x14ac:dyDescent="0.35">
      <c r="A2071">
        <v>11053</v>
      </c>
      <c r="B2071">
        <v>18</v>
      </c>
      <c r="C2071">
        <v>62.5</v>
      </c>
      <c r="D2071">
        <v>35</v>
      </c>
      <c r="E2071">
        <v>0.2</v>
      </c>
      <c r="F2071">
        <v>1750</v>
      </c>
      <c r="G2071" t="str">
        <f>VLOOKUP(VLOOKUP(order_details[[#This Row],[ProductID]], products[], 4, FALSE), categories[], 2, FALSE)</f>
        <v>Seafood</v>
      </c>
      <c r="H2071">
        <f>VLOOKUP(order_details[[#This Row],[ProductID]], products[], 4, FALSE)</f>
        <v>8</v>
      </c>
      <c r="I2071" t="str">
        <f>VLOOKUP(order_details[[#This Row],[OrderID]], orders[[OrderID]:[ShipCountry]], 14, FALSE)</f>
        <v>Austria</v>
      </c>
      <c r="J2071" s="1">
        <f>_xlfn.XLOOKUP(order_details[[#This Row],[OrderID]], orders[OrderID], orders[Month])</f>
        <v>5</v>
      </c>
    </row>
    <row r="2072" spans="1:10" x14ac:dyDescent="0.35">
      <c r="A2072">
        <v>11053</v>
      </c>
      <c r="B2072">
        <v>32</v>
      </c>
      <c r="C2072">
        <v>32</v>
      </c>
      <c r="D2072">
        <v>20</v>
      </c>
      <c r="E2072">
        <v>0</v>
      </c>
      <c r="F2072">
        <v>640</v>
      </c>
      <c r="G2072" t="str">
        <f>VLOOKUP(VLOOKUP(order_details[[#This Row],[ProductID]], products[], 4, FALSE), categories[], 2, FALSE)</f>
        <v>Dairy Products</v>
      </c>
      <c r="H2072">
        <f>VLOOKUP(order_details[[#This Row],[ProductID]], products[], 4, FALSE)</f>
        <v>4</v>
      </c>
      <c r="I2072" t="str">
        <f>VLOOKUP(order_details[[#This Row],[OrderID]], orders[[OrderID]:[ShipCountry]], 14, FALSE)</f>
        <v>Austria</v>
      </c>
      <c r="J2072" s="1">
        <f>_xlfn.XLOOKUP(order_details[[#This Row],[OrderID]], orders[OrderID], orders[Month])</f>
        <v>5</v>
      </c>
    </row>
    <row r="2073" spans="1:10" x14ac:dyDescent="0.35">
      <c r="A2073">
        <v>11053</v>
      </c>
      <c r="B2073">
        <v>64</v>
      </c>
      <c r="C2073">
        <v>33.25</v>
      </c>
      <c r="D2073">
        <v>25</v>
      </c>
      <c r="E2073">
        <v>0.2</v>
      </c>
      <c r="F2073">
        <v>665</v>
      </c>
      <c r="G2073" t="str">
        <f>VLOOKUP(VLOOKUP(order_details[[#This Row],[ProductID]], products[], 4, FALSE), categories[], 2, FALSE)</f>
        <v>Grains/Cereals</v>
      </c>
      <c r="H2073">
        <f>VLOOKUP(order_details[[#This Row],[ProductID]], products[], 4, FALSE)</f>
        <v>5</v>
      </c>
      <c r="I2073" t="str">
        <f>VLOOKUP(order_details[[#This Row],[OrderID]], orders[[OrderID]:[ShipCountry]], 14, FALSE)</f>
        <v>Austria</v>
      </c>
      <c r="J2073" s="1">
        <f>_xlfn.XLOOKUP(order_details[[#This Row],[OrderID]], orders[OrderID], orders[Month])</f>
        <v>5</v>
      </c>
    </row>
    <row r="2074" spans="1:10" x14ac:dyDescent="0.35">
      <c r="A2074">
        <v>11054</v>
      </c>
      <c r="B2074">
        <v>33</v>
      </c>
      <c r="C2074">
        <v>2.5</v>
      </c>
      <c r="D2074">
        <v>10</v>
      </c>
      <c r="E2074">
        <v>0</v>
      </c>
      <c r="F2074">
        <v>25</v>
      </c>
      <c r="G2074" t="str">
        <f>VLOOKUP(VLOOKUP(order_details[[#This Row],[ProductID]], products[], 4, FALSE), categories[], 2, FALSE)</f>
        <v>Dairy Products</v>
      </c>
      <c r="H2074">
        <f>VLOOKUP(order_details[[#This Row],[ProductID]], products[], 4, FALSE)</f>
        <v>4</v>
      </c>
      <c r="I2074" t="str">
        <f>VLOOKUP(order_details[[#This Row],[OrderID]], orders[[OrderID]:[ShipCountry]], 14, FALSE)</f>
        <v>Argentina</v>
      </c>
      <c r="J2074" s="1">
        <f>_xlfn.XLOOKUP(order_details[[#This Row],[OrderID]], orders[OrderID], orders[Month])</f>
        <v>5</v>
      </c>
    </row>
    <row r="2075" spans="1:10" x14ac:dyDescent="0.35">
      <c r="A2075">
        <v>11054</v>
      </c>
      <c r="B2075">
        <v>67</v>
      </c>
      <c r="C2075">
        <v>14</v>
      </c>
      <c r="D2075">
        <v>20</v>
      </c>
      <c r="E2075">
        <v>0</v>
      </c>
      <c r="F2075">
        <v>280</v>
      </c>
      <c r="G2075" t="str">
        <f>VLOOKUP(VLOOKUP(order_details[[#This Row],[ProductID]], products[], 4, FALSE), categories[], 2, FALSE)</f>
        <v>Beverages</v>
      </c>
      <c r="H2075">
        <f>VLOOKUP(order_details[[#This Row],[ProductID]], products[], 4, FALSE)</f>
        <v>1</v>
      </c>
      <c r="I2075" t="str">
        <f>VLOOKUP(order_details[[#This Row],[OrderID]], orders[[OrderID]:[ShipCountry]], 14, FALSE)</f>
        <v>Argentina</v>
      </c>
      <c r="J2075" s="1">
        <f>_xlfn.XLOOKUP(order_details[[#This Row],[OrderID]], orders[OrderID], orders[Month])</f>
        <v>5</v>
      </c>
    </row>
    <row r="2076" spans="1:10" x14ac:dyDescent="0.35">
      <c r="A2076">
        <v>11055</v>
      </c>
      <c r="B2076">
        <v>24</v>
      </c>
      <c r="C2076">
        <v>4.5</v>
      </c>
      <c r="D2076">
        <v>15</v>
      </c>
      <c r="E2076">
        <v>0</v>
      </c>
      <c r="F2076">
        <v>67.5</v>
      </c>
      <c r="G2076" t="str">
        <f>VLOOKUP(VLOOKUP(order_details[[#This Row],[ProductID]], products[], 4, FALSE), categories[], 2, FALSE)</f>
        <v>Beverages</v>
      </c>
      <c r="H2076">
        <f>VLOOKUP(order_details[[#This Row],[ProductID]], products[], 4, FALSE)</f>
        <v>1</v>
      </c>
      <c r="I2076" t="str">
        <f>VLOOKUP(order_details[[#This Row],[OrderID]], orders[[OrderID]:[ShipCountry]], 14, FALSE)</f>
        <v>Venezuela</v>
      </c>
      <c r="J2076" s="1">
        <f>_xlfn.XLOOKUP(order_details[[#This Row],[OrderID]], orders[OrderID], orders[Month])</f>
        <v>5</v>
      </c>
    </row>
    <row r="2077" spans="1:10" x14ac:dyDescent="0.35">
      <c r="A2077">
        <v>11055</v>
      </c>
      <c r="B2077">
        <v>25</v>
      </c>
      <c r="C2077">
        <v>14</v>
      </c>
      <c r="D2077">
        <v>15</v>
      </c>
      <c r="E2077">
        <v>0</v>
      </c>
      <c r="F2077">
        <v>210</v>
      </c>
      <c r="G2077" t="str">
        <f>VLOOKUP(VLOOKUP(order_details[[#This Row],[ProductID]], products[], 4, FALSE), categories[], 2, FALSE)</f>
        <v>Confections</v>
      </c>
      <c r="H2077">
        <f>VLOOKUP(order_details[[#This Row],[ProductID]], products[], 4, FALSE)</f>
        <v>3</v>
      </c>
      <c r="I2077" t="str">
        <f>VLOOKUP(order_details[[#This Row],[OrderID]], orders[[OrderID]:[ShipCountry]], 14, FALSE)</f>
        <v>Venezuela</v>
      </c>
      <c r="J2077" s="1">
        <f>_xlfn.XLOOKUP(order_details[[#This Row],[OrderID]], orders[OrderID], orders[Month])</f>
        <v>5</v>
      </c>
    </row>
    <row r="2078" spans="1:10" x14ac:dyDescent="0.35">
      <c r="A2078">
        <v>11055</v>
      </c>
      <c r="B2078">
        <v>51</v>
      </c>
      <c r="C2078">
        <v>53</v>
      </c>
      <c r="D2078">
        <v>20</v>
      </c>
      <c r="E2078">
        <v>0</v>
      </c>
      <c r="F2078">
        <v>1060</v>
      </c>
      <c r="G2078" t="str">
        <f>VLOOKUP(VLOOKUP(order_details[[#This Row],[ProductID]], products[], 4, FALSE), categories[], 2, FALSE)</f>
        <v>Produce</v>
      </c>
      <c r="H2078">
        <f>VLOOKUP(order_details[[#This Row],[ProductID]], products[], 4, FALSE)</f>
        <v>7</v>
      </c>
      <c r="I2078" t="str">
        <f>VLOOKUP(order_details[[#This Row],[OrderID]], orders[[OrderID]:[ShipCountry]], 14, FALSE)</f>
        <v>Venezuela</v>
      </c>
      <c r="J2078" s="1">
        <f>_xlfn.XLOOKUP(order_details[[#This Row],[OrderID]], orders[OrderID], orders[Month])</f>
        <v>5</v>
      </c>
    </row>
    <row r="2079" spans="1:10" x14ac:dyDescent="0.35">
      <c r="A2079">
        <v>11055</v>
      </c>
      <c r="B2079">
        <v>57</v>
      </c>
      <c r="C2079">
        <v>19.5</v>
      </c>
      <c r="D2079">
        <v>20</v>
      </c>
      <c r="E2079">
        <v>0</v>
      </c>
      <c r="F2079">
        <v>390</v>
      </c>
      <c r="G2079" t="str">
        <f>VLOOKUP(VLOOKUP(order_details[[#This Row],[ProductID]], products[], 4, FALSE), categories[], 2, FALSE)</f>
        <v>Grains/Cereals</v>
      </c>
      <c r="H2079">
        <f>VLOOKUP(order_details[[#This Row],[ProductID]], products[], 4, FALSE)</f>
        <v>5</v>
      </c>
      <c r="I2079" t="str">
        <f>VLOOKUP(order_details[[#This Row],[OrderID]], orders[[OrderID]:[ShipCountry]], 14, FALSE)</f>
        <v>Venezuela</v>
      </c>
      <c r="J2079" s="1">
        <f>_xlfn.XLOOKUP(order_details[[#This Row],[OrderID]], orders[OrderID], orders[Month])</f>
        <v>5</v>
      </c>
    </row>
    <row r="2080" spans="1:10" x14ac:dyDescent="0.35">
      <c r="A2080">
        <v>11056</v>
      </c>
      <c r="B2080">
        <v>7</v>
      </c>
      <c r="C2080">
        <v>30</v>
      </c>
      <c r="D2080">
        <v>40</v>
      </c>
      <c r="E2080">
        <v>0</v>
      </c>
      <c r="F2080">
        <v>1200</v>
      </c>
      <c r="G2080" t="str">
        <f>VLOOKUP(VLOOKUP(order_details[[#This Row],[ProductID]], products[], 4, FALSE), categories[], 2, FALSE)</f>
        <v>Produce</v>
      </c>
      <c r="H2080">
        <f>VLOOKUP(order_details[[#This Row],[ProductID]], products[], 4, FALSE)</f>
        <v>7</v>
      </c>
      <c r="I2080" t="str">
        <f>VLOOKUP(order_details[[#This Row],[OrderID]], orders[[OrderID]:[ShipCountry]], 14, FALSE)</f>
        <v>UK</v>
      </c>
      <c r="J2080" s="1">
        <f>_xlfn.XLOOKUP(order_details[[#This Row],[OrderID]], orders[OrderID], orders[Month])</f>
        <v>5</v>
      </c>
    </row>
    <row r="2081" spans="1:10" x14ac:dyDescent="0.35">
      <c r="A2081">
        <v>11056</v>
      </c>
      <c r="B2081">
        <v>55</v>
      </c>
      <c r="C2081">
        <v>24</v>
      </c>
      <c r="D2081">
        <v>35</v>
      </c>
      <c r="E2081">
        <v>0</v>
      </c>
      <c r="F2081">
        <v>840</v>
      </c>
      <c r="G2081" t="str">
        <f>VLOOKUP(VLOOKUP(order_details[[#This Row],[ProductID]], products[], 4, FALSE), categories[], 2, FALSE)</f>
        <v>Meat/Poultry</v>
      </c>
      <c r="H2081">
        <f>VLOOKUP(order_details[[#This Row],[ProductID]], products[], 4, FALSE)</f>
        <v>6</v>
      </c>
      <c r="I2081" t="str">
        <f>VLOOKUP(order_details[[#This Row],[OrderID]], orders[[OrderID]:[ShipCountry]], 14, FALSE)</f>
        <v>UK</v>
      </c>
      <c r="J2081" s="1">
        <f>_xlfn.XLOOKUP(order_details[[#This Row],[OrderID]], orders[OrderID], orders[Month])</f>
        <v>5</v>
      </c>
    </row>
    <row r="2082" spans="1:10" x14ac:dyDescent="0.35">
      <c r="A2082">
        <v>11056</v>
      </c>
      <c r="B2082">
        <v>60</v>
      </c>
      <c r="C2082">
        <v>34</v>
      </c>
      <c r="D2082">
        <v>50</v>
      </c>
      <c r="E2082">
        <v>0</v>
      </c>
      <c r="F2082">
        <v>1700</v>
      </c>
      <c r="G2082" t="str">
        <f>VLOOKUP(VLOOKUP(order_details[[#This Row],[ProductID]], products[], 4, FALSE), categories[], 2, FALSE)</f>
        <v>Dairy Products</v>
      </c>
      <c r="H2082">
        <f>VLOOKUP(order_details[[#This Row],[ProductID]], products[], 4, FALSE)</f>
        <v>4</v>
      </c>
      <c r="I2082" t="str">
        <f>VLOOKUP(order_details[[#This Row],[OrderID]], orders[[OrderID]:[ShipCountry]], 14, FALSE)</f>
        <v>UK</v>
      </c>
      <c r="J2082" s="1">
        <f>_xlfn.XLOOKUP(order_details[[#This Row],[OrderID]], orders[OrderID], orders[Month])</f>
        <v>5</v>
      </c>
    </row>
    <row r="2083" spans="1:10" x14ac:dyDescent="0.35">
      <c r="A2083">
        <v>11057</v>
      </c>
      <c r="B2083">
        <v>70</v>
      </c>
      <c r="C2083">
        <v>15</v>
      </c>
      <c r="D2083">
        <v>3</v>
      </c>
      <c r="E2083">
        <v>0</v>
      </c>
      <c r="F2083">
        <v>45</v>
      </c>
      <c r="G2083" t="str">
        <f>VLOOKUP(VLOOKUP(order_details[[#This Row],[ProductID]], products[], 4, FALSE), categories[], 2, FALSE)</f>
        <v>Beverages</v>
      </c>
      <c r="H2083">
        <f>VLOOKUP(order_details[[#This Row],[ProductID]], products[], 4, FALSE)</f>
        <v>1</v>
      </c>
      <c r="I2083" t="str">
        <f>VLOOKUP(order_details[[#This Row],[OrderID]], orders[[OrderID]:[ShipCountry]], 14, FALSE)</f>
        <v>UK</v>
      </c>
      <c r="J2083" s="1">
        <f>_xlfn.XLOOKUP(order_details[[#This Row],[OrderID]], orders[OrderID], orders[Month])</f>
        <v>5</v>
      </c>
    </row>
    <row r="2084" spans="1:10" x14ac:dyDescent="0.35">
      <c r="A2084">
        <v>11058</v>
      </c>
      <c r="B2084">
        <v>21</v>
      </c>
      <c r="C2084">
        <v>10</v>
      </c>
      <c r="D2084">
        <v>3</v>
      </c>
      <c r="E2084">
        <v>0</v>
      </c>
      <c r="F2084">
        <v>30</v>
      </c>
      <c r="G2084" t="str">
        <f>VLOOKUP(VLOOKUP(order_details[[#This Row],[ProductID]], products[], 4, FALSE), categories[], 2, FALSE)</f>
        <v>Confections</v>
      </c>
      <c r="H2084">
        <f>VLOOKUP(order_details[[#This Row],[ProductID]], products[], 4, FALSE)</f>
        <v>3</v>
      </c>
      <c r="I2084" t="str">
        <f>VLOOKUP(order_details[[#This Row],[OrderID]], orders[[OrderID]:[ShipCountry]], 14, FALSE)</f>
        <v>Germany</v>
      </c>
      <c r="J2084" s="1">
        <f>_xlfn.XLOOKUP(order_details[[#This Row],[OrderID]], orders[OrderID], orders[Month])</f>
        <v>5</v>
      </c>
    </row>
    <row r="2085" spans="1:10" x14ac:dyDescent="0.35">
      <c r="A2085">
        <v>11058</v>
      </c>
      <c r="B2085">
        <v>60</v>
      </c>
      <c r="C2085">
        <v>34</v>
      </c>
      <c r="D2085">
        <v>21</v>
      </c>
      <c r="E2085">
        <v>0</v>
      </c>
      <c r="F2085">
        <v>714</v>
      </c>
      <c r="G2085" t="str">
        <f>VLOOKUP(VLOOKUP(order_details[[#This Row],[ProductID]], products[], 4, FALSE), categories[], 2, FALSE)</f>
        <v>Dairy Products</v>
      </c>
      <c r="H2085">
        <f>VLOOKUP(order_details[[#This Row],[ProductID]], products[], 4, FALSE)</f>
        <v>4</v>
      </c>
      <c r="I2085" t="str">
        <f>VLOOKUP(order_details[[#This Row],[OrderID]], orders[[OrderID]:[ShipCountry]], 14, FALSE)</f>
        <v>Germany</v>
      </c>
      <c r="J2085" s="1">
        <f>_xlfn.XLOOKUP(order_details[[#This Row],[OrderID]], orders[OrderID], orders[Month])</f>
        <v>5</v>
      </c>
    </row>
    <row r="2086" spans="1:10" x14ac:dyDescent="0.35">
      <c r="A2086">
        <v>11058</v>
      </c>
      <c r="B2086">
        <v>61</v>
      </c>
      <c r="C2086">
        <v>28.5</v>
      </c>
      <c r="D2086">
        <v>4</v>
      </c>
      <c r="E2086">
        <v>0</v>
      </c>
      <c r="F2086">
        <v>114</v>
      </c>
      <c r="G2086" t="str">
        <f>VLOOKUP(VLOOKUP(order_details[[#This Row],[ProductID]], products[], 4, FALSE), categories[], 2, FALSE)</f>
        <v>Condiments</v>
      </c>
      <c r="H2086">
        <f>VLOOKUP(order_details[[#This Row],[ProductID]], products[], 4, FALSE)</f>
        <v>2</v>
      </c>
      <c r="I2086" t="str">
        <f>VLOOKUP(order_details[[#This Row],[OrderID]], orders[[OrderID]:[ShipCountry]], 14, FALSE)</f>
        <v>Germany</v>
      </c>
      <c r="J2086" s="1">
        <f>_xlfn.XLOOKUP(order_details[[#This Row],[OrderID]], orders[OrderID], orders[Month])</f>
        <v>5</v>
      </c>
    </row>
    <row r="2087" spans="1:10" x14ac:dyDescent="0.35">
      <c r="A2087">
        <v>11059</v>
      </c>
      <c r="B2087">
        <v>13</v>
      </c>
      <c r="C2087">
        <v>6</v>
      </c>
      <c r="D2087">
        <v>30</v>
      </c>
      <c r="E2087">
        <v>0</v>
      </c>
      <c r="F2087">
        <v>180</v>
      </c>
      <c r="G2087" t="str">
        <f>VLOOKUP(VLOOKUP(order_details[[#This Row],[ProductID]], products[], 4, FALSE), categories[], 2, FALSE)</f>
        <v>Seafood</v>
      </c>
      <c r="H2087">
        <f>VLOOKUP(order_details[[#This Row],[ProductID]], products[], 4, FALSE)</f>
        <v>8</v>
      </c>
      <c r="I2087" t="str">
        <f>VLOOKUP(order_details[[#This Row],[OrderID]], orders[[OrderID]:[ShipCountry]], 14, FALSE)</f>
        <v>Brazil</v>
      </c>
      <c r="J2087" s="1">
        <f>_xlfn.XLOOKUP(order_details[[#This Row],[OrderID]], orders[OrderID], orders[Month])</f>
        <v>5</v>
      </c>
    </row>
    <row r="2088" spans="1:10" x14ac:dyDescent="0.35">
      <c r="A2088">
        <v>11059</v>
      </c>
      <c r="B2088">
        <v>17</v>
      </c>
      <c r="C2088">
        <v>39</v>
      </c>
      <c r="D2088">
        <v>12</v>
      </c>
      <c r="E2088">
        <v>0</v>
      </c>
      <c r="F2088">
        <v>468</v>
      </c>
      <c r="G2088" t="str">
        <f>VLOOKUP(VLOOKUP(order_details[[#This Row],[ProductID]], products[], 4, FALSE), categories[], 2, FALSE)</f>
        <v>Meat/Poultry</v>
      </c>
      <c r="H2088">
        <f>VLOOKUP(order_details[[#This Row],[ProductID]], products[], 4, FALSE)</f>
        <v>6</v>
      </c>
      <c r="I2088" t="str">
        <f>VLOOKUP(order_details[[#This Row],[OrderID]], orders[[OrderID]:[ShipCountry]], 14, FALSE)</f>
        <v>Brazil</v>
      </c>
      <c r="J2088" s="1">
        <f>_xlfn.XLOOKUP(order_details[[#This Row],[OrderID]], orders[OrderID], orders[Month])</f>
        <v>5</v>
      </c>
    </row>
    <row r="2089" spans="1:10" x14ac:dyDescent="0.35">
      <c r="A2089">
        <v>11059</v>
      </c>
      <c r="B2089">
        <v>60</v>
      </c>
      <c r="C2089">
        <v>34</v>
      </c>
      <c r="D2089">
        <v>35</v>
      </c>
      <c r="E2089">
        <v>0</v>
      </c>
      <c r="F2089">
        <v>1190</v>
      </c>
      <c r="G2089" t="str">
        <f>VLOOKUP(VLOOKUP(order_details[[#This Row],[ProductID]], products[], 4, FALSE), categories[], 2, FALSE)</f>
        <v>Dairy Products</v>
      </c>
      <c r="H2089">
        <f>VLOOKUP(order_details[[#This Row],[ProductID]], products[], 4, FALSE)</f>
        <v>4</v>
      </c>
      <c r="I2089" t="str">
        <f>VLOOKUP(order_details[[#This Row],[OrderID]], orders[[OrderID]:[ShipCountry]], 14, FALSE)</f>
        <v>Brazil</v>
      </c>
      <c r="J2089" s="1">
        <f>_xlfn.XLOOKUP(order_details[[#This Row],[OrderID]], orders[OrderID], orders[Month])</f>
        <v>5</v>
      </c>
    </row>
    <row r="2090" spans="1:10" x14ac:dyDescent="0.35">
      <c r="A2090">
        <v>11060</v>
      </c>
      <c r="B2090">
        <v>60</v>
      </c>
      <c r="C2090">
        <v>34</v>
      </c>
      <c r="D2090">
        <v>4</v>
      </c>
      <c r="E2090">
        <v>0</v>
      </c>
      <c r="F2090">
        <v>136</v>
      </c>
      <c r="G2090" t="str">
        <f>VLOOKUP(VLOOKUP(order_details[[#This Row],[ProductID]], products[], 4, FALSE), categories[], 2, FALSE)</f>
        <v>Dairy Products</v>
      </c>
      <c r="H2090">
        <f>VLOOKUP(order_details[[#This Row],[ProductID]], products[], 4, FALSE)</f>
        <v>4</v>
      </c>
      <c r="I2090" t="str">
        <f>VLOOKUP(order_details[[#This Row],[OrderID]], orders[[OrderID]:[ShipCountry]], 14, FALSE)</f>
        <v>Italy</v>
      </c>
      <c r="J2090" s="1">
        <f>_xlfn.XLOOKUP(order_details[[#This Row],[OrderID]], orders[OrderID], orders[Month])</f>
        <v>5</v>
      </c>
    </row>
    <row r="2091" spans="1:10" x14ac:dyDescent="0.35">
      <c r="A2091">
        <v>11060</v>
      </c>
      <c r="B2091">
        <v>77</v>
      </c>
      <c r="C2091">
        <v>13</v>
      </c>
      <c r="D2091">
        <v>10</v>
      </c>
      <c r="E2091">
        <v>0</v>
      </c>
      <c r="F2091">
        <v>130</v>
      </c>
      <c r="G2091" t="str">
        <f>VLOOKUP(VLOOKUP(order_details[[#This Row],[ProductID]], products[], 4, FALSE), categories[], 2, FALSE)</f>
        <v>Condiments</v>
      </c>
      <c r="H2091">
        <f>VLOOKUP(order_details[[#This Row],[ProductID]], products[], 4, FALSE)</f>
        <v>2</v>
      </c>
      <c r="I2091" t="str">
        <f>VLOOKUP(order_details[[#This Row],[OrderID]], orders[[OrderID]:[ShipCountry]], 14, FALSE)</f>
        <v>Italy</v>
      </c>
      <c r="J2091" s="1">
        <f>_xlfn.XLOOKUP(order_details[[#This Row],[OrderID]], orders[OrderID], orders[Month])</f>
        <v>5</v>
      </c>
    </row>
    <row r="2092" spans="1:10" x14ac:dyDescent="0.35">
      <c r="A2092">
        <v>11061</v>
      </c>
      <c r="B2092">
        <v>60</v>
      </c>
      <c r="C2092">
        <v>34</v>
      </c>
      <c r="D2092">
        <v>15</v>
      </c>
      <c r="E2092">
        <v>0</v>
      </c>
      <c r="F2092">
        <v>510</v>
      </c>
      <c r="G2092" t="str">
        <f>VLOOKUP(VLOOKUP(order_details[[#This Row],[ProductID]], products[], 4, FALSE), categories[], 2, FALSE)</f>
        <v>Dairy Products</v>
      </c>
      <c r="H2092">
        <f>VLOOKUP(order_details[[#This Row],[ProductID]], products[], 4, FALSE)</f>
        <v>4</v>
      </c>
      <c r="I2092" t="str">
        <f>VLOOKUP(order_details[[#This Row],[OrderID]], orders[[OrderID]:[ShipCountry]], 14, FALSE)</f>
        <v>USA</v>
      </c>
      <c r="J2092" s="1">
        <f>_xlfn.XLOOKUP(order_details[[#This Row],[OrderID]], orders[OrderID], orders[Month])</f>
        <v>5</v>
      </c>
    </row>
    <row r="2093" spans="1:10" x14ac:dyDescent="0.35">
      <c r="A2093">
        <v>11062</v>
      </c>
      <c r="B2093">
        <v>53</v>
      </c>
      <c r="C2093">
        <v>32.799999999999997</v>
      </c>
      <c r="D2093">
        <v>10</v>
      </c>
      <c r="E2093">
        <v>0.2</v>
      </c>
      <c r="F2093">
        <v>262.40000000000003</v>
      </c>
      <c r="G2093" t="str">
        <f>VLOOKUP(VLOOKUP(order_details[[#This Row],[ProductID]], products[], 4, FALSE), categories[], 2, FALSE)</f>
        <v>Meat/Poultry</v>
      </c>
      <c r="H2093">
        <f>VLOOKUP(order_details[[#This Row],[ProductID]], products[], 4, FALSE)</f>
        <v>6</v>
      </c>
      <c r="I2093" t="str">
        <f>VLOOKUP(order_details[[#This Row],[OrderID]], orders[[OrderID]:[ShipCountry]], 14, FALSE)</f>
        <v>Italy</v>
      </c>
      <c r="J2093" s="1">
        <f>_xlfn.XLOOKUP(order_details[[#This Row],[OrderID]], orders[OrderID], orders[Month])</f>
        <v>5</v>
      </c>
    </row>
    <row r="2094" spans="1:10" x14ac:dyDescent="0.35">
      <c r="A2094">
        <v>11062</v>
      </c>
      <c r="B2094">
        <v>70</v>
      </c>
      <c r="C2094">
        <v>15</v>
      </c>
      <c r="D2094">
        <v>12</v>
      </c>
      <c r="E2094">
        <v>0.2</v>
      </c>
      <c r="F2094">
        <v>144</v>
      </c>
      <c r="G2094" t="str">
        <f>VLOOKUP(VLOOKUP(order_details[[#This Row],[ProductID]], products[], 4, FALSE), categories[], 2, FALSE)</f>
        <v>Beverages</v>
      </c>
      <c r="H2094">
        <f>VLOOKUP(order_details[[#This Row],[ProductID]], products[], 4, FALSE)</f>
        <v>1</v>
      </c>
      <c r="I2094" t="str">
        <f>VLOOKUP(order_details[[#This Row],[OrderID]], orders[[OrderID]:[ShipCountry]], 14, FALSE)</f>
        <v>Italy</v>
      </c>
      <c r="J2094" s="1">
        <f>_xlfn.XLOOKUP(order_details[[#This Row],[OrderID]], orders[OrderID], orders[Month])</f>
        <v>5</v>
      </c>
    </row>
    <row r="2095" spans="1:10" x14ac:dyDescent="0.35">
      <c r="A2095">
        <v>11063</v>
      </c>
      <c r="B2095">
        <v>34</v>
      </c>
      <c r="C2095">
        <v>14</v>
      </c>
      <c r="D2095">
        <v>30</v>
      </c>
      <c r="E2095">
        <v>0</v>
      </c>
      <c r="F2095">
        <v>420</v>
      </c>
      <c r="G2095" t="str">
        <f>VLOOKUP(VLOOKUP(order_details[[#This Row],[ProductID]], products[], 4, FALSE), categories[], 2, FALSE)</f>
        <v>Beverages</v>
      </c>
      <c r="H2095">
        <f>VLOOKUP(order_details[[#This Row],[ProductID]], products[], 4, FALSE)</f>
        <v>1</v>
      </c>
      <c r="I2095" t="str">
        <f>VLOOKUP(order_details[[#This Row],[OrderID]], orders[[OrderID]:[ShipCountry]], 14, FALSE)</f>
        <v>Ireland</v>
      </c>
      <c r="J2095" s="1">
        <f>_xlfn.XLOOKUP(order_details[[#This Row],[OrderID]], orders[OrderID], orders[Month])</f>
        <v>5</v>
      </c>
    </row>
    <row r="2096" spans="1:10" x14ac:dyDescent="0.35">
      <c r="A2096">
        <v>11063</v>
      </c>
      <c r="B2096">
        <v>40</v>
      </c>
      <c r="C2096">
        <v>18.399999999999999</v>
      </c>
      <c r="D2096">
        <v>40</v>
      </c>
      <c r="E2096">
        <v>0.1</v>
      </c>
      <c r="F2096">
        <v>662.4</v>
      </c>
      <c r="G2096" t="str">
        <f>VLOOKUP(VLOOKUP(order_details[[#This Row],[ProductID]], products[], 4, FALSE), categories[], 2, FALSE)</f>
        <v>Seafood</v>
      </c>
      <c r="H2096">
        <f>VLOOKUP(order_details[[#This Row],[ProductID]], products[], 4, FALSE)</f>
        <v>8</v>
      </c>
      <c r="I2096" t="str">
        <f>VLOOKUP(order_details[[#This Row],[OrderID]], orders[[OrderID]:[ShipCountry]], 14, FALSE)</f>
        <v>Ireland</v>
      </c>
      <c r="J2096" s="1">
        <f>_xlfn.XLOOKUP(order_details[[#This Row],[OrderID]], orders[OrderID], orders[Month])</f>
        <v>5</v>
      </c>
    </row>
    <row r="2097" spans="1:10" x14ac:dyDescent="0.35">
      <c r="A2097">
        <v>11063</v>
      </c>
      <c r="B2097">
        <v>41</v>
      </c>
      <c r="C2097">
        <v>9.65</v>
      </c>
      <c r="D2097">
        <v>30</v>
      </c>
      <c r="E2097">
        <v>0.1</v>
      </c>
      <c r="F2097">
        <v>260.55</v>
      </c>
      <c r="G2097" t="str">
        <f>VLOOKUP(VLOOKUP(order_details[[#This Row],[ProductID]], products[], 4, FALSE), categories[], 2, FALSE)</f>
        <v>Seafood</v>
      </c>
      <c r="H2097">
        <f>VLOOKUP(order_details[[#This Row],[ProductID]], products[], 4, FALSE)</f>
        <v>8</v>
      </c>
      <c r="I2097" t="str">
        <f>VLOOKUP(order_details[[#This Row],[OrderID]], orders[[OrderID]:[ShipCountry]], 14, FALSE)</f>
        <v>Ireland</v>
      </c>
      <c r="J2097" s="1">
        <f>_xlfn.XLOOKUP(order_details[[#This Row],[OrderID]], orders[OrderID], orders[Month])</f>
        <v>5</v>
      </c>
    </row>
    <row r="2098" spans="1:10" x14ac:dyDescent="0.35">
      <c r="A2098">
        <v>11064</v>
      </c>
      <c r="B2098">
        <v>17</v>
      </c>
      <c r="C2098">
        <v>39</v>
      </c>
      <c r="D2098">
        <v>77</v>
      </c>
      <c r="E2098">
        <v>0.1</v>
      </c>
      <c r="F2098">
        <v>2702.7000000000003</v>
      </c>
      <c r="G2098" t="str">
        <f>VLOOKUP(VLOOKUP(order_details[[#This Row],[ProductID]], products[], 4, FALSE), categories[], 2, FALSE)</f>
        <v>Meat/Poultry</v>
      </c>
      <c r="H2098">
        <f>VLOOKUP(order_details[[#This Row],[ProductID]], products[], 4, FALSE)</f>
        <v>6</v>
      </c>
      <c r="I2098" t="str">
        <f>VLOOKUP(order_details[[#This Row],[OrderID]], orders[[OrderID]:[ShipCountry]], 14, FALSE)</f>
        <v>USA</v>
      </c>
      <c r="J2098" s="1">
        <f>_xlfn.XLOOKUP(order_details[[#This Row],[OrderID]], orders[OrderID], orders[Month])</f>
        <v>5</v>
      </c>
    </row>
    <row r="2099" spans="1:10" x14ac:dyDescent="0.35">
      <c r="A2099">
        <v>11064</v>
      </c>
      <c r="B2099">
        <v>41</v>
      </c>
      <c r="C2099">
        <v>9.65</v>
      </c>
      <c r="D2099">
        <v>12</v>
      </c>
      <c r="E2099">
        <v>0</v>
      </c>
      <c r="F2099">
        <v>115.80000000000001</v>
      </c>
      <c r="G2099" t="str">
        <f>VLOOKUP(VLOOKUP(order_details[[#This Row],[ProductID]], products[], 4, FALSE), categories[], 2, FALSE)</f>
        <v>Seafood</v>
      </c>
      <c r="H2099">
        <f>VLOOKUP(order_details[[#This Row],[ProductID]], products[], 4, FALSE)</f>
        <v>8</v>
      </c>
      <c r="I2099" t="str">
        <f>VLOOKUP(order_details[[#This Row],[OrderID]], orders[[OrderID]:[ShipCountry]], 14, FALSE)</f>
        <v>USA</v>
      </c>
      <c r="J2099" s="1">
        <f>_xlfn.XLOOKUP(order_details[[#This Row],[OrderID]], orders[OrderID], orders[Month])</f>
        <v>5</v>
      </c>
    </row>
    <row r="2100" spans="1:10" x14ac:dyDescent="0.35">
      <c r="A2100">
        <v>11064</v>
      </c>
      <c r="B2100">
        <v>53</v>
      </c>
      <c r="C2100">
        <v>32.799999999999997</v>
      </c>
      <c r="D2100">
        <v>25</v>
      </c>
      <c r="E2100">
        <v>0.1</v>
      </c>
      <c r="F2100">
        <v>737.99999999999989</v>
      </c>
      <c r="G2100" t="str">
        <f>VLOOKUP(VLOOKUP(order_details[[#This Row],[ProductID]], products[], 4, FALSE), categories[], 2, FALSE)</f>
        <v>Meat/Poultry</v>
      </c>
      <c r="H2100">
        <f>VLOOKUP(order_details[[#This Row],[ProductID]], products[], 4, FALSE)</f>
        <v>6</v>
      </c>
      <c r="I2100" t="str">
        <f>VLOOKUP(order_details[[#This Row],[OrderID]], orders[[OrderID]:[ShipCountry]], 14, FALSE)</f>
        <v>USA</v>
      </c>
      <c r="J2100" s="1">
        <f>_xlfn.XLOOKUP(order_details[[#This Row],[OrderID]], orders[OrderID], orders[Month])</f>
        <v>5</v>
      </c>
    </row>
    <row r="2101" spans="1:10" x14ac:dyDescent="0.35">
      <c r="A2101">
        <v>11064</v>
      </c>
      <c r="B2101">
        <v>55</v>
      </c>
      <c r="C2101">
        <v>24</v>
      </c>
      <c r="D2101">
        <v>4</v>
      </c>
      <c r="E2101">
        <v>0.1</v>
      </c>
      <c r="F2101">
        <v>86.4</v>
      </c>
      <c r="G2101" t="str">
        <f>VLOOKUP(VLOOKUP(order_details[[#This Row],[ProductID]], products[], 4, FALSE), categories[], 2, FALSE)</f>
        <v>Meat/Poultry</v>
      </c>
      <c r="H2101">
        <f>VLOOKUP(order_details[[#This Row],[ProductID]], products[], 4, FALSE)</f>
        <v>6</v>
      </c>
      <c r="I2101" t="str">
        <f>VLOOKUP(order_details[[#This Row],[OrderID]], orders[[OrderID]:[ShipCountry]], 14, FALSE)</f>
        <v>USA</v>
      </c>
      <c r="J2101" s="1">
        <f>_xlfn.XLOOKUP(order_details[[#This Row],[OrderID]], orders[OrderID], orders[Month])</f>
        <v>5</v>
      </c>
    </row>
    <row r="2102" spans="1:10" x14ac:dyDescent="0.35">
      <c r="A2102">
        <v>11064</v>
      </c>
      <c r="B2102">
        <v>68</v>
      </c>
      <c r="C2102">
        <v>12.5</v>
      </c>
      <c r="D2102">
        <v>55</v>
      </c>
      <c r="E2102">
        <v>0</v>
      </c>
      <c r="F2102">
        <v>687.5</v>
      </c>
      <c r="G2102" t="str">
        <f>VLOOKUP(VLOOKUP(order_details[[#This Row],[ProductID]], products[], 4, FALSE), categories[], 2, FALSE)</f>
        <v>Confections</v>
      </c>
      <c r="H2102">
        <f>VLOOKUP(order_details[[#This Row],[ProductID]], products[], 4, FALSE)</f>
        <v>3</v>
      </c>
      <c r="I2102" t="str">
        <f>VLOOKUP(order_details[[#This Row],[OrderID]], orders[[OrderID]:[ShipCountry]], 14, FALSE)</f>
        <v>USA</v>
      </c>
      <c r="J2102" s="1">
        <f>_xlfn.XLOOKUP(order_details[[#This Row],[OrderID]], orders[OrderID], orders[Month])</f>
        <v>5</v>
      </c>
    </row>
    <row r="2103" spans="1:10" x14ac:dyDescent="0.35">
      <c r="A2103">
        <v>11065</v>
      </c>
      <c r="B2103">
        <v>30</v>
      </c>
      <c r="C2103">
        <v>25.89</v>
      </c>
      <c r="D2103">
        <v>4</v>
      </c>
      <c r="E2103">
        <v>0.25</v>
      </c>
      <c r="F2103">
        <v>77.67</v>
      </c>
      <c r="G2103" t="str">
        <f>VLOOKUP(VLOOKUP(order_details[[#This Row],[ProductID]], products[], 4, FALSE), categories[], 2, FALSE)</f>
        <v>Seafood</v>
      </c>
      <c r="H2103">
        <f>VLOOKUP(order_details[[#This Row],[ProductID]], products[], 4, FALSE)</f>
        <v>8</v>
      </c>
      <c r="I2103" t="str">
        <f>VLOOKUP(order_details[[#This Row],[OrderID]], orders[[OrderID]:[ShipCountry]], 14, FALSE)</f>
        <v>Venezuela</v>
      </c>
      <c r="J2103" s="1">
        <f>_xlfn.XLOOKUP(order_details[[#This Row],[OrderID]], orders[OrderID], orders[Month])</f>
        <v>5</v>
      </c>
    </row>
    <row r="2104" spans="1:10" x14ac:dyDescent="0.35">
      <c r="A2104">
        <v>11065</v>
      </c>
      <c r="B2104">
        <v>54</v>
      </c>
      <c r="C2104">
        <v>7.45</v>
      </c>
      <c r="D2104">
        <v>20</v>
      </c>
      <c r="E2104">
        <v>0.25</v>
      </c>
      <c r="F2104">
        <v>111.75</v>
      </c>
      <c r="G2104" t="str">
        <f>VLOOKUP(VLOOKUP(order_details[[#This Row],[ProductID]], products[], 4, FALSE), categories[], 2, FALSE)</f>
        <v>Meat/Poultry</v>
      </c>
      <c r="H2104">
        <f>VLOOKUP(order_details[[#This Row],[ProductID]], products[], 4, FALSE)</f>
        <v>6</v>
      </c>
      <c r="I2104" t="str">
        <f>VLOOKUP(order_details[[#This Row],[OrderID]], orders[[OrderID]:[ShipCountry]], 14, FALSE)</f>
        <v>Venezuela</v>
      </c>
      <c r="J2104" s="1">
        <f>_xlfn.XLOOKUP(order_details[[#This Row],[OrderID]], orders[OrderID], orders[Month])</f>
        <v>5</v>
      </c>
    </row>
    <row r="2105" spans="1:10" x14ac:dyDescent="0.35">
      <c r="A2105">
        <v>11066</v>
      </c>
      <c r="B2105">
        <v>16</v>
      </c>
      <c r="C2105">
        <v>17.45</v>
      </c>
      <c r="D2105">
        <v>3</v>
      </c>
      <c r="E2105">
        <v>0</v>
      </c>
      <c r="F2105">
        <v>52.349999999999994</v>
      </c>
      <c r="G2105" t="str">
        <f>VLOOKUP(VLOOKUP(order_details[[#This Row],[ProductID]], products[], 4, FALSE), categories[], 2, FALSE)</f>
        <v>Confections</v>
      </c>
      <c r="H2105">
        <f>VLOOKUP(order_details[[#This Row],[ProductID]], products[], 4, FALSE)</f>
        <v>3</v>
      </c>
      <c r="I2105" t="str">
        <f>VLOOKUP(order_details[[#This Row],[OrderID]], orders[[OrderID]:[ShipCountry]], 14, FALSE)</f>
        <v>USA</v>
      </c>
      <c r="J2105" s="1">
        <f>_xlfn.XLOOKUP(order_details[[#This Row],[OrderID]], orders[OrderID], orders[Month])</f>
        <v>5</v>
      </c>
    </row>
    <row r="2106" spans="1:10" x14ac:dyDescent="0.35">
      <c r="A2106">
        <v>11066</v>
      </c>
      <c r="B2106">
        <v>19</v>
      </c>
      <c r="C2106">
        <v>9.1999999999999993</v>
      </c>
      <c r="D2106">
        <v>42</v>
      </c>
      <c r="E2106">
        <v>0</v>
      </c>
      <c r="F2106">
        <v>386.4</v>
      </c>
      <c r="G2106" t="str">
        <f>VLOOKUP(VLOOKUP(order_details[[#This Row],[ProductID]], products[], 4, FALSE), categories[], 2, FALSE)</f>
        <v>Confections</v>
      </c>
      <c r="H2106">
        <f>VLOOKUP(order_details[[#This Row],[ProductID]], products[], 4, FALSE)</f>
        <v>3</v>
      </c>
      <c r="I2106" t="str">
        <f>VLOOKUP(order_details[[#This Row],[OrderID]], orders[[OrderID]:[ShipCountry]], 14, FALSE)</f>
        <v>USA</v>
      </c>
      <c r="J2106" s="1">
        <f>_xlfn.XLOOKUP(order_details[[#This Row],[OrderID]], orders[OrderID], orders[Month])</f>
        <v>5</v>
      </c>
    </row>
    <row r="2107" spans="1:10" x14ac:dyDescent="0.35">
      <c r="A2107">
        <v>11066</v>
      </c>
      <c r="B2107">
        <v>34</v>
      </c>
      <c r="C2107">
        <v>14</v>
      </c>
      <c r="D2107">
        <v>35</v>
      </c>
      <c r="E2107">
        <v>0</v>
      </c>
      <c r="F2107">
        <v>490</v>
      </c>
      <c r="G2107" t="str">
        <f>VLOOKUP(VLOOKUP(order_details[[#This Row],[ProductID]], products[], 4, FALSE), categories[], 2, FALSE)</f>
        <v>Beverages</v>
      </c>
      <c r="H2107">
        <f>VLOOKUP(order_details[[#This Row],[ProductID]], products[], 4, FALSE)</f>
        <v>1</v>
      </c>
      <c r="I2107" t="str">
        <f>VLOOKUP(order_details[[#This Row],[OrderID]], orders[[OrderID]:[ShipCountry]], 14, FALSE)</f>
        <v>USA</v>
      </c>
      <c r="J2107" s="1">
        <f>_xlfn.XLOOKUP(order_details[[#This Row],[OrderID]], orders[OrderID], orders[Month])</f>
        <v>5</v>
      </c>
    </row>
    <row r="2108" spans="1:10" x14ac:dyDescent="0.35">
      <c r="A2108">
        <v>11067</v>
      </c>
      <c r="B2108">
        <v>41</v>
      </c>
      <c r="C2108">
        <v>9.65</v>
      </c>
      <c r="D2108">
        <v>9</v>
      </c>
      <c r="E2108">
        <v>0</v>
      </c>
      <c r="F2108">
        <v>86.850000000000009</v>
      </c>
      <c r="G2108" t="str">
        <f>VLOOKUP(VLOOKUP(order_details[[#This Row],[ProductID]], products[], 4, FALSE), categories[], 2, FALSE)</f>
        <v>Seafood</v>
      </c>
      <c r="H2108">
        <f>VLOOKUP(order_details[[#This Row],[ProductID]], products[], 4, FALSE)</f>
        <v>8</v>
      </c>
      <c r="I2108" t="str">
        <f>VLOOKUP(order_details[[#This Row],[OrderID]], orders[[OrderID]:[ShipCountry]], 14, FALSE)</f>
        <v>Germany</v>
      </c>
      <c r="J2108" s="1">
        <f>_xlfn.XLOOKUP(order_details[[#This Row],[OrderID]], orders[OrderID], orders[Month])</f>
        <v>6</v>
      </c>
    </row>
    <row r="2109" spans="1:10" x14ac:dyDescent="0.35">
      <c r="A2109">
        <v>11068</v>
      </c>
      <c r="B2109">
        <v>28</v>
      </c>
      <c r="C2109">
        <v>45.6</v>
      </c>
      <c r="D2109">
        <v>8</v>
      </c>
      <c r="E2109">
        <v>0.15</v>
      </c>
      <c r="F2109">
        <v>310.08</v>
      </c>
      <c r="G2109" t="str">
        <f>VLOOKUP(VLOOKUP(order_details[[#This Row],[ProductID]], products[], 4, FALSE), categories[], 2, FALSE)</f>
        <v>Produce</v>
      </c>
      <c r="H2109">
        <f>VLOOKUP(order_details[[#This Row],[ProductID]], products[], 4, FALSE)</f>
        <v>7</v>
      </c>
      <c r="I2109" t="str">
        <f>VLOOKUP(order_details[[#This Row],[OrderID]], orders[[OrderID]:[ShipCountry]], 14, FALSE)</f>
        <v>Brazil</v>
      </c>
      <c r="J2109" s="1">
        <f>_xlfn.XLOOKUP(order_details[[#This Row],[OrderID]], orders[OrderID], orders[Month])</f>
        <v>6</v>
      </c>
    </row>
    <row r="2110" spans="1:10" x14ac:dyDescent="0.35">
      <c r="A2110">
        <v>11068</v>
      </c>
      <c r="B2110">
        <v>43</v>
      </c>
      <c r="C2110">
        <v>46</v>
      </c>
      <c r="D2110">
        <v>36</v>
      </c>
      <c r="E2110">
        <v>0.15</v>
      </c>
      <c r="F2110">
        <v>1407.6</v>
      </c>
      <c r="G2110" t="str">
        <f>VLOOKUP(VLOOKUP(order_details[[#This Row],[ProductID]], products[], 4, FALSE), categories[], 2, FALSE)</f>
        <v>Beverages</v>
      </c>
      <c r="H2110">
        <f>VLOOKUP(order_details[[#This Row],[ProductID]], products[], 4, FALSE)</f>
        <v>1</v>
      </c>
      <c r="I2110" t="str">
        <f>VLOOKUP(order_details[[#This Row],[OrderID]], orders[[OrderID]:[ShipCountry]], 14, FALSE)</f>
        <v>Brazil</v>
      </c>
      <c r="J2110" s="1">
        <f>_xlfn.XLOOKUP(order_details[[#This Row],[OrderID]], orders[OrderID], orders[Month])</f>
        <v>6</v>
      </c>
    </row>
    <row r="2111" spans="1:10" x14ac:dyDescent="0.35">
      <c r="A2111">
        <v>11068</v>
      </c>
      <c r="B2111">
        <v>77</v>
      </c>
      <c r="C2111">
        <v>13</v>
      </c>
      <c r="D2111">
        <v>28</v>
      </c>
      <c r="E2111">
        <v>0.15</v>
      </c>
      <c r="F2111">
        <v>309.39999999999998</v>
      </c>
      <c r="G2111" t="str">
        <f>VLOOKUP(VLOOKUP(order_details[[#This Row],[ProductID]], products[], 4, FALSE), categories[], 2, FALSE)</f>
        <v>Condiments</v>
      </c>
      <c r="H2111">
        <f>VLOOKUP(order_details[[#This Row],[ProductID]], products[], 4, FALSE)</f>
        <v>2</v>
      </c>
      <c r="I2111" t="str">
        <f>VLOOKUP(order_details[[#This Row],[OrderID]], orders[[OrderID]:[ShipCountry]], 14, FALSE)</f>
        <v>Brazil</v>
      </c>
      <c r="J2111" s="1">
        <f>_xlfn.XLOOKUP(order_details[[#This Row],[OrderID]], orders[OrderID], orders[Month])</f>
        <v>6</v>
      </c>
    </row>
    <row r="2112" spans="1:10" x14ac:dyDescent="0.35">
      <c r="A2112">
        <v>11069</v>
      </c>
      <c r="B2112">
        <v>39</v>
      </c>
      <c r="C2112">
        <v>18</v>
      </c>
      <c r="D2112">
        <v>20</v>
      </c>
      <c r="E2112">
        <v>0</v>
      </c>
      <c r="F2112">
        <v>360</v>
      </c>
      <c r="G2112" t="str">
        <f>VLOOKUP(VLOOKUP(order_details[[#This Row],[ProductID]], products[], 4, FALSE), categories[], 2, FALSE)</f>
        <v>Beverages</v>
      </c>
      <c r="H2112">
        <f>VLOOKUP(order_details[[#This Row],[ProductID]], products[], 4, FALSE)</f>
        <v>1</v>
      </c>
      <c r="I2112" t="str">
        <f>VLOOKUP(order_details[[#This Row],[OrderID]], orders[[OrderID]:[ShipCountry]], 14, FALSE)</f>
        <v>Mexico</v>
      </c>
      <c r="J2112" s="1">
        <f>_xlfn.XLOOKUP(order_details[[#This Row],[OrderID]], orders[OrderID], orders[Month])</f>
        <v>6</v>
      </c>
    </row>
    <row r="2113" spans="1:10" x14ac:dyDescent="0.35">
      <c r="A2113">
        <v>11070</v>
      </c>
      <c r="B2113">
        <v>1</v>
      </c>
      <c r="C2113">
        <v>18</v>
      </c>
      <c r="D2113">
        <v>40</v>
      </c>
      <c r="E2113">
        <v>0.15</v>
      </c>
      <c r="F2113">
        <v>612</v>
      </c>
      <c r="G2113" t="str">
        <f>VLOOKUP(VLOOKUP(order_details[[#This Row],[ProductID]], products[], 4, FALSE), categories[], 2, FALSE)</f>
        <v>Beverages</v>
      </c>
      <c r="H2113">
        <f>VLOOKUP(order_details[[#This Row],[ProductID]], products[], 4, FALSE)</f>
        <v>1</v>
      </c>
      <c r="I2113" t="str">
        <f>VLOOKUP(order_details[[#This Row],[OrderID]], orders[[OrderID]:[ShipCountry]], 14, FALSE)</f>
        <v>Germany</v>
      </c>
      <c r="J2113" s="1">
        <f>_xlfn.XLOOKUP(order_details[[#This Row],[OrderID]], orders[OrderID], orders[Month])</f>
        <v>6</v>
      </c>
    </row>
    <row r="2114" spans="1:10" x14ac:dyDescent="0.35">
      <c r="A2114">
        <v>11070</v>
      </c>
      <c r="B2114">
        <v>2</v>
      </c>
      <c r="C2114">
        <v>19</v>
      </c>
      <c r="D2114">
        <v>20</v>
      </c>
      <c r="E2114">
        <v>0.15</v>
      </c>
      <c r="F2114">
        <v>323</v>
      </c>
      <c r="G2114" t="str">
        <f>VLOOKUP(VLOOKUP(order_details[[#This Row],[ProductID]], products[], 4, FALSE), categories[], 2, FALSE)</f>
        <v>Beverages</v>
      </c>
      <c r="H2114">
        <f>VLOOKUP(order_details[[#This Row],[ProductID]], products[], 4, FALSE)</f>
        <v>1</v>
      </c>
      <c r="I2114" t="str">
        <f>VLOOKUP(order_details[[#This Row],[OrderID]], orders[[OrderID]:[ShipCountry]], 14, FALSE)</f>
        <v>Germany</v>
      </c>
      <c r="J2114" s="1">
        <f>_xlfn.XLOOKUP(order_details[[#This Row],[OrderID]], orders[OrderID], orders[Month])</f>
        <v>6</v>
      </c>
    </row>
    <row r="2115" spans="1:10" x14ac:dyDescent="0.35">
      <c r="A2115">
        <v>11070</v>
      </c>
      <c r="B2115">
        <v>16</v>
      </c>
      <c r="C2115">
        <v>17.45</v>
      </c>
      <c r="D2115">
        <v>30</v>
      </c>
      <c r="E2115">
        <v>0.15</v>
      </c>
      <c r="F2115">
        <v>444.97499999999997</v>
      </c>
      <c r="G2115" t="str">
        <f>VLOOKUP(VLOOKUP(order_details[[#This Row],[ProductID]], products[], 4, FALSE), categories[], 2, FALSE)</f>
        <v>Confections</v>
      </c>
      <c r="H2115">
        <f>VLOOKUP(order_details[[#This Row],[ProductID]], products[], 4, FALSE)</f>
        <v>3</v>
      </c>
      <c r="I2115" t="str">
        <f>VLOOKUP(order_details[[#This Row],[OrderID]], orders[[OrderID]:[ShipCountry]], 14, FALSE)</f>
        <v>Germany</v>
      </c>
      <c r="J2115" s="1">
        <f>_xlfn.XLOOKUP(order_details[[#This Row],[OrderID]], orders[OrderID], orders[Month])</f>
        <v>6</v>
      </c>
    </row>
    <row r="2116" spans="1:10" x14ac:dyDescent="0.35">
      <c r="A2116">
        <v>11070</v>
      </c>
      <c r="B2116">
        <v>31</v>
      </c>
      <c r="C2116">
        <v>12.5</v>
      </c>
      <c r="D2116">
        <v>20</v>
      </c>
      <c r="E2116">
        <v>0</v>
      </c>
      <c r="F2116">
        <v>250</v>
      </c>
      <c r="G2116" t="str">
        <f>VLOOKUP(VLOOKUP(order_details[[#This Row],[ProductID]], products[], 4, FALSE), categories[], 2, FALSE)</f>
        <v>Dairy Products</v>
      </c>
      <c r="H2116">
        <f>VLOOKUP(order_details[[#This Row],[ProductID]], products[], 4, FALSE)</f>
        <v>4</v>
      </c>
      <c r="I2116" t="str">
        <f>VLOOKUP(order_details[[#This Row],[OrderID]], orders[[OrderID]:[ShipCountry]], 14, FALSE)</f>
        <v>Germany</v>
      </c>
      <c r="J2116" s="1">
        <f>_xlfn.XLOOKUP(order_details[[#This Row],[OrderID]], orders[OrderID], orders[Month])</f>
        <v>6</v>
      </c>
    </row>
    <row r="2117" spans="1:10" x14ac:dyDescent="0.35">
      <c r="A2117">
        <v>11071</v>
      </c>
      <c r="B2117">
        <v>7</v>
      </c>
      <c r="C2117">
        <v>30</v>
      </c>
      <c r="D2117">
        <v>15</v>
      </c>
      <c r="E2117">
        <v>0.05</v>
      </c>
      <c r="F2117">
        <v>427.5</v>
      </c>
      <c r="G2117" t="str">
        <f>VLOOKUP(VLOOKUP(order_details[[#This Row],[ProductID]], products[], 4, FALSE), categories[], 2, FALSE)</f>
        <v>Produce</v>
      </c>
      <c r="H2117">
        <f>VLOOKUP(order_details[[#This Row],[ProductID]], products[], 4, FALSE)</f>
        <v>7</v>
      </c>
      <c r="I2117" t="str">
        <f>VLOOKUP(order_details[[#This Row],[OrderID]], orders[[OrderID]:[ShipCountry]], 14, FALSE)</f>
        <v>Venezuela</v>
      </c>
      <c r="J2117" s="1">
        <f>_xlfn.XLOOKUP(order_details[[#This Row],[OrderID]], orders[OrderID], orders[Month])</f>
        <v>6</v>
      </c>
    </row>
    <row r="2118" spans="1:10" x14ac:dyDescent="0.35">
      <c r="A2118">
        <v>11071</v>
      </c>
      <c r="B2118">
        <v>13</v>
      </c>
      <c r="C2118">
        <v>6</v>
      </c>
      <c r="D2118">
        <v>10</v>
      </c>
      <c r="E2118">
        <v>0.05</v>
      </c>
      <c r="F2118">
        <v>57</v>
      </c>
      <c r="G2118" t="str">
        <f>VLOOKUP(VLOOKUP(order_details[[#This Row],[ProductID]], products[], 4, FALSE), categories[], 2, FALSE)</f>
        <v>Seafood</v>
      </c>
      <c r="H2118">
        <f>VLOOKUP(order_details[[#This Row],[ProductID]], products[], 4, FALSE)</f>
        <v>8</v>
      </c>
      <c r="I2118" t="str">
        <f>VLOOKUP(order_details[[#This Row],[OrderID]], orders[[OrderID]:[ShipCountry]], 14, FALSE)</f>
        <v>Venezuela</v>
      </c>
      <c r="J2118" s="1">
        <f>_xlfn.XLOOKUP(order_details[[#This Row],[OrderID]], orders[OrderID], orders[Month])</f>
        <v>6</v>
      </c>
    </row>
    <row r="2119" spans="1:10" x14ac:dyDescent="0.35">
      <c r="A2119">
        <v>11072</v>
      </c>
      <c r="B2119">
        <v>2</v>
      </c>
      <c r="C2119">
        <v>19</v>
      </c>
      <c r="D2119">
        <v>8</v>
      </c>
      <c r="E2119">
        <v>0</v>
      </c>
      <c r="F2119">
        <v>152</v>
      </c>
      <c r="G2119" t="str">
        <f>VLOOKUP(VLOOKUP(order_details[[#This Row],[ProductID]], products[], 4, FALSE), categories[], 2, FALSE)</f>
        <v>Beverages</v>
      </c>
      <c r="H2119">
        <f>VLOOKUP(order_details[[#This Row],[ProductID]], products[], 4, FALSE)</f>
        <v>1</v>
      </c>
      <c r="I2119" t="str">
        <f>VLOOKUP(order_details[[#This Row],[OrderID]], orders[[OrderID]:[ShipCountry]], 14, FALSE)</f>
        <v>Austria</v>
      </c>
      <c r="J2119" s="1">
        <f>_xlfn.XLOOKUP(order_details[[#This Row],[OrderID]], orders[OrderID], orders[Month])</f>
        <v>6</v>
      </c>
    </row>
    <row r="2120" spans="1:10" x14ac:dyDescent="0.35">
      <c r="A2120">
        <v>11072</v>
      </c>
      <c r="B2120">
        <v>41</v>
      </c>
      <c r="C2120">
        <v>9.65</v>
      </c>
      <c r="D2120">
        <v>40</v>
      </c>
      <c r="E2120">
        <v>0</v>
      </c>
      <c r="F2120">
        <v>386</v>
      </c>
      <c r="G2120" t="str">
        <f>VLOOKUP(VLOOKUP(order_details[[#This Row],[ProductID]], products[], 4, FALSE), categories[], 2, FALSE)</f>
        <v>Seafood</v>
      </c>
      <c r="H2120">
        <f>VLOOKUP(order_details[[#This Row],[ProductID]], products[], 4, FALSE)</f>
        <v>8</v>
      </c>
      <c r="I2120" t="str">
        <f>VLOOKUP(order_details[[#This Row],[OrderID]], orders[[OrderID]:[ShipCountry]], 14, FALSE)</f>
        <v>Austria</v>
      </c>
      <c r="J2120" s="1">
        <f>_xlfn.XLOOKUP(order_details[[#This Row],[OrderID]], orders[OrderID], orders[Month])</f>
        <v>6</v>
      </c>
    </row>
    <row r="2121" spans="1:10" x14ac:dyDescent="0.35">
      <c r="A2121">
        <v>11072</v>
      </c>
      <c r="B2121">
        <v>50</v>
      </c>
      <c r="C2121">
        <v>16.25</v>
      </c>
      <c r="D2121">
        <v>22</v>
      </c>
      <c r="E2121">
        <v>0</v>
      </c>
      <c r="F2121">
        <v>357.5</v>
      </c>
      <c r="G2121" t="str">
        <f>VLOOKUP(VLOOKUP(order_details[[#This Row],[ProductID]], products[], 4, FALSE), categories[], 2, FALSE)</f>
        <v>Confections</v>
      </c>
      <c r="H2121">
        <f>VLOOKUP(order_details[[#This Row],[ProductID]], products[], 4, FALSE)</f>
        <v>3</v>
      </c>
      <c r="I2121" t="str">
        <f>VLOOKUP(order_details[[#This Row],[OrderID]], orders[[OrderID]:[ShipCountry]], 14, FALSE)</f>
        <v>Austria</v>
      </c>
      <c r="J2121" s="1">
        <f>_xlfn.XLOOKUP(order_details[[#This Row],[OrderID]], orders[OrderID], orders[Month])</f>
        <v>6</v>
      </c>
    </row>
    <row r="2122" spans="1:10" x14ac:dyDescent="0.35">
      <c r="A2122">
        <v>11072</v>
      </c>
      <c r="B2122">
        <v>64</v>
      </c>
      <c r="C2122">
        <v>33.25</v>
      </c>
      <c r="D2122">
        <v>130</v>
      </c>
      <c r="E2122">
        <v>0</v>
      </c>
      <c r="F2122">
        <v>4322.5</v>
      </c>
      <c r="G2122" t="str">
        <f>VLOOKUP(VLOOKUP(order_details[[#This Row],[ProductID]], products[], 4, FALSE), categories[], 2, FALSE)</f>
        <v>Grains/Cereals</v>
      </c>
      <c r="H2122">
        <f>VLOOKUP(order_details[[#This Row],[ProductID]], products[], 4, FALSE)</f>
        <v>5</v>
      </c>
      <c r="I2122" t="str">
        <f>VLOOKUP(order_details[[#This Row],[OrderID]], orders[[OrderID]:[ShipCountry]], 14, FALSE)</f>
        <v>Austria</v>
      </c>
      <c r="J2122" s="1">
        <f>_xlfn.XLOOKUP(order_details[[#This Row],[OrderID]], orders[OrderID], orders[Month])</f>
        <v>6</v>
      </c>
    </row>
    <row r="2123" spans="1:10" x14ac:dyDescent="0.35">
      <c r="A2123">
        <v>11073</v>
      </c>
      <c r="B2123">
        <v>11</v>
      </c>
      <c r="C2123">
        <v>21</v>
      </c>
      <c r="D2123">
        <v>10</v>
      </c>
      <c r="E2123">
        <v>0</v>
      </c>
      <c r="F2123">
        <v>210</v>
      </c>
      <c r="G2123" t="str">
        <f>VLOOKUP(VLOOKUP(order_details[[#This Row],[ProductID]], products[], 4, FALSE), categories[], 2, FALSE)</f>
        <v>Dairy Products</v>
      </c>
      <c r="H2123">
        <f>VLOOKUP(order_details[[#This Row],[ProductID]], products[], 4, FALSE)</f>
        <v>4</v>
      </c>
      <c r="I2123" t="str">
        <f>VLOOKUP(order_details[[#This Row],[OrderID]], orders[[OrderID]:[ShipCountry]], 14, FALSE)</f>
        <v>Mexico</v>
      </c>
      <c r="J2123" s="1">
        <f>_xlfn.XLOOKUP(order_details[[#This Row],[OrderID]], orders[OrderID], orders[Month])</f>
        <v>6</v>
      </c>
    </row>
    <row r="2124" spans="1:10" x14ac:dyDescent="0.35">
      <c r="A2124">
        <v>11073</v>
      </c>
      <c r="B2124">
        <v>24</v>
      </c>
      <c r="C2124">
        <v>4.5</v>
      </c>
      <c r="D2124">
        <v>20</v>
      </c>
      <c r="E2124">
        <v>0</v>
      </c>
      <c r="F2124">
        <v>90</v>
      </c>
      <c r="G2124" t="str">
        <f>VLOOKUP(VLOOKUP(order_details[[#This Row],[ProductID]], products[], 4, FALSE), categories[], 2, FALSE)</f>
        <v>Beverages</v>
      </c>
      <c r="H2124">
        <f>VLOOKUP(order_details[[#This Row],[ProductID]], products[], 4, FALSE)</f>
        <v>1</v>
      </c>
      <c r="I2124" t="str">
        <f>VLOOKUP(order_details[[#This Row],[OrderID]], orders[[OrderID]:[ShipCountry]], 14, FALSE)</f>
        <v>Mexico</v>
      </c>
      <c r="J2124" s="1">
        <f>_xlfn.XLOOKUP(order_details[[#This Row],[OrderID]], orders[OrderID], orders[Month])</f>
        <v>6</v>
      </c>
    </row>
    <row r="2125" spans="1:10" x14ac:dyDescent="0.35">
      <c r="A2125">
        <v>11074</v>
      </c>
      <c r="B2125">
        <v>16</v>
      </c>
      <c r="C2125">
        <v>17.45</v>
      </c>
      <c r="D2125">
        <v>14</v>
      </c>
      <c r="E2125">
        <v>0.05</v>
      </c>
      <c r="F2125">
        <v>232.08499999999998</v>
      </c>
      <c r="G2125" t="str">
        <f>VLOOKUP(VLOOKUP(order_details[[#This Row],[ProductID]], products[], 4, FALSE), categories[], 2, FALSE)</f>
        <v>Confections</v>
      </c>
      <c r="H2125">
        <f>VLOOKUP(order_details[[#This Row],[ProductID]], products[], 4, FALSE)</f>
        <v>3</v>
      </c>
      <c r="I2125" t="str">
        <f>VLOOKUP(order_details[[#This Row],[OrderID]], orders[[OrderID]:[ShipCountry]], 14, FALSE)</f>
        <v>Denmark</v>
      </c>
      <c r="J2125" s="1">
        <f>_xlfn.XLOOKUP(order_details[[#This Row],[OrderID]], orders[OrderID], orders[Month])</f>
        <v>6</v>
      </c>
    </row>
    <row r="2126" spans="1:10" x14ac:dyDescent="0.35">
      <c r="A2126">
        <v>11075</v>
      </c>
      <c r="B2126">
        <v>2</v>
      </c>
      <c r="C2126">
        <v>19</v>
      </c>
      <c r="D2126">
        <v>10</v>
      </c>
      <c r="E2126">
        <v>0.15</v>
      </c>
      <c r="F2126">
        <v>161.5</v>
      </c>
      <c r="G2126" t="str">
        <f>VLOOKUP(VLOOKUP(order_details[[#This Row],[ProductID]], products[], 4, FALSE), categories[], 2, FALSE)</f>
        <v>Beverages</v>
      </c>
      <c r="H2126">
        <f>VLOOKUP(order_details[[#This Row],[ProductID]], products[], 4, FALSE)</f>
        <v>1</v>
      </c>
      <c r="I2126" t="str">
        <f>VLOOKUP(order_details[[#This Row],[OrderID]], orders[[OrderID]:[ShipCountry]], 14, FALSE)</f>
        <v>Switzerland</v>
      </c>
      <c r="J2126" s="1">
        <f>_xlfn.XLOOKUP(order_details[[#This Row],[OrderID]], orders[OrderID], orders[Month])</f>
        <v>6</v>
      </c>
    </row>
    <row r="2127" spans="1:10" x14ac:dyDescent="0.35">
      <c r="A2127">
        <v>11075</v>
      </c>
      <c r="B2127">
        <v>46</v>
      </c>
      <c r="C2127">
        <v>12</v>
      </c>
      <c r="D2127">
        <v>30</v>
      </c>
      <c r="E2127">
        <v>0.15</v>
      </c>
      <c r="F2127">
        <v>306</v>
      </c>
      <c r="G2127" t="str">
        <f>VLOOKUP(VLOOKUP(order_details[[#This Row],[ProductID]], products[], 4, FALSE), categories[], 2, FALSE)</f>
        <v>Seafood</v>
      </c>
      <c r="H2127">
        <f>VLOOKUP(order_details[[#This Row],[ProductID]], products[], 4, FALSE)</f>
        <v>8</v>
      </c>
      <c r="I2127" t="str">
        <f>VLOOKUP(order_details[[#This Row],[OrderID]], orders[[OrderID]:[ShipCountry]], 14, FALSE)</f>
        <v>Switzerland</v>
      </c>
      <c r="J2127" s="1">
        <f>_xlfn.XLOOKUP(order_details[[#This Row],[OrderID]], orders[OrderID], orders[Month])</f>
        <v>6</v>
      </c>
    </row>
    <row r="2128" spans="1:10" x14ac:dyDescent="0.35">
      <c r="A2128">
        <v>11075</v>
      </c>
      <c r="B2128">
        <v>76</v>
      </c>
      <c r="C2128">
        <v>18</v>
      </c>
      <c r="D2128">
        <v>2</v>
      </c>
      <c r="E2128">
        <v>0.15</v>
      </c>
      <c r="F2128">
        <v>30.599999999999998</v>
      </c>
      <c r="G2128" t="str">
        <f>VLOOKUP(VLOOKUP(order_details[[#This Row],[ProductID]], products[], 4, FALSE), categories[], 2, FALSE)</f>
        <v>Beverages</v>
      </c>
      <c r="H2128">
        <f>VLOOKUP(order_details[[#This Row],[ProductID]], products[], 4, FALSE)</f>
        <v>1</v>
      </c>
      <c r="I2128" t="str">
        <f>VLOOKUP(order_details[[#This Row],[OrderID]], orders[[OrderID]:[ShipCountry]], 14, FALSE)</f>
        <v>Switzerland</v>
      </c>
      <c r="J2128" s="1">
        <f>_xlfn.XLOOKUP(order_details[[#This Row],[OrderID]], orders[OrderID], orders[Month])</f>
        <v>6</v>
      </c>
    </row>
    <row r="2129" spans="1:10" x14ac:dyDescent="0.35">
      <c r="A2129">
        <v>11076</v>
      </c>
      <c r="B2129">
        <v>6</v>
      </c>
      <c r="C2129">
        <v>25</v>
      </c>
      <c r="D2129">
        <v>20</v>
      </c>
      <c r="E2129">
        <v>0.25</v>
      </c>
      <c r="F2129">
        <v>375</v>
      </c>
      <c r="G2129" t="str">
        <f>VLOOKUP(VLOOKUP(order_details[[#This Row],[ProductID]], products[], 4, FALSE), categories[], 2, FALSE)</f>
        <v>Condiments</v>
      </c>
      <c r="H2129">
        <f>VLOOKUP(order_details[[#This Row],[ProductID]], products[], 4, FALSE)</f>
        <v>2</v>
      </c>
      <c r="I2129" t="str">
        <f>VLOOKUP(order_details[[#This Row],[OrderID]], orders[[OrderID]:[ShipCountry]], 14, FALSE)</f>
        <v>France</v>
      </c>
      <c r="J2129" s="1">
        <f>_xlfn.XLOOKUP(order_details[[#This Row],[OrderID]], orders[OrderID], orders[Month])</f>
        <v>6</v>
      </c>
    </row>
    <row r="2130" spans="1:10" x14ac:dyDescent="0.35">
      <c r="A2130">
        <v>11076</v>
      </c>
      <c r="B2130">
        <v>14</v>
      </c>
      <c r="C2130">
        <v>23.25</v>
      </c>
      <c r="D2130">
        <v>20</v>
      </c>
      <c r="E2130">
        <v>0.25</v>
      </c>
      <c r="F2130">
        <v>348.75</v>
      </c>
      <c r="G2130" t="str">
        <f>VLOOKUP(VLOOKUP(order_details[[#This Row],[ProductID]], products[], 4, FALSE), categories[], 2, FALSE)</f>
        <v>Produce</v>
      </c>
      <c r="H2130">
        <f>VLOOKUP(order_details[[#This Row],[ProductID]], products[], 4, FALSE)</f>
        <v>7</v>
      </c>
      <c r="I2130" t="str">
        <f>VLOOKUP(order_details[[#This Row],[OrderID]], orders[[OrderID]:[ShipCountry]], 14, FALSE)</f>
        <v>France</v>
      </c>
      <c r="J2130" s="1">
        <f>_xlfn.XLOOKUP(order_details[[#This Row],[OrderID]], orders[OrderID], orders[Month])</f>
        <v>6</v>
      </c>
    </row>
    <row r="2131" spans="1:10" x14ac:dyDescent="0.35">
      <c r="A2131">
        <v>11076</v>
      </c>
      <c r="B2131">
        <v>19</v>
      </c>
      <c r="C2131">
        <v>9.1999999999999993</v>
      </c>
      <c r="D2131">
        <v>10</v>
      </c>
      <c r="E2131">
        <v>0.25</v>
      </c>
      <c r="F2131">
        <v>69</v>
      </c>
      <c r="G2131" t="str">
        <f>VLOOKUP(VLOOKUP(order_details[[#This Row],[ProductID]], products[], 4, FALSE), categories[], 2, FALSE)</f>
        <v>Confections</v>
      </c>
      <c r="H2131">
        <f>VLOOKUP(order_details[[#This Row],[ProductID]], products[], 4, FALSE)</f>
        <v>3</v>
      </c>
      <c r="I2131" t="str">
        <f>VLOOKUP(order_details[[#This Row],[OrderID]], orders[[OrderID]:[ShipCountry]], 14, FALSE)</f>
        <v>France</v>
      </c>
      <c r="J2131" s="1">
        <f>_xlfn.XLOOKUP(order_details[[#This Row],[OrderID]], orders[OrderID], orders[Month])</f>
        <v>6</v>
      </c>
    </row>
    <row r="2132" spans="1:10" x14ac:dyDescent="0.35">
      <c r="A2132">
        <v>11077</v>
      </c>
      <c r="B2132">
        <v>2</v>
      </c>
      <c r="C2132">
        <v>19</v>
      </c>
      <c r="D2132">
        <v>24</v>
      </c>
      <c r="E2132">
        <v>0.2</v>
      </c>
      <c r="F2132">
        <v>364.8</v>
      </c>
      <c r="G2132" t="str">
        <f>VLOOKUP(VLOOKUP(order_details[[#This Row],[ProductID]], products[], 4, FALSE), categories[], 2, FALSE)</f>
        <v>Beverages</v>
      </c>
      <c r="H2132">
        <f>VLOOKUP(order_details[[#This Row],[ProductID]], products[], 4, FALSE)</f>
        <v>1</v>
      </c>
      <c r="I2132" t="str">
        <f>VLOOKUP(order_details[[#This Row],[OrderID]], orders[[OrderID]:[ShipCountry]], 14, FALSE)</f>
        <v>USA</v>
      </c>
      <c r="J2132" s="1">
        <f>_xlfn.XLOOKUP(order_details[[#This Row],[OrderID]], orders[OrderID], orders[Month])</f>
        <v>6</v>
      </c>
    </row>
    <row r="2133" spans="1:10" x14ac:dyDescent="0.35">
      <c r="A2133">
        <v>11077</v>
      </c>
      <c r="B2133">
        <v>3</v>
      </c>
      <c r="C2133">
        <v>10</v>
      </c>
      <c r="D2133">
        <v>4</v>
      </c>
      <c r="E2133">
        <v>0</v>
      </c>
      <c r="F2133">
        <v>40</v>
      </c>
      <c r="G2133" t="str">
        <f>VLOOKUP(VLOOKUP(order_details[[#This Row],[ProductID]], products[], 4, FALSE), categories[], 2, FALSE)</f>
        <v>Condiments</v>
      </c>
      <c r="H2133">
        <f>VLOOKUP(order_details[[#This Row],[ProductID]], products[], 4, FALSE)</f>
        <v>2</v>
      </c>
      <c r="I2133" t="str">
        <f>VLOOKUP(order_details[[#This Row],[OrderID]], orders[[OrderID]:[ShipCountry]], 14, FALSE)</f>
        <v>USA</v>
      </c>
      <c r="J2133" s="1">
        <f>_xlfn.XLOOKUP(order_details[[#This Row],[OrderID]], orders[OrderID], orders[Month])</f>
        <v>6</v>
      </c>
    </row>
    <row r="2134" spans="1:10" x14ac:dyDescent="0.35">
      <c r="A2134">
        <v>11077</v>
      </c>
      <c r="B2134">
        <v>4</v>
      </c>
      <c r="C2134">
        <v>22</v>
      </c>
      <c r="D2134">
        <v>1</v>
      </c>
      <c r="E2134">
        <v>0</v>
      </c>
      <c r="F2134">
        <v>22</v>
      </c>
      <c r="G2134" t="str">
        <f>VLOOKUP(VLOOKUP(order_details[[#This Row],[ProductID]], products[], 4, FALSE), categories[], 2, FALSE)</f>
        <v>Condiments</v>
      </c>
      <c r="H2134">
        <f>VLOOKUP(order_details[[#This Row],[ProductID]], products[], 4, FALSE)</f>
        <v>2</v>
      </c>
      <c r="I2134" t="str">
        <f>VLOOKUP(order_details[[#This Row],[OrderID]], orders[[OrderID]:[ShipCountry]], 14, FALSE)</f>
        <v>USA</v>
      </c>
      <c r="J2134" s="1">
        <f>_xlfn.XLOOKUP(order_details[[#This Row],[OrderID]], orders[OrderID], orders[Month])</f>
        <v>6</v>
      </c>
    </row>
    <row r="2135" spans="1:10" x14ac:dyDescent="0.35">
      <c r="A2135">
        <v>11077</v>
      </c>
      <c r="B2135">
        <v>6</v>
      </c>
      <c r="C2135">
        <v>25</v>
      </c>
      <c r="D2135">
        <v>1</v>
      </c>
      <c r="E2135">
        <v>0.02</v>
      </c>
      <c r="F2135">
        <v>24.5</v>
      </c>
      <c r="G2135" t="str">
        <f>VLOOKUP(VLOOKUP(order_details[[#This Row],[ProductID]], products[], 4, FALSE), categories[], 2, FALSE)</f>
        <v>Condiments</v>
      </c>
      <c r="H2135">
        <f>VLOOKUP(order_details[[#This Row],[ProductID]], products[], 4, FALSE)</f>
        <v>2</v>
      </c>
      <c r="I2135" t="str">
        <f>VLOOKUP(order_details[[#This Row],[OrderID]], orders[[OrderID]:[ShipCountry]], 14, FALSE)</f>
        <v>USA</v>
      </c>
      <c r="J2135" s="1">
        <f>_xlfn.XLOOKUP(order_details[[#This Row],[OrderID]], orders[OrderID], orders[Month])</f>
        <v>6</v>
      </c>
    </row>
    <row r="2136" spans="1:10" x14ac:dyDescent="0.35">
      <c r="A2136">
        <v>11077</v>
      </c>
      <c r="B2136">
        <v>7</v>
      </c>
      <c r="C2136">
        <v>30</v>
      </c>
      <c r="D2136">
        <v>1</v>
      </c>
      <c r="E2136">
        <v>0.05</v>
      </c>
      <c r="F2136">
        <v>28.5</v>
      </c>
      <c r="G2136" t="str">
        <f>VLOOKUP(VLOOKUP(order_details[[#This Row],[ProductID]], products[], 4, FALSE), categories[], 2, FALSE)</f>
        <v>Produce</v>
      </c>
      <c r="H2136">
        <f>VLOOKUP(order_details[[#This Row],[ProductID]], products[], 4, FALSE)</f>
        <v>7</v>
      </c>
      <c r="I2136" t="str">
        <f>VLOOKUP(order_details[[#This Row],[OrderID]], orders[[OrderID]:[ShipCountry]], 14, FALSE)</f>
        <v>USA</v>
      </c>
      <c r="J2136" s="1">
        <f>_xlfn.XLOOKUP(order_details[[#This Row],[OrderID]], orders[OrderID], orders[Month])</f>
        <v>6</v>
      </c>
    </row>
    <row r="2137" spans="1:10" x14ac:dyDescent="0.35">
      <c r="A2137">
        <v>11077</v>
      </c>
      <c r="B2137">
        <v>8</v>
      </c>
      <c r="C2137">
        <v>40</v>
      </c>
      <c r="D2137">
        <v>2</v>
      </c>
      <c r="E2137">
        <v>0.1</v>
      </c>
      <c r="F2137">
        <v>72</v>
      </c>
      <c r="G2137" t="str">
        <f>VLOOKUP(VLOOKUP(order_details[[#This Row],[ProductID]], products[], 4, FALSE), categories[], 2, FALSE)</f>
        <v>Condiments</v>
      </c>
      <c r="H2137">
        <f>VLOOKUP(order_details[[#This Row],[ProductID]], products[], 4, FALSE)</f>
        <v>2</v>
      </c>
      <c r="I2137" t="str">
        <f>VLOOKUP(order_details[[#This Row],[OrderID]], orders[[OrderID]:[ShipCountry]], 14, FALSE)</f>
        <v>USA</v>
      </c>
      <c r="J2137" s="1">
        <f>_xlfn.XLOOKUP(order_details[[#This Row],[OrderID]], orders[OrderID], orders[Month])</f>
        <v>6</v>
      </c>
    </row>
    <row r="2138" spans="1:10" x14ac:dyDescent="0.35">
      <c r="A2138">
        <v>11077</v>
      </c>
      <c r="B2138">
        <v>10</v>
      </c>
      <c r="C2138">
        <v>31</v>
      </c>
      <c r="D2138">
        <v>1</v>
      </c>
      <c r="E2138">
        <v>0</v>
      </c>
      <c r="F2138">
        <v>31</v>
      </c>
      <c r="G2138" t="str">
        <f>VLOOKUP(VLOOKUP(order_details[[#This Row],[ProductID]], products[], 4, FALSE), categories[], 2, FALSE)</f>
        <v>Seafood</v>
      </c>
      <c r="H2138">
        <f>VLOOKUP(order_details[[#This Row],[ProductID]], products[], 4, FALSE)</f>
        <v>8</v>
      </c>
      <c r="I2138" t="str">
        <f>VLOOKUP(order_details[[#This Row],[OrderID]], orders[[OrderID]:[ShipCountry]], 14, FALSE)</f>
        <v>USA</v>
      </c>
      <c r="J2138" s="1">
        <f>_xlfn.XLOOKUP(order_details[[#This Row],[OrderID]], orders[OrderID], orders[Month])</f>
        <v>6</v>
      </c>
    </row>
    <row r="2139" spans="1:10" x14ac:dyDescent="0.35">
      <c r="A2139">
        <v>11077</v>
      </c>
      <c r="B2139">
        <v>12</v>
      </c>
      <c r="C2139">
        <v>38</v>
      </c>
      <c r="D2139">
        <v>2</v>
      </c>
      <c r="E2139">
        <v>0.05</v>
      </c>
      <c r="F2139">
        <v>72.2</v>
      </c>
      <c r="G2139" t="str">
        <f>VLOOKUP(VLOOKUP(order_details[[#This Row],[ProductID]], products[], 4, FALSE), categories[], 2, FALSE)</f>
        <v>Dairy Products</v>
      </c>
      <c r="H2139">
        <f>VLOOKUP(order_details[[#This Row],[ProductID]], products[], 4, FALSE)</f>
        <v>4</v>
      </c>
      <c r="I2139" t="str">
        <f>VLOOKUP(order_details[[#This Row],[OrderID]], orders[[OrderID]:[ShipCountry]], 14, FALSE)</f>
        <v>USA</v>
      </c>
      <c r="J2139" s="1">
        <f>_xlfn.XLOOKUP(order_details[[#This Row],[OrderID]], orders[OrderID], orders[Month])</f>
        <v>6</v>
      </c>
    </row>
    <row r="2140" spans="1:10" x14ac:dyDescent="0.35">
      <c r="A2140">
        <v>11077</v>
      </c>
      <c r="B2140">
        <v>13</v>
      </c>
      <c r="C2140">
        <v>6</v>
      </c>
      <c r="D2140">
        <v>4</v>
      </c>
      <c r="E2140">
        <v>0</v>
      </c>
      <c r="F2140">
        <v>24</v>
      </c>
      <c r="G2140" t="str">
        <f>VLOOKUP(VLOOKUP(order_details[[#This Row],[ProductID]], products[], 4, FALSE), categories[], 2, FALSE)</f>
        <v>Seafood</v>
      </c>
      <c r="H2140">
        <f>VLOOKUP(order_details[[#This Row],[ProductID]], products[], 4, FALSE)</f>
        <v>8</v>
      </c>
      <c r="I2140" t="str">
        <f>VLOOKUP(order_details[[#This Row],[OrderID]], orders[[OrderID]:[ShipCountry]], 14, FALSE)</f>
        <v>USA</v>
      </c>
      <c r="J2140" s="1">
        <f>_xlfn.XLOOKUP(order_details[[#This Row],[OrderID]], orders[OrderID], orders[Month])</f>
        <v>6</v>
      </c>
    </row>
    <row r="2141" spans="1:10" x14ac:dyDescent="0.35">
      <c r="A2141">
        <v>11077</v>
      </c>
      <c r="B2141">
        <v>14</v>
      </c>
      <c r="C2141">
        <v>23.25</v>
      </c>
      <c r="D2141">
        <v>1</v>
      </c>
      <c r="E2141">
        <v>0.03</v>
      </c>
      <c r="F2141">
        <v>22.552499999999998</v>
      </c>
      <c r="G2141" t="str">
        <f>VLOOKUP(VLOOKUP(order_details[[#This Row],[ProductID]], products[], 4, FALSE), categories[], 2, FALSE)</f>
        <v>Produce</v>
      </c>
      <c r="H2141">
        <f>VLOOKUP(order_details[[#This Row],[ProductID]], products[], 4, FALSE)</f>
        <v>7</v>
      </c>
      <c r="I2141" t="str">
        <f>VLOOKUP(order_details[[#This Row],[OrderID]], orders[[OrderID]:[ShipCountry]], 14, FALSE)</f>
        <v>USA</v>
      </c>
      <c r="J2141" s="1">
        <f>_xlfn.XLOOKUP(order_details[[#This Row],[OrderID]], orders[OrderID], orders[Month])</f>
        <v>6</v>
      </c>
    </row>
    <row r="2142" spans="1:10" x14ac:dyDescent="0.35">
      <c r="A2142">
        <v>11077</v>
      </c>
      <c r="B2142">
        <v>16</v>
      </c>
      <c r="C2142">
        <v>17.45</v>
      </c>
      <c r="D2142">
        <v>2</v>
      </c>
      <c r="E2142">
        <v>0.03</v>
      </c>
      <c r="F2142">
        <v>33.852999999999994</v>
      </c>
      <c r="G2142" t="str">
        <f>VLOOKUP(VLOOKUP(order_details[[#This Row],[ProductID]], products[], 4, FALSE), categories[], 2, FALSE)</f>
        <v>Confections</v>
      </c>
      <c r="H2142">
        <f>VLOOKUP(order_details[[#This Row],[ProductID]], products[], 4, FALSE)</f>
        <v>3</v>
      </c>
      <c r="I2142" t="str">
        <f>VLOOKUP(order_details[[#This Row],[OrderID]], orders[[OrderID]:[ShipCountry]], 14, FALSE)</f>
        <v>USA</v>
      </c>
      <c r="J2142" s="1">
        <f>_xlfn.XLOOKUP(order_details[[#This Row],[OrderID]], orders[OrderID], orders[Month])</f>
        <v>6</v>
      </c>
    </row>
    <row r="2143" spans="1:10" x14ac:dyDescent="0.35">
      <c r="A2143">
        <v>11077</v>
      </c>
      <c r="B2143">
        <v>20</v>
      </c>
      <c r="C2143">
        <v>81</v>
      </c>
      <c r="D2143">
        <v>1</v>
      </c>
      <c r="E2143">
        <v>0.04</v>
      </c>
      <c r="F2143">
        <v>77.759999999999991</v>
      </c>
      <c r="G2143" t="str">
        <f>VLOOKUP(VLOOKUP(order_details[[#This Row],[ProductID]], products[], 4, FALSE), categories[], 2, FALSE)</f>
        <v>Confections</v>
      </c>
      <c r="H2143">
        <f>VLOOKUP(order_details[[#This Row],[ProductID]], products[], 4, FALSE)</f>
        <v>3</v>
      </c>
      <c r="I2143" t="str">
        <f>VLOOKUP(order_details[[#This Row],[OrderID]], orders[[OrderID]:[ShipCountry]], 14, FALSE)</f>
        <v>USA</v>
      </c>
      <c r="J2143" s="1">
        <f>_xlfn.XLOOKUP(order_details[[#This Row],[OrderID]], orders[OrderID], orders[Month])</f>
        <v>6</v>
      </c>
    </row>
    <row r="2144" spans="1:10" x14ac:dyDescent="0.35">
      <c r="A2144">
        <v>11077</v>
      </c>
      <c r="B2144">
        <v>23</v>
      </c>
      <c r="C2144">
        <v>9</v>
      </c>
      <c r="D2144">
        <v>2</v>
      </c>
      <c r="E2144">
        <v>0</v>
      </c>
      <c r="F2144">
        <v>18</v>
      </c>
      <c r="G2144" t="str">
        <f>VLOOKUP(VLOOKUP(order_details[[#This Row],[ProductID]], products[], 4, FALSE), categories[], 2, FALSE)</f>
        <v>Grains/Cereals</v>
      </c>
      <c r="H2144">
        <f>VLOOKUP(order_details[[#This Row],[ProductID]], products[], 4, FALSE)</f>
        <v>5</v>
      </c>
      <c r="I2144" t="str">
        <f>VLOOKUP(order_details[[#This Row],[OrderID]], orders[[OrderID]:[ShipCountry]], 14, FALSE)</f>
        <v>USA</v>
      </c>
      <c r="J2144" s="1">
        <f>_xlfn.XLOOKUP(order_details[[#This Row],[OrderID]], orders[OrderID], orders[Month])</f>
        <v>6</v>
      </c>
    </row>
    <row r="2145" spans="1:10" x14ac:dyDescent="0.35">
      <c r="A2145">
        <v>11077</v>
      </c>
      <c r="B2145">
        <v>32</v>
      </c>
      <c r="C2145">
        <v>32</v>
      </c>
      <c r="D2145">
        <v>1</v>
      </c>
      <c r="E2145">
        <v>0</v>
      </c>
      <c r="F2145">
        <v>32</v>
      </c>
      <c r="G2145" t="str">
        <f>VLOOKUP(VLOOKUP(order_details[[#This Row],[ProductID]], products[], 4, FALSE), categories[], 2, FALSE)</f>
        <v>Dairy Products</v>
      </c>
      <c r="H2145">
        <f>VLOOKUP(order_details[[#This Row],[ProductID]], products[], 4, FALSE)</f>
        <v>4</v>
      </c>
      <c r="I2145" t="str">
        <f>VLOOKUP(order_details[[#This Row],[OrderID]], orders[[OrderID]:[ShipCountry]], 14, FALSE)</f>
        <v>USA</v>
      </c>
      <c r="J2145" s="1">
        <f>_xlfn.XLOOKUP(order_details[[#This Row],[OrderID]], orders[OrderID], orders[Month])</f>
        <v>6</v>
      </c>
    </row>
    <row r="2146" spans="1:10" x14ac:dyDescent="0.35">
      <c r="A2146">
        <v>11077</v>
      </c>
      <c r="B2146">
        <v>39</v>
      </c>
      <c r="C2146">
        <v>18</v>
      </c>
      <c r="D2146">
        <v>2</v>
      </c>
      <c r="E2146">
        <v>0.05</v>
      </c>
      <c r="F2146">
        <v>34.199999999999996</v>
      </c>
      <c r="G2146" t="str">
        <f>VLOOKUP(VLOOKUP(order_details[[#This Row],[ProductID]], products[], 4, FALSE), categories[], 2, FALSE)</f>
        <v>Beverages</v>
      </c>
      <c r="H2146">
        <f>VLOOKUP(order_details[[#This Row],[ProductID]], products[], 4, FALSE)</f>
        <v>1</v>
      </c>
      <c r="I2146" t="str">
        <f>VLOOKUP(order_details[[#This Row],[OrderID]], orders[[OrderID]:[ShipCountry]], 14, FALSE)</f>
        <v>USA</v>
      </c>
      <c r="J2146" s="1">
        <f>_xlfn.XLOOKUP(order_details[[#This Row],[OrderID]], orders[OrderID], orders[Month])</f>
        <v>6</v>
      </c>
    </row>
    <row r="2147" spans="1:10" x14ac:dyDescent="0.35">
      <c r="A2147">
        <v>11077</v>
      </c>
      <c r="B2147">
        <v>41</v>
      </c>
      <c r="C2147">
        <v>9.65</v>
      </c>
      <c r="D2147">
        <v>3</v>
      </c>
      <c r="E2147">
        <v>0</v>
      </c>
      <c r="F2147">
        <v>28.950000000000003</v>
      </c>
      <c r="G2147" t="str">
        <f>VLOOKUP(VLOOKUP(order_details[[#This Row],[ProductID]], products[], 4, FALSE), categories[], 2, FALSE)</f>
        <v>Seafood</v>
      </c>
      <c r="H2147">
        <f>VLOOKUP(order_details[[#This Row],[ProductID]], products[], 4, FALSE)</f>
        <v>8</v>
      </c>
      <c r="I2147" t="str">
        <f>VLOOKUP(order_details[[#This Row],[OrderID]], orders[[OrderID]:[ShipCountry]], 14, FALSE)</f>
        <v>USA</v>
      </c>
      <c r="J2147" s="1">
        <f>_xlfn.XLOOKUP(order_details[[#This Row],[OrderID]], orders[OrderID], orders[Month])</f>
        <v>6</v>
      </c>
    </row>
    <row r="2148" spans="1:10" x14ac:dyDescent="0.35">
      <c r="A2148">
        <v>11077</v>
      </c>
      <c r="B2148">
        <v>46</v>
      </c>
      <c r="C2148">
        <v>12</v>
      </c>
      <c r="D2148">
        <v>3</v>
      </c>
      <c r="E2148">
        <v>0.02</v>
      </c>
      <c r="F2148">
        <v>35.28</v>
      </c>
      <c r="G2148" t="str">
        <f>VLOOKUP(VLOOKUP(order_details[[#This Row],[ProductID]], products[], 4, FALSE), categories[], 2, FALSE)</f>
        <v>Seafood</v>
      </c>
      <c r="H2148">
        <f>VLOOKUP(order_details[[#This Row],[ProductID]], products[], 4, FALSE)</f>
        <v>8</v>
      </c>
      <c r="I2148" t="str">
        <f>VLOOKUP(order_details[[#This Row],[OrderID]], orders[[OrderID]:[ShipCountry]], 14, FALSE)</f>
        <v>USA</v>
      </c>
      <c r="J2148" s="1">
        <f>_xlfn.XLOOKUP(order_details[[#This Row],[OrderID]], orders[OrderID], orders[Month])</f>
        <v>6</v>
      </c>
    </row>
    <row r="2149" spans="1:10" x14ac:dyDescent="0.35">
      <c r="A2149">
        <v>11077</v>
      </c>
      <c r="B2149">
        <v>52</v>
      </c>
      <c r="C2149">
        <v>7</v>
      </c>
      <c r="D2149">
        <v>2</v>
      </c>
      <c r="E2149">
        <v>0</v>
      </c>
      <c r="F2149">
        <v>14</v>
      </c>
      <c r="G2149" t="str">
        <f>VLOOKUP(VLOOKUP(order_details[[#This Row],[ProductID]], products[], 4, FALSE), categories[], 2, FALSE)</f>
        <v>Grains/Cereals</v>
      </c>
      <c r="H2149">
        <f>VLOOKUP(order_details[[#This Row],[ProductID]], products[], 4, FALSE)</f>
        <v>5</v>
      </c>
      <c r="I2149" t="str">
        <f>VLOOKUP(order_details[[#This Row],[OrderID]], orders[[OrderID]:[ShipCountry]], 14, FALSE)</f>
        <v>USA</v>
      </c>
      <c r="J2149" s="1">
        <f>_xlfn.XLOOKUP(order_details[[#This Row],[OrderID]], orders[OrderID], orders[Month])</f>
        <v>6</v>
      </c>
    </row>
    <row r="2150" spans="1:10" x14ac:dyDescent="0.35">
      <c r="A2150">
        <v>11077</v>
      </c>
      <c r="B2150">
        <v>55</v>
      </c>
      <c r="C2150">
        <v>24</v>
      </c>
      <c r="D2150">
        <v>2</v>
      </c>
      <c r="E2150">
        <v>0</v>
      </c>
      <c r="F2150">
        <v>48</v>
      </c>
      <c r="G2150" t="str">
        <f>VLOOKUP(VLOOKUP(order_details[[#This Row],[ProductID]], products[], 4, FALSE), categories[], 2, FALSE)</f>
        <v>Meat/Poultry</v>
      </c>
      <c r="H2150">
        <f>VLOOKUP(order_details[[#This Row],[ProductID]], products[], 4, FALSE)</f>
        <v>6</v>
      </c>
      <c r="I2150" t="str">
        <f>VLOOKUP(order_details[[#This Row],[OrderID]], orders[[OrderID]:[ShipCountry]], 14, FALSE)</f>
        <v>USA</v>
      </c>
      <c r="J2150" s="1">
        <f>_xlfn.XLOOKUP(order_details[[#This Row],[OrderID]], orders[OrderID], orders[Month])</f>
        <v>6</v>
      </c>
    </row>
    <row r="2151" spans="1:10" x14ac:dyDescent="0.35">
      <c r="A2151">
        <v>11077</v>
      </c>
      <c r="B2151">
        <v>60</v>
      </c>
      <c r="C2151">
        <v>34</v>
      </c>
      <c r="D2151">
        <v>2</v>
      </c>
      <c r="E2151">
        <v>0.06</v>
      </c>
      <c r="F2151">
        <v>63.919999999999995</v>
      </c>
      <c r="G2151" t="str">
        <f>VLOOKUP(VLOOKUP(order_details[[#This Row],[ProductID]], products[], 4, FALSE), categories[], 2, FALSE)</f>
        <v>Dairy Products</v>
      </c>
      <c r="H2151">
        <f>VLOOKUP(order_details[[#This Row],[ProductID]], products[], 4, FALSE)</f>
        <v>4</v>
      </c>
      <c r="I2151" t="str">
        <f>VLOOKUP(order_details[[#This Row],[OrderID]], orders[[OrderID]:[ShipCountry]], 14, FALSE)</f>
        <v>USA</v>
      </c>
      <c r="J2151" s="1">
        <f>_xlfn.XLOOKUP(order_details[[#This Row],[OrderID]], orders[OrderID], orders[Month])</f>
        <v>6</v>
      </c>
    </row>
    <row r="2152" spans="1:10" x14ac:dyDescent="0.35">
      <c r="A2152">
        <v>11077</v>
      </c>
      <c r="B2152">
        <v>64</v>
      </c>
      <c r="C2152">
        <v>33.25</v>
      </c>
      <c r="D2152">
        <v>2</v>
      </c>
      <c r="E2152">
        <v>0.03</v>
      </c>
      <c r="F2152">
        <v>64.504999999999995</v>
      </c>
      <c r="G2152" t="str">
        <f>VLOOKUP(VLOOKUP(order_details[[#This Row],[ProductID]], products[], 4, FALSE), categories[], 2, FALSE)</f>
        <v>Grains/Cereals</v>
      </c>
      <c r="H2152">
        <f>VLOOKUP(order_details[[#This Row],[ProductID]], products[], 4, FALSE)</f>
        <v>5</v>
      </c>
      <c r="I2152" t="str">
        <f>VLOOKUP(order_details[[#This Row],[OrderID]], orders[[OrderID]:[ShipCountry]], 14, FALSE)</f>
        <v>USA</v>
      </c>
      <c r="J2152" s="1">
        <f>_xlfn.XLOOKUP(order_details[[#This Row],[OrderID]], orders[OrderID], orders[Month])</f>
        <v>6</v>
      </c>
    </row>
    <row r="2153" spans="1:10" x14ac:dyDescent="0.35">
      <c r="A2153">
        <v>11077</v>
      </c>
      <c r="B2153">
        <v>66</v>
      </c>
      <c r="C2153">
        <v>17</v>
      </c>
      <c r="D2153">
        <v>1</v>
      </c>
      <c r="E2153">
        <v>0</v>
      </c>
      <c r="F2153">
        <v>17</v>
      </c>
      <c r="G2153" t="str">
        <f>VLOOKUP(VLOOKUP(order_details[[#This Row],[ProductID]], products[], 4, FALSE), categories[], 2, FALSE)</f>
        <v>Condiments</v>
      </c>
      <c r="H2153">
        <f>VLOOKUP(order_details[[#This Row],[ProductID]], products[], 4, FALSE)</f>
        <v>2</v>
      </c>
      <c r="I2153" t="str">
        <f>VLOOKUP(order_details[[#This Row],[OrderID]], orders[[OrderID]:[ShipCountry]], 14, FALSE)</f>
        <v>USA</v>
      </c>
      <c r="J2153" s="1">
        <f>_xlfn.XLOOKUP(order_details[[#This Row],[OrderID]], orders[OrderID], orders[Month])</f>
        <v>6</v>
      </c>
    </row>
    <row r="2154" spans="1:10" x14ac:dyDescent="0.35">
      <c r="A2154">
        <v>11077</v>
      </c>
      <c r="B2154">
        <v>73</v>
      </c>
      <c r="C2154">
        <v>15</v>
      </c>
      <c r="D2154">
        <v>2</v>
      </c>
      <c r="E2154">
        <v>0.01</v>
      </c>
      <c r="F2154">
        <v>29.7</v>
      </c>
      <c r="G2154" t="str">
        <f>VLOOKUP(VLOOKUP(order_details[[#This Row],[ProductID]], products[], 4, FALSE), categories[], 2, FALSE)</f>
        <v>Seafood</v>
      </c>
      <c r="H2154">
        <f>VLOOKUP(order_details[[#This Row],[ProductID]], products[], 4, FALSE)</f>
        <v>8</v>
      </c>
      <c r="I2154" t="str">
        <f>VLOOKUP(order_details[[#This Row],[OrderID]], orders[[OrderID]:[ShipCountry]], 14, FALSE)</f>
        <v>USA</v>
      </c>
      <c r="J2154" s="1">
        <f>_xlfn.XLOOKUP(order_details[[#This Row],[OrderID]], orders[OrderID], orders[Month])</f>
        <v>6</v>
      </c>
    </row>
    <row r="2155" spans="1:10" x14ac:dyDescent="0.35">
      <c r="A2155">
        <v>11077</v>
      </c>
      <c r="B2155">
        <v>75</v>
      </c>
      <c r="C2155">
        <v>7.75</v>
      </c>
      <c r="D2155">
        <v>4</v>
      </c>
      <c r="E2155">
        <v>0</v>
      </c>
      <c r="F2155">
        <v>31</v>
      </c>
      <c r="G2155" t="str">
        <f>VLOOKUP(VLOOKUP(order_details[[#This Row],[ProductID]], products[], 4, FALSE), categories[], 2, FALSE)</f>
        <v>Beverages</v>
      </c>
      <c r="H2155">
        <f>VLOOKUP(order_details[[#This Row],[ProductID]], products[], 4, FALSE)</f>
        <v>1</v>
      </c>
      <c r="I2155" t="str">
        <f>VLOOKUP(order_details[[#This Row],[OrderID]], orders[[OrderID]:[ShipCountry]], 14, FALSE)</f>
        <v>USA</v>
      </c>
      <c r="J2155" s="1">
        <f>_xlfn.XLOOKUP(order_details[[#This Row],[OrderID]], orders[OrderID], orders[Month])</f>
        <v>6</v>
      </c>
    </row>
    <row r="2156" spans="1:10" x14ac:dyDescent="0.35">
      <c r="A2156">
        <v>11077</v>
      </c>
      <c r="B2156">
        <v>77</v>
      </c>
      <c r="C2156">
        <v>13</v>
      </c>
      <c r="D2156">
        <v>2</v>
      </c>
      <c r="E2156">
        <v>0</v>
      </c>
      <c r="F2156">
        <v>26</v>
      </c>
      <c r="G2156" t="str">
        <f>VLOOKUP(VLOOKUP(order_details[[#This Row],[ProductID]], products[], 4, FALSE), categories[], 2, FALSE)</f>
        <v>Condiments</v>
      </c>
      <c r="H2156">
        <f>VLOOKUP(order_details[[#This Row],[ProductID]], products[], 4, FALSE)</f>
        <v>2</v>
      </c>
      <c r="I2156" t="str">
        <f>VLOOKUP(order_details[[#This Row],[OrderID]], orders[[OrderID]:[ShipCountry]], 14, FALSE)</f>
        <v>USA</v>
      </c>
      <c r="J2156" s="1">
        <f>_xlfn.XLOOKUP(order_details[[#This Row],[OrderID]], orders[OrderID], orders[Month])</f>
        <v>6</v>
      </c>
    </row>
  </sheetData>
  <pageMargins left="0.7" right="0.7" top="0.75" bottom="0.75" header="0.3" footer="0.3"/>
  <pageSetup orientation="portrait"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A86797-9B6D-4E53-B51A-F77952639E4F}">
  <dimension ref="A1:K92"/>
  <sheetViews>
    <sheetView topLeftCell="F1" workbookViewId="0">
      <selection activeCell="F17" sqref="F17"/>
    </sheetView>
  </sheetViews>
  <sheetFormatPr defaultRowHeight="14.5" x14ac:dyDescent="0.35"/>
  <cols>
    <col min="1" max="1" width="13.08984375" bestFit="1" customWidth="1"/>
    <col min="2" max="2" width="31.08984375" bestFit="1" customWidth="1"/>
    <col min="3" max="3" width="20.453125" bestFit="1" customWidth="1"/>
    <col min="4" max="4" width="26.1796875" bestFit="1" customWidth="1"/>
    <col min="5" max="5" width="41.26953125" bestFit="1" customWidth="1"/>
    <col min="6" max="6" width="13.1796875" bestFit="1" customWidth="1"/>
    <col min="7" max="7" width="12.90625" bestFit="1" customWidth="1"/>
    <col min="8" max="8" width="12.54296875" bestFit="1" customWidth="1"/>
    <col min="9" max="9" width="10.453125" bestFit="1" customWidth="1"/>
    <col min="10" max="11" width="15" bestFit="1" customWidth="1"/>
    <col min="12" max="12" width="10.7265625" bestFit="1" customWidth="1"/>
    <col min="13" max="13" width="31.08984375" bestFit="1" customWidth="1"/>
    <col min="14" max="14" width="20.453125" bestFit="1" customWidth="1"/>
    <col min="15" max="15" width="26.1796875" bestFit="1" customWidth="1"/>
    <col min="16" max="16" width="41.26953125" bestFit="1" customWidth="1"/>
    <col min="17" max="17" width="13.36328125" bestFit="1" customWidth="1"/>
    <col min="18" max="18" width="12.90625" bestFit="1" customWidth="1"/>
    <col min="19" max="20" width="10.54296875" bestFit="1" customWidth="1"/>
    <col min="21" max="22" width="15" bestFit="1" customWidth="1"/>
    <col min="23" max="23" width="11.54296875" bestFit="1" customWidth="1"/>
    <col min="24" max="24" width="14.90625" bestFit="1" customWidth="1"/>
  </cols>
  <sheetData>
    <row r="1" spans="1:11" s="3" customFormat="1" x14ac:dyDescent="0.35">
      <c r="A1" t="s">
        <v>19</v>
      </c>
      <c r="B1" t="s">
        <v>20</v>
      </c>
      <c r="C1" t="s">
        <v>21</v>
      </c>
      <c r="D1" t="s">
        <v>22</v>
      </c>
      <c r="E1" t="s">
        <v>23</v>
      </c>
      <c r="F1" t="s">
        <v>24</v>
      </c>
      <c r="G1" t="s">
        <v>25</v>
      </c>
      <c r="H1" t="s">
        <v>26</v>
      </c>
      <c r="I1" t="s">
        <v>27</v>
      </c>
      <c r="J1" t="s">
        <v>28</v>
      </c>
      <c r="K1" t="s">
        <v>29</v>
      </c>
    </row>
    <row r="2" spans="1:11" x14ac:dyDescent="0.35">
      <c r="A2" s="1" t="s">
        <v>30</v>
      </c>
      <c r="B2" s="1" t="s">
        <v>31</v>
      </c>
      <c r="C2" s="1" t="s">
        <v>32</v>
      </c>
      <c r="D2" s="1" t="s">
        <v>33</v>
      </c>
      <c r="E2" s="1" t="s">
        <v>34</v>
      </c>
      <c r="F2" s="1" t="s">
        <v>35</v>
      </c>
      <c r="G2" s="1" t="s">
        <v>1195</v>
      </c>
      <c r="H2" s="1" t="s">
        <v>37</v>
      </c>
      <c r="I2" s="1" t="s">
        <v>38</v>
      </c>
      <c r="J2" s="1" t="s">
        <v>39</v>
      </c>
      <c r="K2" s="1" t="s">
        <v>40</v>
      </c>
    </row>
    <row r="3" spans="1:11" x14ac:dyDescent="0.35">
      <c r="A3" s="1" t="s">
        <v>41</v>
      </c>
      <c r="B3" s="1" t="s">
        <v>42</v>
      </c>
      <c r="C3" s="1" t="s">
        <v>43</v>
      </c>
      <c r="D3" s="1" t="s">
        <v>44</v>
      </c>
      <c r="E3" s="1" t="s">
        <v>45</v>
      </c>
      <c r="F3" s="1" t="s">
        <v>46</v>
      </c>
      <c r="G3" s="1" t="s">
        <v>1195</v>
      </c>
      <c r="H3" s="1" t="s">
        <v>47</v>
      </c>
      <c r="I3" s="1" t="s">
        <v>48</v>
      </c>
      <c r="J3" s="1" t="s">
        <v>49</v>
      </c>
      <c r="K3" s="1" t="s">
        <v>50</v>
      </c>
    </row>
    <row r="4" spans="1:11" x14ac:dyDescent="0.35">
      <c r="A4" s="1" t="s">
        <v>51</v>
      </c>
      <c r="B4" s="1" t="s">
        <v>52</v>
      </c>
      <c r="C4" s="1" t="s">
        <v>53</v>
      </c>
      <c r="D4" s="1" t="s">
        <v>44</v>
      </c>
      <c r="E4" s="1" t="s">
        <v>54</v>
      </c>
      <c r="F4" s="1" t="s">
        <v>46</v>
      </c>
      <c r="G4" s="1" t="s">
        <v>1195</v>
      </c>
      <c r="H4" s="1" t="s">
        <v>55</v>
      </c>
      <c r="I4" s="1" t="s">
        <v>48</v>
      </c>
      <c r="J4" s="1" t="s">
        <v>56</v>
      </c>
      <c r="K4" s="1" t="s">
        <v>1196</v>
      </c>
    </row>
    <row r="5" spans="1:11" x14ac:dyDescent="0.35">
      <c r="A5" s="1" t="s">
        <v>57</v>
      </c>
      <c r="B5" s="1" t="s">
        <v>58</v>
      </c>
      <c r="C5" s="1" t="s">
        <v>59</v>
      </c>
      <c r="D5" s="1" t="s">
        <v>33</v>
      </c>
      <c r="E5" s="1" t="s">
        <v>60</v>
      </c>
      <c r="F5" s="1" t="s">
        <v>61</v>
      </c>
      <c r="G5" s="1" t="s">
        <v>1195</v>
      </c>
      <c r="H5" s="1" t="s">
        <v>62</v>
      </c>
      <c r="I5" s="1" t="s">
        <v>63</v>
      </c>
      <c r="J5" s="1" t="s">
        <v>64</v>
      </c>
      <c r="K5" s="1" t="s">
        <v>65</v>
      </c>
    </row>
    <row r="6" spans="1:11" x14ac:dyDescent="0.35">
      <c r="A6" s="1" t="s">
        <v>66</v>
      </c>
      <c r="B6" s="1" t="s">
        <v>67</v>
      </c>
      <c r="C6" s="1" t="s">
        <v>68</v>
      </c>
      <c r="D6" s="1" t="s">
        <v>69</v>
      </c>
      <c r="E6" s="1" t="s">
        <v>70</v>
      </c>
      <c r="F6" s="1" t="s">
        <v>71</v>
      </c>
      <c r="G6" s="1" t="s">
        <v>1195</v>
      </c>
      <c r="H6" s="1" t="s">
        <v>72</v>
      </c>
      <c r="I6" s="1" t="s">
        <v>73</v>
      </c>
      <c r="J6" s="1" t="s">
        <v>74</v>
      </c>
      <c r="K6" s="1" t="s">
        <v>75</v>
      </c>
    </row>
    <row r="7" spans="1:11" x14ac:dyDescent="0.35">
      <c r="A7" s="1" t="s">
        <v>76</v>
      </c>
      <c r="B7" s="1" t="s">
        <v>77</v>
      </c>
      <c r="C7" s="1" t="s">
        <v>78</v>
      </c>
      <c r="D7" s="1" t="s">
        <v>33</v>
      </c>
      <c r="E7" s="1" t="s">
        <v>79</v>
      </c>
      <c r="F7" s="1" t="s">
        <v>80</v>
      </c>
      <c r="G7" s="1" t="s">
        <v>1195</v>
      </c>
      <c r="H7" s="1" t="s">
        <v>81</v>
      </c>
      <c r="I7" s="1" t="s">
        <v>38</v>
      </c>
      <c r="J7" s="1" t="s">
        <v>82</v>
      </c>
      <c r="K7" s="1" t="s">
        <v>83</v>
      </c>
    </row>
    <row r="8" spans="1:11" x14ac:dyDescent="0.35">
      <c r="A8" s="1" t="s">
        <v>84</v>
      </c>
      <c r="B8" s="1" t="s">
        <v>85</v>
      </c>
      <c r="C8" s="1" t="s">
        <v>86</v>
      </c>
      <c r="D8" s="1" t="s">
        <v>87</v>
      </c>
      <c r="E8" s="1" t="s">
        <v>88</v>
      </c>
      <c r="F8" s="1" t="s">
        <v>89</v>
      </c>
      <c r="G8" s="1" t="s">
        <v>1195</v>
      </c>
      <c r="H8" s="1" t="s">
        <v>90</v>
      </c>
      <c r="I8" s="1" t="s">
        <v>91</v>
      </c>
      <c r="J8" s="1" t="s">
        <v>92</v>
      </c>
      <c r="K8" s="1" t="s">
        <v>93</v>
      </c>
    </row>
    <row r="9" spans="1:11" x14ac:dyDescent="0.35">
      <c r="A9" s="1" t="s">
        <v>94</v>
      </c>
      <c r="B9" s="1" t="s">
        <v>95</v>
      </c>
      <c r="C9" s="1" t="s">
        <v>96</v>
      </c>
      <c r="D9" s="1" t="s">
        <v>44</v>
      </c>
      <c r="E9" s="1" t="s">
        <v>97</v>
      </c>
      <c r="F9" s="1" t="s">
        <v>98</v>
      </c>
      <c r="G9" s="1" t="s">
        <v>1195</v>
      </c>
      <c r="H9" s="1" t="s">
        <v>99</v>
      </c>
      <c r="I9" s="1" t="s">
        <v>100</v>
      </c>
      <c r="J9" s="1" t="s">
        <v>101</v>
      </c>
      <c r="K9" s="1" t="s">
        <v>102</v>
      </c>
    </row>
    <row r="10" spans="1:11" x14ac:dyDescent="0.35">
      <c r="A10" s="1" t="s">
        <v>103</v>
      </c>
      <c r="B10" s="1" t="s">
        <v>104</v>
      </c>
      <c r="C10" s="1" t="s">
        <v>105</v>
      </c>
      <c r="D10" s="1" t="s">
        <v>44</v>
      </c>
      <c r="E10" s="1" t="s">
        <v>106</v>
      </c>
      <c r="F10" s="1" t="s">
        <v>107</v>
      </c>
      <c r="G10" s="1" t="s">
        <v>1195</v>
      </c>
      <c r="H10" s="1" t="s">
        <v>108</v>
      </c>
      <c r="I10" s="1" t="s">
        <v>91</v>
      </c>
      <c r="J10" s="1" t="s">
        <v>109</v>
      </c>
      <c r="K10" s="1" t="s">
        <v>110</v>
      </c>
    </row>
    <row r="11" spans="1:11" x14ac:dyDescent="0.35">
      <c r="A11" s="1" t="s">
        <v>111</v>
      </c>
      <c r="B11" s="1" t="s">
        <v>112</v>
      </c>
      <c r="C11" s="1" t="s">
        <v>113</v>
      </c>
      <c r="D11" s="1" t="s">
        <v>114</v>
      </c>
      <c r="E11" s="1" t="s">
        <v>115</v>
      </c>
      <c r="F11" s="1" t="s">
        <v>116</v>
      </c>
      <c r="G11" s="1" t="s">
        <v>117</v>
      </c>
      <c r="H11" s="1" t="s">
        <v>118</v>
      </c>
      <c r="I11" s="1" t="s">
        <v>119</v>
      </c>
      <c r="J11" s="1" t="s">
        <v>120</v>
      </c>
      <c r="K11" s="1" t="s">
        <v>121</v>
      </c>
    </row>
    <row r="12" spans="1:11" x14ac:dyDescent="0.35">
      <c r="A12" s="1" t="s">
        <v>122</v>
      </c>
      <c r="B12" s="1" t="s">
        <v>123</v>
      </c>
      <c r="C12" s="1" t="s">
        <v>124</v>
      </c>
      <c r="D12" s="1" t="s">
        <v>33</v>
      </c>
      <c r="E12" s="1" t="s">
        <v>125</v>
      </c>
      <c r="F12" s="1" t="s">
        <v>61</v>
      </c>
      <c r="G12" s="1" t="s">
        <v>1195</v>
      </c>
      <c r="H12" s="1" t="s">
        <v>126</v>
      </c>
      <c r="I12" s="1" t="s">
        <v>63</v>
      </c>
      <c r="J12" s="1" t="s">
        <v>127</v>
      </c>
      <c r="K12" s="1" t="s">
        <v>1196</v>
      </c>
    </row>
    <row r="13" spans="1:11" x14ac:dyDescent="0.35">
      <c r="A13" s="1" t="s">
        <v>128</v>
      </c>
      <c r="B13" s="1" t="s">
        <v>129</v>
      </c>
      <c r="C13" s="1" t="s">
        <v>130</v>
      </c>
      <c r="D13" s="1" t="s">
        <v>131</v>
      </c>
      <c r="E13" s="1" t="s">
        <v>132</v>
      </c>
      <c r="F13" s="1" t="s">
        <v>133</v>
      </c>
      <c r="G13" s="1" t="s">
        <v>1195</v>
      </c>
      <c r="H13" s="1" t="s">
        <v>134</v>
      </c>
      <c r="I13" s="1" t="s">
        <v>135</v>
      </c>
      <c r="J13" s="1" t="s">
        <v>136</v>
      </c>
      <c r="K13" s="1" t="s">
        <v>137</v>
      </c>
    </row>
    <row r="14" spans="1:11" x14ac:dyDescent="0.35">
      <c r="A14" s="1" t="s">
        <v>138</v>
      </c>
      <c r="B14" s="1" t="s">
        <v>139</v>
      </c>
      <c r="C14" s="1" t="s">
        <v>140</v>
      </c>
      <c r="D14" s="1" t="s">
        <v>87</v>
      </c>
      <c r="E14" s="1" t="s">
        <v>141</v>
      </c>
      <c r="F14" s="1" t="s">
        <v>46</v>
      </c>
      <c r="G14" s="1" t="s">
        <v>1195</v>
      </c>
      <c r="H14" s="1" t="s">
        <v>142</v>
      </c>
      <c r="I14" s="1" t="s">
        <v>48</v>
      </c>
      <c r="J14" s="1" t="s">
        <v>143</v>
      </c>
      <c r="K14" s="1" t="s">
        <v>144</v>
      </c>
    </row>
    <row r="15" spans="1:11" x14ac:dyDescent="0.35">
      <c r="A15" s="1" t="s">
        <v>145</v>
      </c>
      <c r="B15" s="1" t="s">
        <v>146</v>
      </c>
      <c r="C15" s="1" t="s">
        <v>147</v>
      </c>
      <c r="D15" s="1" t="s">
        <v>44</v>
      </c>
      <c r="E15" s="1" t="s">
        <v>148</v>
      </c>
      <c r="F15" s="1" t="s">
        <v>149</v>
      </c>
      <c r="G15" s="1" t="s">
        <v>1195</v>
      </c>
      <c r="H15" s="1" t="s">
        <v>150</v>
      </c>
      <c r="I15" s="1" t="s">
        <v>151</v>
      </c>
      <c r="J15" s="1" t="s">
        <v>152</v>
      </c>
      <c r="K15" s="1" t="s">
        <v>1196</v>
      </c>
    </row>
    <row r="16" spans="1:11" x14ac:dyDescent="0.35">
      <c r="A16" s="1" t="s">
        <v>153</v>
      </c>
      <c r="B16" s="1" t="s">
        <v>154</v>
      </c>
      <c r="C16" s="1" t="s">
        <v>155</v>
      </c>
      <c r="D16" s="1" t="s">
        <v>156</v>
      </c>
      <c r="E16" s="1" t="s">
        <v>157</v>
      </c>
      <c r="F16" s="1" t="s">
        <v>158</v>
      </c>
      <c r="G16" s="1" t="s">
        <v>159</v>
      </c>
      <c r="H16" s="1" t="s">
        <v>160</v>
      </c>
      <c r="I16" s="1" t="s">
        <v>161</v>
      </c>
      <c r="J16" s="1" t="s">
        <v>162</v>
      </c>
      <c r="K16" s="1" t="s">
        <v>1196</v>
      </c>
    </row>
    <row r="17" spans="1:11" x14ac:dyDescent="0.35">
      <c r="A17" s="1" t="s">
        <v>163</v>
      </c>
      <c r="B17" s="1" t="s">
        <v>164</v>
      </c>
      <c r="C17" s="1" t="s">
        <v>165</v>
      </c>
      <c r="D17" s="1" t="s">
        <v>33</v>
      </c>
      <c r="E17" s="1" t="s">
        <v>1197</v>
      </c>
      <c r="F17" s="1" t="s">
        <v>61</v>
      </c>
      <c r="G17" s="1" t="s">
        <v>1195</v>
      </c>
      <c r="H17" s="1" t="s">
        <v>166</v>
      </c>
      <c r="I17" s="1" t="s">
        <v>63</v>
      </c>
      <c r="J17" s="1" t="s">
        <v>167</v>
      </c>
      <c r="K17" s="1" t="s">
        <v>168</v>
      </c>
    </row>
    <row r="18" spans="1:11" x14ac:dyDescent="0.35">
      <c r="A18" s="1" t="s">
        <v>169</v>
      </c>
      <c r="B18" s="1" t="s">
        <v>170</v>
      </c>
      <c r="C18" s="1" t="s">
        <v>171</v>
      </c>
      <c r="D18" s="1" t="s">
        <v>69</v>
      </c>
      <c r="E18" s="1" t="s">
        <v>172</v>
      </c>
      <c r="F18" s="1" t="s">
        <v>173</v>
      </c>
      <c r="G18" s="1" t="s">
        <v>1195</v>
      </c>
      <c r="H18" s="1" t="s">
        <v>174</v>
      </c>
      <c r="I18" s="1" t="s">
        <v>38</v>
      </c>
      <c r="J18" s="1" t="s">
        <v>175</v>
      </c>
      <c r="K18" s="1" t="s">
        <v>176</v>
      </c>
    </row>
    <row r="19" spans="1:11" x14ac:dyDescent="0.35">
      <c r="A19" s="1" t="s">
        <v>177</v>
      </c>
      <c r="B19" s="1" t="s">
        <v>178</v>
      </c>
      <c r="C19" s="1" t="s">
        <v>179</v>
      </c>
      <c r="D19" s="1" t="s">
        <v>44</v>
      </c>
      <c r="E19" s="1" t="s">
        <v>180</v>
      </c>
      <c r="F19" s="1" t="s">
        <v>181</v>
      </c>
      <c r="G19" s="1" t="s">
        <v>1195</v>
      </c>
      <c r="H19" s="1" t="s">
        <v>182</v>
      </c>
      <c r="I19" s="1" t="s">
        <v>91</v>
      </c>
      <c r="J19" s="1" t="s">
        <v>183</v>
      </c>
      <c r="K19" s="1" t="s">
        <v>184</v>
      </c>
    </row>
    <row r="20" spans="1:11" x14ac:dyDescent="0.35">
      <c r="A20" s="1" t="s">
        <v>185</v>
      </c>
      <c r="B20" s="1" t="s">
        <v>186</v>
      </c>
      <c r="C20" s="1" t="s">
        <v>187</v>
      </c>
      <c r="D20" s="1" t="s">
        <v>131</v>
      </c>
      <c r="E20" s="1" t="s">
        <v>188</v>
      </c>
      <c r="F20" s="1" t="s">
        <v>61</v>
      </c>
      <c r="G20" s="1" t="s">
        <v>1195</v>
      </c>
      <c r="H20" s="1" t="s">
        <v>189</v>
      </c>
      <c r="I20" s="1" t="s">
        <v>63</v>
      </c>
      <c r="J20" s="1" t="s">
        <v>190</v>
      </c>
      <c r="K20" s="1" t="s">
        <v>191</v>
      </c>
    </row>
    <row r="21" spans="1:11" x14ac:dyDescent="0.35">
      <c r="A21" s="1" t="s">
        <v>192</v>
      </c>
      <c r="B21" s="1" t="s">
        <v>193</v>
      </c>
      <c r="C21" s="1" t="s">
        <v>194</v>
      </c>
      <c r="D21" s="1" t="s">
        <v>195</v>
      </c>
      <c r="E21" s="1" t="s">
        <v>196</v>
      </c>
      <c r="F21" s="1" t="s">
        <v>197</v>
      </c>
      <c r="G21" s="1" t="s">
        <v>1195</v>
      </c>
      <c r="H21" s="1" t="s">
        <v>198</v>
      </c>
      <c r="I21" s="1" t="s">
        <v>199</v>
      </c>
      <c r="J21" s="1" t="s">
        <v>200</v>
      </c>
      <c r="K21" s="1" t="s">
        <v>201</v>
      </c>
    </row>
    <row r="22" spans="1:11" x14ac:dyDescent="0.35">
      <c r="A22" s="1" t="s">
        <v>202</v>
      </c>
      <c r="B22" s="1" t="s">
        <v>203</v>
      </c>
      <c r="C22" s="1" t="s">
        <v>204</v>
      </c>
      <c r="D22" s="1" t="s">
        <v>205</v>
      </c>
      <c r="E22" s="1" t="s">
        <v>206</v>
      </c>
      <c r="F22" s="1" t="s">
        <v>158</v>
      </c>
      <c r="G22" s="1" t="s">
        <v>159</v>
      </c>
      <c r="H22" s="1" t="s">
        <v>207</v>
      </c>
      <c r="I22" s="1" t="s">
        <v>161</v>
      </c>
      <c r="J22" s="1" t="s">
        <v>208</v>
      </c>
      <c r="K22" s="1" t="s">
        <v>1196</v>
      </c>
    </row>
    <row r="23" spans="1:11" x14ac:dyDescent="0.35">
      <c r="A23" s="1" t="s">
        <v>209</v>
      </c>
      <c r="B23" s="1" t="s">
        <v>210</v>
      </c>
      <c r="C23" s="1" t="s">
        <v>211</v>
      </c>
      <c r="D23" s="1" t="s">
        <v>114</v>
      </c>
      <c r="E23" s="1" t="s">
        <v>212</v>
      </c>
      <c r="F23" s="1" t="s">
        <v>98</v>
      </c>
      <c r="G23" s="1" t="s">
        <v>1195</v>
      </c>
      <c r="H23" s="1" t="s">
        <v>213</v>
      </c>
      <c r="I23" s="1" t="s">
        <v>100</v>
      </c>
      <c r="J23" s="1" t="s">
        <v>214</v>
      </c>
      <c r="K23" s="1" t="s">
        <v>215</v>
      </c>
    </row>
    <row r="24" spans="1:11" x14ac:dyDescent="0.35">
      <c r="A24" s="1" t="s">
        <v>216</v>
      </c>
      <c r="B24" s="1" t="s">
        <v>217</v>
      </c>
      <c r="C24" s="1" t="s">
        <v>218</v>
      </c>
      <c r="D24" s="1" t="s">
        <v>219</v>
      </c>
      <c r="E24" s="1" t="s">
        <v>220</v>
      </c>
      <c r="F24" s="1" t="s">
        <v>221</v>
      </c>
      <c r="G24" s="1" t="s">
        <v>1195</v>
      </c>
      <c r="H24" s="1" t="s">
        <v>222</v>
      </c>
      <c r="I24" s="1" t="s">
        <v>91</v>
      </c>
      <c r="J24" s="1" t="s">
        <v>223</v>
      </c>
      <c r="K24" s="1" t="s">
        <v>224</v>
      </c>
    </row>
    <row r="25" spans="1:11" x14ac:dyDescent="0.35">
      <c r="A25" s="1" t="s">
        <v>225</v>
      </c>
      <c r="B25" s="1" t="s">
        <v>226</v>
      </c>
      <c r="C25" s="1" t="s">
        <v>227</v>
      </c>
      <c r="D25" s="1" t="s">
        <v>44</v>
      </c>
      <c r="E25" s="1" t="s">
        <v>228</v>
      </c>
      <c r="F25" s="1" t="s">
        <v>229</v>
      </c>
      <c r="G25" s="1" t="s">
        <v>1195</v>
      </c>
      <c r="H25" s="1" t="s">
        <v>230</v>
      </c>
      <c r="I25" s="1" t="s">
        <v>73</v>
      </c>
      <c r="J25" s="1" t="s">
        <v>231</v>
      </c>
      <c r="K25" s="1" t="s">
        <v>1196</v>
      </c>
    </row>
    <row r="26" spans="1:11" x14ac:dyDescent="0.35">
      <c r="A26" s="1" t="s">
        <v>232</v>
      </c>
      <c r="B26" s="1" t="s">
        <v>233</v>
      </c>
      <c r="C26" s="1" t="s">
        <v>234</v>
      </c>
      <c r="D26" s="1" t="s">
        <v>87</v>
      </c>
      <c r="E26" s="1" t="s">
        <v>235</v>
      </c>
      <c r="F26" s="1" t="s">
        <v>236</v>
      </c>
      <c r="G26" s="1" t="s">
        <v>1195</v>
      </c>
      <c r="H26" s="1" t="s">
        <v>237</v>
      </c>
      <c r="I26" s="1" t="s">
        <v>38</v>
      </c>
      <c r="J26" s="1" t="s">
        <v>238</v>
      </c>
      <c r="K26" s="1" t="s">
        <v>239</v>
      </c>
    </row>
    <row r="27" spans="1:11" x14ac:dyDescent="0.35">
      <c r="A27" s="1" t="s">
        <v>240</v>
      </c>
      <c r="B27" s="1" t="s">
        <v>241</v>
      </c>
      <c r="C27" s="1" t="s">
        <v>242</v>
      </c>
      <c r="D27" s="1" t="s">
        <v>87</v>
      </c>
      <c r="E27" s="1" t="s">
        <v>243</v>
      </c>
      <c r="F27" s="1" t="s">
        <v>181</v>
      </c>
      <c r="G27" s="1" t="s">
        <v>1195</v>
      </c>
      <c r="H27" s="1" t="s">
        <v>182</v>
      </c>
      <c r="I27" s="1" t="s">
        <v>91</v>
      </c>
      <c r="J27" s="1" t="s">
        <v>244</v>
      </c>
      <c r="K27" s="1" t="s">
        <v>245</v>
      </c>
    </row>
    <row r="28" spans="1:11" x14ac:dyDescent="0.35">
      <c r="A28" s="1" t="s">
        <v>246</v>
      </c>
      <c r="B28" s="1" t="s">
        <v>247</v>
      </c>
      <c r="C28" s="1" t="s">
        <v>248</v>
      </c>
      <c r="D28" s="1" t="s">
        <v>33</v>
      </c>
      <c r="E28" s="1" t="s">
        <v>249</v>
      </c>
      <c r="F28" s="1" t="s">
        <v>250</v>
      </c>
      <c r="G28" s="1" t="s">
        <v>1195</v>
      </c>
      <c r="H28" s="1" t="s">
        <v>251</v>
      </c>
      <c r="I28" s="1" t="s">
        <v>252</v>
      </c>
      <c r="J28" s="1" t="s">
        <v>253</v>
      </c>
      <c r="K28" s="1" t="s">
        <v>254</v>
      </c>
    </row>
    <row r="29" spans="1:11" x14ac:dyDescent="0.35">
      <c r="A29" s="1" t="s">
        <v>255</v>
      </c>
      <c r="B29" s="1" t="s">
        <v>256</v>
      </c>
      <c r="C29" s="1" t="s">
        <v>1198</v>
      </c>
      <c r="D29" s="1" t="s">
        <v>195</v>
      </c>
      <c r="E29" s="1" t="s">
        <v>257</v>
      </c>
      <c r="F29" s="1" t="s">
        <v>258</v>
      </c>
      <c r="G29" s="1" t="s">
        <v>1195</v>
      </c>
      <c r="H29" s="1" t="s">
        <v>259</v>
      </c>
      <c r="I29" s="1" t="s">
        <v>260</v>
      </c>
      <c r="J29" s="1" t="s">
        <v>261</v>
      </c>
      <c r="K29" s="1" t="s">
        <v>262</v>
      </c>
    </row>
    <row r="30" spans="1:11" x14ac:dyDescent="0.35">
      <c r="A30" s="1" t="s">
        <v>263</v>
      </c>
      <c r="B30" s="1" t="s">
        <v>264</v>
      </c>
      <c r="C30" s="1" t="s">
        <v>265</v>
      </c>
      <c r="D30" s="1" t="s">
        <v>87</v>
      </c>
      <c r="E30" s="1" t="s">
        <v>266</v>
      </c>
      <c r="F30" s="1" t="s">
        <v>267</v>
      </c>
      <c r="G30" s="1" t="s">
        <v>1195</v>
      </c>
      <c r="H30" s="1" t="s">
        <v>268</v>
      </c>
      <c r="I30" s="1" t="s">
        <v>100</v>
      </c>
      <c r="J30" s="1" t="s">
        <v>269</v>
      </c>
      <c r="K30" s="1" t="s">
        <v>270</v>
      </c>
    </row>
    <row r="31" spans="1:11" x14ac:dyDescent="0.35">
      <c r="A31" s="1" t="s">
        <v>271</v>
      </c>
      <c r="B31" s="1" t="s">
        <v>272</v>
      </c>
      <c r="C31" s="1" t="s">
        <v>273</v>
      </c>
      <c r="D31" s="1" t="s">
        <v>195</v>
      </c>
      <c r="E31" s="1" t="s">
        <v>274</v>
      </c>
      <c r="F31" s="1" t="s">
        <v>275</v>
      </c>
      <c r="G31" s="1" t="s">
        <v>1195</v>
      </c>
      <c r="H31" s="1" t="s">
        <v>276</v>
      </c>
      <c r="I31" s="1" t="s">
        <v>100</v>
      </c>
      <c r="J31" s="1" t="s">
        <v>277</v>
      </c>
      <c r="K31" s="1" t="s">
        <v>1196</v>
      </c>
    </row>
    <row r="32" spans="1:11" x14ac:dyDescent="0.35">
      <c r="A32" s="1" t="s">
        <v>278</v>
      </c>
      <c r="B32" s="1" t="s">
        <v>279</v>
      </c>
      <c r="C32" s="1" t="s">
        <v>280</v>
      </c>
      <c r="D32" s="1" t="s">
        <v>156</v>
      </c>
      <c r="E32" s="1" t="s">
        <v>281</v>
      </c>
      <c r="F32" s="1" t="s">
        <v>282</v>
      </c>
      <c r="G32" s="1" t="s">
        <v>159</v>
      </c>
      <c r="H32" s="1" t="s">
        <v>283</v>
      </c>
      <c r="I32" s="1" t="s">
        <v>161</v>
      </c>
      <c r="J32" s="1" t="s">
        <v>284</v>
      </c>
      <c r="K32" s="1" t="s">
        <v>1196</v>
      </c>
    </row>
    <row r="33" spans="1:11" x14ac:dyDescent="0.35">
      <c r="A33" s="1" t="s">
        <v>285</v>
      </c>
      <c r="B33" s="1" t="s">
        <v>286</v>
      </c>
      <c r="C33" s="1" t="s">
        <v>287</v>
      </c>
      <c r="D33" s="1" t="s">
        <v>87</v>
      </c>
      <c r="E33" s="1" t="s">
        <v>288</v>
      </c>
      <c r="F33" s="1" t="s">
        <v>289</v>
      </c>
      <c r="G33" s="1" t="s">
        <v>290</v>
      </c>
      <c r="H33" s="1" t="s">
        <v>291</v>
      </c>
      <c r="I33" s="1" t="s">
        <v>292</v>
      </c>
      <c r="J33" s="1" t="s">
        <v>293</v>
      </c>
      <c r="K33" s="1" t="s">
        <v>1196</v>
      </c>
    </row>
    <row r="34" spans="1:11" x14ac:dyDescent="0.35">
      <c r="A34" s="1" t="s">
        <v>294</v>
      </c>
      <c r="B34" s="1" t="s">
        <v>295</v>
      </c>
      <c r="C34" s="1" t="s">
        <v>296</v>
      </c>
      <c r="D34" s="1" t="s">
        <v>44</v>
      </c>
      <c r="E34" s="1" t="s">
        <v>297</v>
      </c>
      <c r="F34" s="1" t="s">
        <v>298</v>
      </c>
      <c r="G34" s="1" t="s">
        <v>299</v>
      </c>
      <c r="H34" s="1" t="s">
        <v>300</v>
      </c>
      <c r="I34" s="1" t="s">
        <v>301</v>
      </c>
      <c r="J34" s="1" t="s">
        <v>302</v>
      </c>
      <c r="K34" s="1" t="s">
        <v>303</v>
      </c>
    </row>
    <row r="35" spans="1:11" x14ac:dyDescent="0.35">
      <c r="A35" s="1" t="s">
        <v>304</v>
      </c>
      <c r="B35" s="1" t="s">
        <v>305</v>
      </c>
      <c r="C35" s="1" t="s">
        <v>306</v>
      </c>
      <c r="D35" s="1" t="s">
        <v>114</v>
      </c>
      <c r="E35" s="1" t="s">
        <v>307</v>
      </c>
      <c r="F35" s="1" t="s">
        <v>308</v>
      </c>
      <c r="G35" s="1" t="s">
        <v>309</v>
      </c>
      <c r="H35" s="1" t="s">
        <v>310</v>
      </c>
      <c r="I35" s="1" t="s">
        <v>161</v>
      </c>
      <c r="J35" s="1" t="s">
        <v>311</v>
      </c>
      <c r="K35" s="1" t="s">
        <v>312</v>
      </c>
    </row>
    <row r="36" spans="1:11" x14ac:dyDescent="0.35">
      <c r="A36" s="1" t="s">
        <v>313</v>
      </c>
      <c r="B36" s="1" t="s">
        <v>314</v>
      </c>
      <c r="C36" s="1" t="s">
        <v>315</v>
      </c>
      <c r="D36" s="1" t="s">
        <v>33</v>
      </c>
      <c r="E36" s="1" t="s">
        <v>316</v>
      </c>
      <c r="F36" s="1" t="s">
        <v>317</v>
      </c>
      <c r="G36" s="1" t="s">
        <v>318</v>
      </c>
      <c r="H36" s="1" t="s">
        <v>319</v>
      </c>
      <c r="I36" s="1" t="s">
        <v>301</v>
      </c>
      <c r="J36" s="1" t="s">
        <v>320</v>
      </c>
      <c r="K36" s="1" t="s">
        <v>321</v>
      </c>
    </row>
    <row r="37" spans="1:11" x14ac:dyDescent="0.35">
      <c r="A37" s="1" t="s">
        <v>322</v>
      </c>
      <c r="B37" s="1" t="s">
        <v>323</v>
      </c>
      <c r="C37" s="1" t="s">
        <v>324</v>
      </c>
      <c r="D37" s="1" t="s">
        <v>33</v>
      </c>
      <c r="E37" s="1" t="s">
        <v>1199</v>
      </c>
      <c r="F37" s="1" t="s">
        <v>325</v>
      </c>
      <c r="G37" s="1" t="s">
        <v>290</v>
      </c>
      <c r="H37" s="1" t="s">
        <v>326</v>
      </c>
      <c r="I37" s="1" t="s">
        <v>292</v>
      </c>
      <c r="J37" s="1" t="s">
        <v>327</v>
      </c>
      <c r="K37" s="1" t="s">
        <v>328</v>
      </c>
    </row>
    <row r="38" spans="1:11" x14ac:dyDescent="0.35">
      <c r="A38" s="1" t="s">
        <v>329</v>
      </c>
      <c r="B38" s="1" t="s">
        <v>330</v>
      </c>
      <c r="C38" s="1" t="s">
        <v>331</v>
      </c>
      <c r="D38" s="1" t="s">
        <v>156</v>
      </c>
      <c r="E38" s="1" t="s">
        <v>332</v>
      </c>
      <c r="F38" s="1" t="s">
        <v>333</v>
      </c>
      <c r="G38" s="1" t="s">
        <v>334</v>
      </c>
      <c r="H38" s="1" t="s">
        <v>1195</v>
      </c>
      <c r="I38" s="1" t="s">
        <v>335</v>
      </c>
      <c r="J38" s="1" t="s">
        <v>336</v>
      </c>
      <c r="K38" s="1" t="s">
        <v>337</v>
      </c>
    </row>
    <row r="39" spans="1:11" x14ac:dyDescent="0.35">
      <c r="A39" s="1" t="s">
        <v>338</v>
      </c>
      <c r="B39" s="1" t="s">
        <v>339</v>
      </c>
      <c r="C39" s="1" t="s">
        <v>340</v>
      </c>
      <c r="D39" s="1" t="s">
        <v>87</v>
      </c>
      <c r="E39" s="1" t="s">
        <v>1200</v>
      </c>
      <c r="F39" s="1" t="s">
        <v>341</v>
      </c>
      <c r="G39" s="1" t="s">
        <v>342</v>
      </c>
      <c r="H39" s="1" t="s">
        <v>343</v>
      </c>
      <c r="I39" s="1" t="s">
        <v>63</v>
      </c>
      <c r="J39" s="1" t="s">
        <v>344</v>
      </c>
      <c r="K39" s="1" t="s">
        <v>1196</v>
      </c>
    </row>
    <row r="40" spans="1:11" x14ac:dyDescent="0.35">
      <c r="A40" s="1" t="s">
        <v>345</v>
      </c>
      <c r="B40" s="1" t="s">
        <v>346</v>
      </c>
      <c r="C40" s="1" t="s">
        <v>347</v>
      </c>
      <c r="D40" s="1" t="s">
        <v>156</v>
      </c>
      <c r="E40" s="1" t="s">
        <v>348</v>
      </c>
      <c r="F40" s="1" t="s">
        <v>349</v>
      </c>
      <c r="G40" s="1" t="s">
        <v>1195</v>
      </c>
      <c r="H40" s="1" t="s">
        <v>350</v>
      </c>
      <c r="I40" s="1" t="s">
        <v>38</v>
      </c>
      <c r="J40" s="1" t="s">
        <v>351</v>
      </c>
      <c r="K40" s="1" t="s">
        <v>1196</v>
      </c>
    </row>
    <row r="41" spans="1:11" x14ac:dyDescent="0.35">
      <c r="A41" s="1" t="s">
        <v>352</v>
      </c>
      <c r="B41" s="1" t="s">
        <v>353</v>
      </c>
      <c r="C41" s="1" t="s">
        <v>354</v>
      </c>
      <c r="D41" s="1" t="s">
        <v>33</v>
      </c>
      <c r="E41" s="1" t="s">
        <v>355</v>
      </c>
      <c r="F41" s="1" t="s">
        <v>356</v>
      </c>
      <c r="G41" s="1" t="s">
        <v>1195</v>
      </c>
      <c r="H41" s="1" t="s">
        <v>357</v>
      </c>
      <c r="I41" s="1" t="s">
        <v>91</v>
      </c>
      <c r="J41" s="1" t="s">
        <v>358</v>
      </c>
      <c r="K41" s="1" t="s">
        <v>359</v>
      </c>
    </row>
    <row r="42" spans="1:11" x14ac:dyDescent="0.35">
      <c r="A42" s="1" t="s">
        <v>360</v>
      </c>
      <c r="B42" s="1" t="s">
        <v>361</v>
      </c>
      <c r="C42" s="1" t="s">
        <v>362</v>
      </c>
      <c r="D42" s="1" t="s">
        <v>195</v>
      </c>
      <c r="E42" s="1" t="s">
        <v>363</v>
      </c>
      <c r="F42" s="1" t="s">
        <v>364</v>
      </c>
      <c r="G42" s="1" t="s">
        <v>1195</v>
      </c>
      <c r="H42" s="1" t="s">
        <v>365</v>
      </c>
      <c r="I42" s="1" t="s">
        <v>91</v>
      </c>
      <c r="J42" s="1" t="s">
        <v>366</v>
      </c>
      <c r="K42" s="1" t="s">
        <v>367</v>
      </c>
    </row>
    <row r="43" spans="1:11" x14ac:dyDescent="0.35">
      <c r="A43" s="1" t="s">
        <v>368</v>
      </c>
      <c r="B43" s="1" t="s">
        <v>369</v>
      </c>
      <c r="C43" s="1" t="s">
        <v>370</v>
      </c>
      <c r="D43" s="1" t="s">
        <v>205</v>
      </c>
      <c r="E43" s="1" t="s">
        <v>371</v>
      </c>
      <c r="F43" s="1" t="s">
        <v>372</v>
      </c>
      <c r="G43" s="1" t="s">
        <v>117</v>
      </c>
      <c r="H43" s="1" t="s">
        <v>373</v>
      </c>
      <c r="I43" s="1" t="s">
        <v>119</v>
      </c>
      <c r="J43" s="1" t="s">
        <v>374</v>
      </c>
      <c r="K43" s="1" t="s">
        <v>375</v>
      </c>
    </row>
    <row r="44" spans="1:11" x14ac:dyDescent="0.35">
      <c r="A44" s="1" t="s">
        <v>376</v>
      </c>
      <c r="B44" s="1" t="s">
        <v>377</v>
      </c>
      <c r="C44" s="1" t="s">
        <v>378</v>
      </c>
      <c r="D44" s="1" t="s">
        <v>87</v>
      </c>
      <c r="E44" s="1" t="s">
        <v>379</v>
      </c>
      <c r="F44" s="1" t="s">
        <v>380</v>
      </c>
      <c r="G44" s="1" t="s">
        <v>381</v>
      </c>
      <c r="H44" s="1" t="s">
        <v>382</v>
      </c>
      <c r="I44" s="1" t="s">
        <v>292</v>
      </c>
      <c r="J44" s="1" t="s">
        <v>383</v>
      </c>
      <c r="K44" s="1" t="s">
        <v>384</v>
      </c>
    </row>
    <row r="45" spans="1:11" x14ac:dyDescent="0.35">
      <c r="A45" s="1" t="s">
        <v>385</v>
      </c>
      <c r="B45" s="1" t="s">
        <v>386</v>
      </c>
      <c r="C45" s="1" t="s">
        <v>387</v>
      </c>
      <c r="D45" s="1" t="s">
        <v>33</v>
      </c>
      <c r="E45" s="1" t="s">
        <v>388</v>
      </c>
      <c r="F45" s="1" t="s">
        <v>1201</v>
      </c>
      <c r="G45" s="1" t="s">
        <v>1195</v>
      </c>
      <c r="H45" s="1" t="s">
        <v>389</v>
      </c>
      <c r="I45" s="1" t="s">
        <v>38</v>
      </c>
      <c r="J45" s="1" t="s">
        <v>390</v>
      </c>
      <c r="K45" s="1" t="s">
        <v>391</v>
      </c>
    </row>
    <row r="46" spans="1:11" x14ac:dyDescent="0.35">
      <c r="A46" s="1" t="s">
        <v>392</v>
      </c>
      <c r="B46" s="1" t="s">
        <v>393</v>
      </c>
      <c r="C46" s="1" t="s">
        <v>394</v>
      </c>
      <c r="D46" s="1" t="s">
        <v>44</v>
      </c>
      <c r="E46" s="1" t="s">
        <v>1202</v>
      </c>
      <c r="F46" s="1" t="s">
        <v>395</v>
      </c>
      <c r="G46" s="1" t="s">
        <v>396</v>
      </c>
      <c r="H46" s="1" t="s">
        <v>397</v>
      </c>
      <c r="I46" s="1" t="s">
        <v>292</v>
      </c>
      <c r="J46" s="1" t="s">
        <v>398</v>
      </c>
      <c r="K46" s="1" t="s">
        <v>1196</v>
      </c>
    </row>
    <row r="47" spans="1:11" x14ac:dyDescent="0.35">
      <c r="A47" s="1" t="s">
        <v>399</v>
      </c>
      <c r="B47" s="1" t="s">
        <v>400</v>
      </c>
      <c r="C47" s="1" t="s">
        <v>401</v>
      </c>
      <c r="D47" s="1" t="s">
        <v>114</v>
      </c>
      <c r="E47" s="1" t="s">
        <v>402</v>
      </c>
      <c r="F47" s="1" t="s">
        <v>403</v>
      </c>
      <c r="G47" s="1" t="s">
        <v>404</v>
      </c>
      <c r="H47" s="1" t="s">
        <v>405</v>
      </c>
      <c r="I47" s="1" t="s">
        <v>301</v>
      </c>
      <c r="J47" s="1" t="s">
        <v>406</v>
      </c>
      <c r="K47" s="1" t="s">
        <v>407</v>
      </c>
    </row>
    <row r="48" spans="1:11" x14ac:dyDescent="0.35">
      <c r="A48" s="1" t="s">
        <v>408</v>
      </c>
      <c r="B48" s="1" t="s">
        <v>409</v>
      </c>
      <c r="C48" s="1" t="s">
        <v>410</v>
      </c>
      <c r="D48" s="1" t="s">
        <v>44</v>
      </c>
      <c r="E48" s="1" t="s">
        <v>411</v>
      </c>
      <c r="F48" s="1" t="s">
        <v>412</v>
      </c>
      <c r="G48" s="1" t="s">
        <v>413</v>
      </c>
      <c r="H48" s="1" t="s">
        <v>414</v>
      </c>
      <c r="I48" s="1" t="s">
        <v>301</v>
      </c>
      <c r="J48" s="1" t="s">
        <v>415</v>
      </c>
      <c r="K48" s="1" t="s">
        <v>416</v>
      </c>
    </row>
    <row r="49" spans="1:11" x14ac:dyDescent="0.35">
      <c r="A49" s="1" t="s">
        <v>417</v>
      </c>
      <c r="B49" s="1" t="s">
        <v>418</v>
      </c>
      <c r="C49" s="1" t="s">
        <v>419</v>
      </c>
      <c r="D49" s="1" t="s">
        <v>195</v>
      </c>
      <c r="E49" s="1" t="s">
        <v>420</v>
      </c>
      <c r="F49" s="1" t="s">
        <v>421</v>
      </c>
      <c r="G49" s="1" t="s">
        <v>290</v>
      </c>
      <c r="H49" s="1" t="s">
        <v>422</v>
      </c>
      <c r="I49" s="1" t="s">
        <v>292</v>
      </c>
      <c r="J49" s="1" t="s">
        <v>423</v>
      </c>
      <c r="K49" s="1" t="s">
        <v>424</v>
      </c>
    </row>
    <row r="50" spans="1:11" x14ac:dyDescent="0.35">
      <c r="A50" s="1" t="s">
        <v>425</v>
      </c>
      <c r="B50" s="1" t="s">
        <v>426</v>
      </c>
      <c r="C50" s="1" t="s">
        <v>427</v>
      </c>
      <c r="D50" s="1" t="s">
        <v>87</v>
      </c>
      <c r="E50" s="1" t="s">
        <v>428</v>
      </c>
      <c r="F50" s="1" t="s">
        <v>429</v>
      </c>
      <c r="G50" s="1" t="s">
        <v>1195</v>
      </c>
      <c r="H50" s="1" t="s">
        <v>430</v>
      </c>
      <c r="I50" s="1" t="s">
        <v>252</v>
      </c>
      <c r="J50" s="1" t="s">
        <v>431</v>
      </c>
      <c r="K50" s="1" t="s">
        <v>432</v>
      </c>
    </row>
    <row r="51" spans="1:11" x14ac:dyDescent="0.35">
      <c r="A51" s="1" t="s">
        <v>433</v>
      </c>
      <c r="B51" s="1" t="s">
        <v>434</v>
      </c>
      <c r="C51" s="1" t="s">
        <v>435</v>
      </c>
      <c r="D51" s="1" t="s">
        <v>131</v>
      </c>
      <c r="E51" s="1" t="s">
        <v>436</v>
      </c>
      <c r="F51" s="1" t="s">
        <v>437</v>
      </c>
      <c r="G51" s="1" t="s">
        <v>1195</v>
      </c>
      <c r="H51" s="1" t="s">
        <v>438</v>
      </c>
      <c r="I51" s="1" t="s">
        <v>439</v>
      </c>
      <c r="J51" s="1" t="s">
        <v>440</v>
      </c>
      <c r="K51" s="1" t="s">
        <v>441</v>
      </c>
    </row>
    <row r="52" spans="1:11" x14ac:dyDescent="0.35">
      <c r="A52" s="1" t="s">
        <v>442</v>
      </c>
      <c r="B52" s="1" t="s">
        <v>443</v>
      </c>
      <c r="C52" s="1" t="s">
        <v>444</v>
      </c>
      <c r="D52" s="1" t="s">
        <v>205</v>
      </c>
      <c r="E52" s="1" t="s">
        <v>445</v>
      </c>
      <c r="F52" s="1" t="s">
        <v>446</v>
      </c>
      <c r="G52" s="1" t="s">
        <v>447</v>
      </c>
      <c r="H52" s="1" t="s">
        <v>448</v>
      </c>
      <c r="I52" s="1" t="s">
        <v>119</v>
      </c>
      <c r="J52" s="1" t="s">
        <v>449</v>
      </c>
      <c r="K52" s="1" t="s">
        <v>450</v>
      </c>
    </row>
    <row r="53" spans="1:11" x14ac:dyDescent="0.35">
      <c r="A53" s="1" t="s">
        <v>451</v>
      </c>
      <c r="B53" s="1" t="s">
        <v>452</v>
      </c>
      <c r="C53" s="1" t="s">
        <v>453</v>
      </c>
      <c r="D53" s="1" t="s">
        <v>205</v>
      </c>
      <c r="E53" s="1" t="s">
        <v>454</v>
      </c>
      <c r="F53" s="1" t="s">
        <v>455</v>
      </c>
      <c r="G53" s="1" t="s">
        <v>1195</v>
      </c>
      <c r="H53" s="1" t="s">
        <v>456</v>
      </c>
      <c r="I53" s="1" t="s">
        <v>38</v>
      </c>
      <c r="J53" s="1" t="s">
        <v>457</v>
      </c>
      <c r="K53" s="1" t="s">
        <v>1196</v>
      </c>
    </row>
    <row r="54" spans="1:11" x14ac:dyDescent="0.35">
      <c r="A54" s="1" t="s">
        <v>458</v>
      </c>
      <c r="B54" s="1" t="s">
        <v>459</v>
      </c>
      <c r="C54" s="1" t="s">
        <v>460</v>
      </c>
      <c r="D54" s="1" t="s">
        <v>156</v>
      </c>
      <c r="E54" s="1" t="s">
        <v>1203</v>
      </c>
      <c r="F54" s="1" t="s">
        <v>61</v>
      </c>
      <c r="G54" s="1" t="s">
        <v>1195</v>
      </c>
      <c r="H54" s="1" t="s">
        <v>461</v>
      </c>
      <c r="I54" s="1" t="s">
        <v>63</v>
      </c>
      <c r="J54" s="1" t="s">
        <v>462</v>
      </c>
      <c r="K54" s="1" t="s">
        <v>463</v>
      </c>
    </row>
    <row r="55" spans="1:11" x14ac:dyDescent="0.35">
      <c r="A55" s="1" t="s">
        <v>464</v>
      </c>
      <c r="B55" s="1" t="s">
        <v>465</v>
      </c>
      <c r="C55" s="1" t="s">
        <v>466</v>
      </c>
      <c r="D55" s="1" t="s">
        <v>131</v>
      </c>
      <c r="E55" s="1" t="s">
        <v>1204</v>
      </c>
      <c r="F55" s="1" t="s">
        <v>133</v>
      </c>
      <c r="G55" s="1" t="s">
        <v>1195</v>
      </c>
      <c r="H55" s="1" t="s">
        <v>134</v>
      </c>
      <c r="I55" s="1" t="s">
        <v>135</v>
      </c>
      <c r="J55" s="1" t="s">
        <v>467</v>
      </c>
      <c r="K55" s="1" t="s">
        <v>468</v>
      </c>
    </row>
    <row r="56" spans="1:11" x14ac:dyDescent="0.35">
      <c r="A56" s="1" t="s">
        <v>469</v>
      </c>
      <c r="B56" s="1" t="s">
        <v>470</v>
      </c>
      <c r="C56" s="1" t="s">
        <v>471</v>
      </c>
      <c r="D56" s="1" t="s">
        <v>33</v>
      </c>
      <c r="E56" s="1" t="s">
        <v>472</v>
      </c>
      <c r="F56" s="1" t="s">
        <v>473</v>
      </c>
      <c r="G56" s="1" t="s">
        <v>474</v>
      </c>
      <c r="H56" s="1" t="s">
        <v>475</v>
      </c>
      <c r="I56" s="1" t="s">
        <v>292</v>
      </c>
      <c r="J56" s="1" t="s">
        <v>476</v>
      </c>
      <c r="K56" s="1" t="s">
        <v>477</v>
      </c>
    </row>
    <row r="57" spans="1:11" x14ac:dyDescent="0.35">
      <c r="A57" s="1" t="s">
        <v>478</v>
      </c>
      <c r="B57" s="1" t="s">
        <v>479</v>
      </c>
      <c r="C57" s="1" t="s">
        <v>480</v>
      </c>
      <c r="D57" s="1" t="s">
        <v>44</v>
      </c>
      <c r="E57" s="1" t="s">
        <v>481</v>
      </c>
      <c r="F57" s="1" t="s">
        <v>482</v>
      </c>
      <c r="G57" s="1" t="s">
        <v>1195</v>
      </c>
      <c r="H57" s="1" t="s">
        <v>483</v>
      </c>
      <c r="I57" s="1" t="s">
        <v>38</v>
      </c>
      <c r="J57" s="1" t="s">
        <v>484</v>
      </c>
      <c r="K57" s="1" t="s">
        <v>485</v>
      </c>
    </row>
    <row r="58" spans="1:11" x14ac:dyDescent="0.35">
      <c r="A58" s="1" t="s">
        <v>486</v>
      </c>
      <c r="B58" s="1" t="s">
        <v>487</v>
      </c>
      <c r="C58" s="1" t="s">
        <v>488</v>
      </c>
      <c r="D58" s="1" t="s">
        <v>44</v>
      </c>
      <c r="E58" s="1" t="s">
        <v>489</v>
      </c>
      <c r="F58" s="1" t="s">
        <v>490</v>
      </c>
      <c r="G58" s="1" t="s">
        <v>1195</v>
      </c>
      <c r="H58" s="1" t="s">
        <v>491</v>
      </c>
      <c r="I58" s="1" t="s">
        <v>91</v>
      </c>
      <c r="J58" s="1" t="s">
        <v>492</v>
      </c>
      <c r="K58" s="1" t="s">
        <v>493</v>
      </c>
    </row>
    <row r="59" spans="1:11" x14ac:dyDescent="0.35">
      <c r="A59" s="1" t="s">
        <v>494</v>
      </c>
      <c r="B59" s="1" t="s">
        <v>495</v>
      </c>
      <c r="C59" s="1" t="s">
        <v>496</v>
      </c>
      <c r="D59" s="1" t="s">
        <v>33</v>
      </c>
      <c r="E59" s="1" t="s">
        <v>497</v>
      </c>
      <c r="F59" s="1" t="s">
        <v>46</v>
      </c>
      <c r="G59" s="1" t="s">
        <v>1195</v>
      </c>
      <c r="H59" s="1" t="s">
        <v>498</v>
      </c>
      <c r="I59" s="1" t="s">
        <v>48</v>
      </c>
      <c r="J59" s="1" t="s">
        <v>499</v>
      </c>
      <c r="K59" s="1" t="s">
        <v>500</v>
      </c>
    </row>
    <row r="60" spans="1:11" x14ac:dyDescent="0.35">
      <c r="A60" s="1" t="s">
        <v>501</v>
      </c>
      <c r="B60" s="1" t="s">
        <v>502</v>
      </c>
      <c r="C60" s="1" t="s">
        <v>503</v>
      </c>
      <c r="D60" s="1" t="s">
        <v>195</v>
      </c>
      <c r="E60" s="1" t="s">
        <v>504</v>
      </c>
      <c r="F60" s="1" t="s">
        <v>505</v>
      </c>
      <c r="G60" s="1" t="s">
        <v>1195</v>
      </c>
      <c r="H60" s="1" t="s">
        <v>506</v>
      </c>
      <c r="I60" s="1" t="s">
        <v>199</v>
      </c>
      <c r="J60" s="1" t="s">
        <v>507</v>
      </c>
      <c r="K60" s="1" t="s">
        <v>508</v>
      </c>
    </row>
    <row r="61" spans="1:11" x14ac:dyDescent="0.35">
      <c r="A61" s="1" t="s">
        <v>509</v>
      </c>
      <c r="B61" s="1" t="s">
        <v>510</v>
      </c>
      <c r="C61" s="1" t="s">
        <v>511</v>
      </c>
      <c r="D61" s="1" t="s">
        <v>33</v>
      </c>
      <c r="E61" s="1" t="s">
        <v>512</v>
      </c>
      <c r="F61" s="1" t="s">
        <v>258</v>
      </c>
      <c r="G61" s="1" t="s">
        <v>1195</v>
      </c>
      <c r="H61" s="1" t="s">
        <v>513</v>
      </c>
      <c r="I61" s="1" t="s">
        <v>260</v>
      </c>
      <c r="J61" s="1" t="s">
        <v>514</v>
      </c>
      <c r="K61" s="1" t="s">
        <v>1196</v>
      </c>
    </row>
    <row r="62" spans="1:11" x14ac:dyDescent="0.35">
      <c r="A62" s="1" t="s">
        <v>515</v>
      </c>
      <c r="B62" s="1" t="s">
        <v>516</v>
      </c>
      <c r="C62" s="1" t="s">
        <v>517</v>
      </c>
      <c r="D62" s="1" t="s">
        <v>114</v>
      </c>
      <c r="E62" s="1" t="s">
        <v>518</v>
      </c>
      <c r="F62" s="1" t="s">
        <v>308</v>
      </c>
      <c r="G62" s="1" t="s">
        <v>309</v>
      </c>
      <c r="H62" s="1" t="s">
        <v>519</v>
      </c>
      <c r="I62" s="1" t="s">
        <v>161</v>
      </c>
      <c r="J62" s="1" t="s">
        <v>520</v>
      </c>
      <c r="K62" s="1" t="s">
        <v>521</v>
      </c>
    </row>
    <row r="63" spans="1:11" x14ac:dyDescent="0.35">
      <c r="A63" s="1" t="s">
        <v>522</v>
      </c>
      <c r="B63" s="1" t="s">
        <v>523</v>
      </c>
      <c r="C63" s="1" t="s">
        <v>524</v>
      </c>
      <c r="D63" s="1" t="s">
        <v>205</v>
      </c>
      <c r="E63" s="1" t="s">
        <v>525</v>
      </c>
      <c r="F63" s="1" t="s">
        <v>158</v>
      </c>
      <c r="G63" s="1" t="s">
        <v>159</v>
      </c>
      <c r="H63" s="1" t="s">
        <v>526</v>
      </c>
      <c r="I63" s="1" t="s">
        <v>161</v>
      </c>
      <c r="J63" s="1" t="s">
        <v>527</v>
      </c>
      <c r="K63" s="1" t="s">
        <v>1196</v>
      </c>
    </row>
    <row r="64" spans="1:11" x14ac:dyDescent="0.35">
      <c r="A64" s="1" t="s">
        <v>528</v>
      </c>
      <c r="B64" s="1" t="s">
        <v>529</v>
      </c>
      <c r="C64" s="1" t="s">
        <v>530</v>
      </c>
      <c r="D64" s="1" t="s">
        <v>114</v>
      </c>
      <c r="E64" s="1" t="s">
        <v>531</v>
      </c>
      <c r="F64" s="1" t="s">
        <v>532</v>
      </c>
      <c r="G64" s="1" t="s">
        <v>1195</v>
      </c>
      <c r="H64" s="1" t="s">
        <v>533</v>
      </c>
      <c r="I64" s="1" t="s">
        <v>38</v>
      </c>
      <c r="J64" s="1" t="s">
        <v>534</v>
      </c>
      <c r="K64" s="1" t="s">
        <v>1196</v>
      </c>
    </row>
    <row r="65" spans="1:11" x14ac:dyDescent="0.35">
      <c r="A65" s="1" t="s">
        <v>535</v>
      </c>
      <c r="B65" s="1" t="s">
        <v>536</v>
      </c>
      <c r="C65" s="1" t="s">
        <v>537</v>
      </c>
      <c r="D65" s="1" t="s">
        <v>33</v>
      </c>
      <c r="E65" s="1" t="s">
        <v>538</v>
      </c>
      <c r="F65" s="1" t="s">
        <v>133</v>
      </c>
      <c r="G65" s="1" t="s">
        <v>1195</v>
      </c>
      <c r="H65" s="1" t="s">
        <v>134</v>
      </c>
      <c r="I65" s="1" t="s">
        <v>135</v>
      </c>
      <c r="J65" s="1" t="s">
        <v>539</v>
      </c>
      <c r="K65" s="1" t="s">
        <v>540</v>
      </c>
    </row>
    <row r="66" spans="1:11" x14ac:dyDescent="0.35">
      <c r="A66" s="1" t="s">
        <v>541</v>
      </c>
      <c r="B66" s="1" t="s">
        <v>542</v>
      </c>
      <c r="C66" s="1" t="s">
        <v>543</v>
      </c>
      <c r="D66" s="1" t="s">
        <v>544</v>
      </c>
      <c r="E66" s="1" t="s">
        <v>545</v>
      </c>
      <c r="F66" s="1" t="s">
        <v>546</v>
      </c>
      <c r="G66" s="1" t="s">
        <v>547</v>
      </c>
      <c r="H66" s="1" t="s">
        <v>548</v>
      </c>
      <c r="I66" s="1" t="s">
        <v>292</v>
      </c>
      <c r="J66" s="1" t="s">
        <v>549</v>
      </c>
      <c r="K66" s="1" t="s">
        <v>550</v>
      </c>
    </row>
    <row r="67" spans="1:11" x14ac:dyDescent="0.35">
      <c r="A67" s="1" t="s">
        <v>551</v>
      </c>
      <c r="B67" s="1" t="s">
        <v>552</v>
      </c>
      <c r="C67" s="1" t="s">
        <v>553</v>
      </c>
      <c r="D67" s="1" t="s">
        <v>156</v>
      </c>
      <c r="E67" s="1" t="s">
        <v>554</v>
      </c>
      <c r="F67" s="1" t="s">
        <v>555</v>
      </c>
      <c r="G67" s="1" t="s">
        <v>1195</v>
      </c>
      <c r="H67" s="1" t="s">
        <v>556</v>
      </c>
      <c r="I67" s="1" t="s">
        <v>252</v>
      </c>
      <c r="J67" s="1" t="s">
        <v>557</v>
      </c>
      <c r="K67" s="1" t="s">
        <v>558</v>
      </c>
    </row>
    <row r="68" spans="1:11" x14ac:dyDescent="0.35">
      <c r="A68" s="1" t="s">
        <v>559</v>
      </c>
      <c r="B68" s="1" t="s">
        <v>560</v>
      </c>
      <c r="C68" s="1" t="s">
        <v>561</v>
      </c>
      <c r="D68" s="1" t="s">
        <v>219</v>
      </c>
      <c r="E68" s="1" t="s">
        <v>562</v>
      </c>
      <c r="F68" s="1" t="s">
        <v>308</v>
      </c>
      <c r="G68" s="1" t="s">
        <v>309</v>
      </c>
      <c r="H68" s="1" t="s">
        <v>563</v>
      </c>
      <c r="I68" s="1" t="s">
        <v>161</v>
      </c>
      <c r="J68" s="1" t="s">
        <v>564</v>
      </c>
      <c r="K68" s="1" t="s">
        <v>1196</v>
      </c>
    </row>
    <row r="69" spans="1:11" x14ac:dyDescent="0.35">
      <c r="A69" s="1" t="s">
        <v>565</v>
      </c>
      <c r="B69" s="1" t="s">
        <v>566</v>
      </c>
      <c r="C69" s="1" t="s">
        <v>567</v>
      </c>
      <c r="D69" s="1" t="s">
        <v>195</v>
      </c>
      <c r="E69" s="1" t="s">
        <v>568</v>
      </c>
      <c r="F69" s="1" t="s">
        <v>569</v>
      </c>
      <c r="G69" s="1" t="s">
        <v>1195</v>
      </c>
      <c r="H69" s="1" t="s">
        <v>570</v>
      </c>
      <c r="I69" s="1" t="s">
        <v>151</v>
      </c>
      <c r="J69" s="1" t="s">
        <v>571</v>
      </c>
      <c r="K69" s="1" t="s">
        <v>1196</v>
      </c>
    </row>
    <row r="70" spans="1:11" x14ac:dyDescent="0.35">
      <c r="A70" s="1" t="s">
        <v>572</v>
      </c>
      <c r="B70" s="1" t="s">
        <v>573</v>
      </c>
      <c r="C70" s="1" t="s">
        <v>574</v>
      </c>
      <c r="D70" s="1" t="s">
        <v>114</v>
      </c>
      <c r="E70" s="1" t="s">
        <v>575</v>
      </c>
      <c r="F70" s="1" t="s">
        <v>98</v>
      </c>
      <c r="G70" s="1" t="s">
        <v>1195</v>
      </c>
      <c r="H70" s="1" t="s">
        <v>576</v>
      </c>
      <c r="I70" s="1" t="s">
        <v>100</v>
      </c>
      <c r="J70" s="1" t="s">
        <v>577</v>
      </c>
      <c r="K70" s="1" t="s">
        <v>578</v>
      </c>
    </row>
    <row r="71" spans="1:11" x14ac:dyDescent="0.35">
      <c r="A71" s="1" t="s">
        <v>579</v>
      </c>
      <c r="B71" s="1" t="s">
        <v>580</v>
      </c>
      <c r="C71" s="1" t="s">
        <v>581</v>
      </c>
      <c r="D71" s="1" t="s">
        <v>44</v>
      </c>
      <c r="E71" s="1" t="s">
        <v>582</v>
      </c>
      <c r="F71" s="1" t="s">
        <v>583</v>
      </c>
      <c r="G71" s="1" t="s">
        <v>1195</v>
      </c>
      <c r="H71" s="1" t="s">
        <v>584</v>
      </c>
      <c r="I71" s="1" t="s">
        <v>585</v>
      </c>
      <c r="J71" s="1" t="s">
        <v>586</v>
      </c>
      <c r="K71" s="1" t="s">
        <v>587</v>
      </c>
    </row>
    <row r="72" spans="1:11" x14ac:dyDescent="0.35">
      <c r="A72" s="1" t="s">
        <v>588</v>
      </c>
      <c r="B72" s="1" t="s">
        <v>589</v>
      </c>
      <c r="C72" s="1" t="s">
        <v>590</v>
      </c>
      <c r="D72" s="1" t="s">
        <v>33</v>
      </c>
      <c r="E72" s="1" t="s">
        <v>591</v>
      </c>
      <c r="F72" s="1" t="s">
        <v>592</v>
      </c>
      <c r="G72" s="1" t="s">
        <v>593</v>
      </c>
      <c r="H72" s="1" t="s">
        <v>594</v>
      </c>
      <c r="I72" s="1" t="s">
        <v>292</v>
      </c>
      <c r="J72" s="1" t="s">
        <v>595</v>
      </c>
      <c r="K72" s="1" t="s">
        <v>1196</v>
      </c>
    </row>
    <row r="73" spans="1:11" x14ac:dyDescent="0.35">
      <c r="A73" s="1" t="s">
        <v>596</v>
      </c>
      <c r="B73" s="1" t="s">
        <v>597</v>
      </c>
      <c r="C73" s="1" t="s">
        <v>598</v>
      </c>
      <c r="D73" s="1" t="s">
        <v>195</v>
      </c>
      <c r="E73" s="1" t="s">
        <v>599</v>
      </c>
      <c r="F73" s="1" t="s">
        <v>61</v>
      </c>
      <c r="G73" s="1" t="s">
        <v>1195</v>
      </c>
      <c r="H73" s="1" t="s">
        <v>600</v>
      </c>
      <c r="I73" s="1" t="s">
        <v>63</v>
      </c>
      <c r="J73" s="1" t="s">
        <v>601</v>
      </c>
      <c r="K73" s="1" t="s">
        <v>602</v>
      </c>
    </row>
    <row r="74" spans="1:11" x14ac:dyDescent="0.35">
      <c r="A74" s="1" t="s">
        <v>603</v>
      </c>
      <c r="B74" s="1" t="s">
        <v>604</v>
      </c>
      <c r="C74" s="1" t="s">
        <v>605</v>
      </c>
      <c r="D74" s="1" t="s">
        <v>44</v>
      </c>
      <c r="E74" s="1" t="s">
        <v>606</v>
      </c>
      <c r="F74" s="1" t="s">
        <v>607</v>
      </c>
      <c r="G74" s="1" t="s">
        <v>1195</v>
      </c>
      <c r="H74" s="1" t="s">
        <v>608</v>
      </c>
      <c r="I74" s="1" t="s">
        <v>609</v>
      </c>
      <c r="J74" s="1" t="s">
        <v>610</v>
      </c>
      <c r="K74" s="1" t="s">
        <v>611</v>
      </c>
    </row>
    <row r="75" spans="1:11" x14ac:dyDescent="0.35">
      <c r="A75" s="1" t="s">
        <v>612</v>
      </c>
      <c r="B75" s="1" t="s">
        <v>613</v>
      </c>
      <c r="C75" s="1" t="s">
        <v>614</v>
      </c>
      <c r="D75" s="1" t="s">
        <v>87</v>
      </c>
      <c r="E75" s="1" t="s">
        <v>615</v>
      </c>
      <c r="F75" s="1" t="s">
        <v>490</v>
      </c>
      <c r="G75" s="1" t="s">
        <v>1195</v>
      </c>
      <c r="H75" s="1" t="s">
        <v>616</v>
      </c>
      <c r="I75" s="1" t="s">
        <v>91</v>
      </c>
      <c r="J75" s="1" t="s">
        <v>617</v>
      </c>
      <c r="K75" s="1" t="s">
        <v>618</v>
      </c>
    </row>
    <row r="76" spans="1:11" x14ac:dyDescent="0.35">
      <c r="A76" s="1" t="s">
        <v>619</v>
      </c>
      <c r="B76" s="1" t="s">
        <v>620</v>
      </c>
      <c r="C76" s="1" t="s">
        <v>621</v>
      </c>
      <c r="D76" s="1" t="s">
        <v>195</v>
      </c>
      <c r="E76" s="1" t="s">
        <v>622</v>
      </c>
      <c r="F76" s="1" t="s">
        <v>623</v>
      </c>
      <c r="G76" s="1" t="s">
        <v>624</v>
      </c>
      <c r="H76" s="1" t="s">
        <v>625</v>
      </c>
      <c r="I76" s="1" t="s">
        <v>292</v>
      </c>
      <c r="J76" s="1" t="s">
        <v>626</v>
      </c>
      <c r="K76" s="1" t="s">
        <v>627</v>
      </c>
    </row>
    <row r="77" spans="1:11" x14ac:dyDescent="0.35">
      <c r="A77" s="1" t="s">
        <v>628</v>
      </c>
      <c r="B77" s="1" t="s">
        <v>629</v>
      </c>
      <c r="C77" s="1" t="s">
        <v>630</v>
      </c>
      <c r="D77" s="1" t="s">
        <v>114</v>
      </c>
      <c r="E77" s="1" t="s">
        <v>631</v>
      </c>
      <c r="F77" s="1" t="s">
        <v>632</v>
      </c>
      <c r="G77" s="1" t="s">
        <v>1195</v>
      </c>
      <c r="H77" s="1" t="s">
        <v>633</v>
      </c>
      <c r="I77" s="1" t="s">
        <v>439</v>
      </c>
      <c r="J77" s="1" t="s">
        <v>634</v>
      </c>
      <c r="K77" s="1" t="s">
        <v>635</v>
      </c>
    </row>
    <row r="78" spans="1:11" x14ac:dyDescent="0.35">
      <c r="A78" s="1" t="s">
        <v>636</v>
      </c>
      <c r="B78" s="1" t="s">
        <v>637</v>
      </c>
      <c r="C78" s="1" t="s">
        <v>638</v>
      </c>
      <c r="D78" s="1" t="s">
        <v>87</v>
      </c>
      <c r="E78" s="1" t="s">
        <v>1205</v>
      </c>
      <c r="F78" s="1" t="s">
        <v>421</v>
      </c>
      <c r="G78" s="1" t="s">
        <v>290</v>
      </c>
      <c r="H78" s="1" t="s">
        <v>639</v>
      </c>
      <c r="I78" s="1" t="s">
        <v>292</v>
      </c>
      <c r="J78" s="1" t="s">
        <v>640</v>
      </c>
      <c r="K78" s="1" t="s">
        <v>1196</v>
      </c>
    </row>
    <row r="79" spans="1:11" x14ac:dyDescent="0.35">
      <c r="A79" s="1" t="s">
        <v>641</v>
      </c>
      <c r="B79" s="1" t="s">
        <v>642</v>
      </c>
      <c r="C79" s="1" t="s">
        <v>643</v>
      </c>
      <c r="D79" s="1" t="s">
        <v>205</v>
      </c>
      <c r="E79" s="1" t="s">
        <v>644</v>
      </c>
      <c r="F79" s="1" t="s">
        <v>645</v>
      </c>
      <c r="G79" s="1" t="s">
        <v>646</v>
      </c>
      <c r="H79" s="1" t="s">
        <v>647</v>
      </c>
      <c r="I79" s="1" t="s">
        <v>292</v>
      </c>
      <c r="J79" s="1" t="s">
        <v>648</v>
      </c>
      <c r="K79" s="1" t="s">
        <v>649</v>
      </c>
    </row>
    <row r="80" spans="1:11" x14ac:dyDescent="0.35">
      <c r="A80" s="1" t="s">
        <v>650</v>
      </c>
      <c r="B80" s="1" t="s">
        <v>651</v>
      </c>
      <c r="C80" s="1" t="s">
        <v>652</v>
      </c>
      <c r="D80" s="1" t="s">
        <v>87</v>
      </c>
      <c r="E80" s="1" t="s">
        <v>653</v>
      </c>
      <c r="F80" s="1" t="s">
        <v>654</v>
      </c>
      <c r="G80" s="1" t="s">
        <v>1195</v>
      </c>
      <c r="H80" s="1" t="s">
        <v>655</v>
      </c>
      <c r="I80" s="1" t="s">
        <v>38</v>
      </c>
      <c r="J80" s="1" t="s">
        <v>656</v>
      </c>
      <c r="K80" s="1" t="s">
        <v>657</v>
      </c>
    </row>
    <row r="81" spans="1:11" x14ac:dyDescent="0.35">
      <c r="A81" s="1" t="s">
        <v>658</v>
      </c>
      <c r="B81" s="1" t="s">
        <v>659</v>
      </c>
      <c r="C81" s="1" t="s">
        <v>660</v>
      </c>
      <c r="D81" s="1" t="s">
        <v>44</v>
      </c>
      <c r="E81" s="1" t="s">
        <v>661</v>
      </c>
      <c r="F81" s="1" t="s">
        <v>46</v>
      </c>
      <c r="G81" s="1" t="s">
        <v>1195</v>
      </c>
      <c r="H81" s="1" t="s">
        <v>498</v>
      </c>
      <c r="I81" s="1" t="s">
        <v>48</v>
      </c>
      <c r="J81" s="1" t="s">
        <v>662</v>
      </c>
      <c r="K81" s="1" t="s">
        <v>1196</v>
      </c>
    </row>
    <row r="82" spans="1:11" x14ac:dyDescent="0.35">
      <c r="A82" s="1" t="s">
        <v>663</v>
      </c>
      <c r="B82" s="1" t="s">
        <v>664</v>
      </c>
      <c r="C82" s="1" t="s">
        <v>665</v>
      </c>
      <c r="D82" s="1" t="s">
        <v>33</v>
      </c>
      <c r="E82" s="1" t="s">
        <v>666</v>
      </c>
      <c r="F82" s="1" t="s">
        <v>158</v>
      </c>
      <c r="G82" s="1" t="s">
        <v>159</v>
      </c>
      <c r="H82" s="1" t="s">
        <v>667</v>
      </c>
      <c r="I82" s="1" t="s">
        <v>161</v>
      </c>
      <c r="J82" s="1" t="s">
        <v>668</v>
      </c>
      <c r="K82" s="1" t="s">
        <v>669</v>
      </c>
    </row>
    <row r="83" spans="1:11" x14ac:dyDescent="0.35">
      <c r="A83" s="1" t="s">
        <v>670</v>
      </c>
      <c r="B83" s="1" t="s">
        <v>671</v>
      </c>
      <c r="C83" s="1" t="s">
        <v>672</v>
      </c>
      <c r="D83" s="1" t="s">
        <v>156</v>
      </c>
      <c r="E83" s="1" t="s">
        <v>673</v>
      </c>
      <c r="F83" s="1" t="s">
        <v>674</v>
      </c>
      <c r="G83" s="1" t="s">
        <v>381</v>
      </c>
      <c r="H83" s="1" t="s">
        <v>675</v>
      </c>
      <c r="I83" s="1" t="s">
        <v>292</v>
      </c>
      <c r="J83" s="1" t="s">
        <v>676</v>
      </c>
      <c r="K83" s="1" t="s">
        <v>677</v>
      </c>
    </row>
    <row r="84" spans="1:11" x14ac:dyDescent="0.35">
      <c r="A84" s="1" t="s">
        <v>678</v>
      </c>
      <c r="B84" s="1" t="s">
        <v>679</v>
      </c>
      <c r="C84" s="1" t="s">
        <v>680</v>
      </c>
      <c r="D84" s="1" t="s">
        <v>195</v>
      </c>
      <c r="E84" s="1" t="s">
        <v>681</v>
      </c>
      <c r="F84" s="1" t="s">
        <v>682</v>
      </c>
      <c r="G84" s="1" t="s">
        <v>1195</v>
      </c>
      <c r="H84" s="1" t="s">
        <v>683</v>
      </c>
      <c r="I84" s="1" t="s">
        <v>609</v>
      </c>
      <c r="J84" s="1" t="s">
        <v>684</v>
      </c>
      <c r="K84" s="1" t="s">
        <v>685</v>
      </c>
    </row>
    <row r="85" spans="1:11" x14ac:dyDescent="0.35">
      <c r="A85" s="1" t="s">
        <v>686</v>
      </c>
      <c r="B85" s="1" t="s">
        <v>687</v>
      </c>
      <c r="C85" s="1" t="s">
        <v>688</v>
      </c>
      <c r="D85" s="1" t="s">
        <v>131</v>
      </c>
      <c r="E85" s="1" t="s">
        <v>689</v>
      </c>
      <c r="F85" s="1" t="s">
        <v>690</v>
      </c>
      <c r="G85" s="1" t="s">
        <v>1195</v>
      </c>
      <c r="H85" s="1" t="s">
        <v>691</v>
      </c>
      <c r="I85" s="1" t="s">
        <v>91</v>
      </c>
      <c r="J85" s="1" t="s">
        <v>692</v>
      </c>
      <c r="K85" s="1" t="s">
        <v>693</v>
      </c>
    </row>
    <row r="86" spans="1:11" x14ac:dyDescent="0.35">
      <c r="A86" s="1" t="s">
        <v>694</v>
      </c>
      <c r="B86" s="1" t="s">
        <v>695</v>
      </c>
      <c r="C86" s="1" t="s">
        <v>696</v>
      </c>
      <c r="D86" s="1" t="s">
        <v>114</v>
      </c>
      <c r="E86" s="1" t="s">
        <v>697</v>
      </c>
      <c r="F86" s="1" t="s">
        <v>698</v>
      </c>
      <c r="G86" s="1" t="s">
        <v>1195</v>
      </c>
      <c r="H86" s="1" t="s">
        <v>699</v>
      </c>
      <c r="I86" s="1" t="s">
        <v>91</v>
      </c>
      <c r="J86" s="1" t="s">
        <v>700</v>
      </c>
      <c r="K86" s="1" t="s">
        <v>701</v>
      </c>
    </row>
    <row r="87" spans="1:11" x14ac:dyDescent="0.35">
      <c r="A87" s="1" t="s">
        <v>702</v>
      </c>
      <c r="B87" s="1" t="s">
        <v>703</v>
      </c>
      <c r="C87" s="1" t="s">
        <v>704</v>
      </c>
      <c r="D87" s="1" t="s">
        <v>33</v>
      </c>
      <c r="E87" s="1" t="s">
        <v>705</v>
      </c>
      <c r="F87" s="1" t="s">
        <v>706</v>
      </c>
      <c r="G87" s="1" t="s">
        <v>1195</v>
      </c>
      <c r="H87" s="1" t="s">
        <v>707</v>
      </c>
      <c r="I87" s="1" t="s">
        <v>38</v>
      </c>
      <c r="J87" s="1" t="s">
        <v>708</v>
      </c>
      <c r="K87" s="1" t="s">
        <v>709</v>
      </c>
    </row>
    <row r="88" spans="1:11" x14ac:dyDescent="0.35">
      <c r="A88" s="1" t="s">
        <v>710</v>
      </c>
      <c r="B88" s="1" t="s">
        <v>711</v>
      </c>
      <c r="C88" s="1" t="s">
        <v>712</v>
      </c>
      <c r="D88" s="1" t="s">
        <v>114</v>
      </c>
      <c r="E88" s="1" t="s">
        <v>713</v>
      </c>
      <c r="F88" s="1" t="s">
        <v>714</v>
      </c>
      <c r="G88" s="1" t="s">
        <v>1195</v>
      </c>
      <c r="H88" s="1" t="s">
        <v>715</v>
      </c>
      <c r="I88" s="1" t="s">
        <v>716</v>
      </c>
      <c r="J88" s="1" t="s">
        <v>717</v>
      </c>
      <c r="K88" s="1" t="s">
        <v>717</v>
      </c>
    </row>
    <row r="89" spans="1:11" x14ac:dyDescent="0.35">
      <c r="A89" s="1" t="s">
        <v>718</v>
      </c>
      <c r="B89" s="1" t="s">
        <v>719</v>
      </c>
      <c r="C89" s="1" t="s">
        <v>720</v>
      </c>
      <c r="D89" s="1" t="s">
        <v>195</v>
      </c>
      <c r="E89" s="1" t="s">
        <v>721</v>
      </c>
      <c r="F89" s="1" t="s">
        <v>722</v>
      </c>
      <c r="G89" s="1" t="s">
        <v>159</v>
      </c>
      <c r="H89" s="1" t="s">
        <v>723</v>
      </c>
      <c r="I89" s="1" t="s">
        <v>161</v>
      </c>
      <c r="J89" s="1" t="s">
        <v>724</v>
      </c>
      <c r="K89" s="1" t="s">
        <v>1196</v>
      </c>
    </row>
    <row r="90" spans="1:11" x14ac:dyDescent="0.35">
      <c r="A90" s="1" t="s">
        <v>725</v>
      </c>
      <c r="B90" s="1" t="s">
        <v>726</v>
      </c>
      <c r="C90" s="1" t="s">
        <v>727</v>
      </c>
      <c r="D90" s="1" t="s">
        <v>44</v>
      </c>
      <c r="E90" s="1" t="s">
        <v>1206</v>
      </c>
      <c r="F90" s="1" t="s">
        <v>728</v>
      </c>
      <c r="G90" s="1" t="s">
        <v>381</v>
      </c>
      <c r="H90" s="1" t="s">
        <v>729</v>
      </c>
      <c r="I90" s="1" t="s">
        <v>292</v>
      </c>
      <c r="J90" s="1" t="s">
        <v>730</v>
      </c>
      <c r="K90" s="1" t="s">
        <v>731</v>
      </c>
    </row>
    <row r="91" spans="1:11" x14ac:dyDescent="0.35">
      <c r="A91" s="1" t="s">
        <v>732</v>
      </c>
      <c r="B91" s="1" t="s">
        <v>733</v>
      </c>
      <c r="C91" s="1" t="s">
        <v>734</v>
      </c>
      <c r="D91" s="1" t="s">
        <v>735</v>
      </c>
      <c r="E91" s="1" t="s">
        <v>736</v>
      </c>
      <c r="F91" s="1" t="s">
        <v>737</v>
      </c>
      <c r="G91" s="1" t="s">
        <v>1195</v>
      </c>
      <c r="H91" s="1" t="s">
        <v>738</v>
      </c>
      <c r="I91" s="1" t="s">
        <v>716</v>
      </c>
      <c r="J91" s="1" t="s">
        <v>739</v>
      </c>
      <c r="K91" s="1" t="s">
        <v>739</v>
      </c>
    </row>
    <row r="92" spans="1:11" x14ac:dyDescent="0.35">
      <c r="A92" s="1" t="s">
        <v>740</v>
      </c>
      <c r="B92" s="1" t="s">
        <v>741</v>
      </c>
      <c r="C92" s="1" t="s">
        <v>742</v>
      </c>
      <c r="D92" s="1" t="s">
        <v>44</v>
      </c>
      <c r="E92" s="1" t="s">
        <v>743</v>
      </c>
      <c r="F92" s="1" t="s">
        <v>744</v>
      </c>
      <c r="G92" s="1" t="s">
        <v>1195</v>
      </c>
      <c r="H92" s="1" t="s">
        <v>745</v>
      </c>
      <c r="I92" s="1" t="s">
        <v>746</v>
      </c>
      <c r="J92" s="1" t="s">
        <v>747</v>
      </c>
      <c r="K92" s="1" t="s">
        <v>747</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71FD1-82F2-47A9-9C5A-6B01C80B2606}">
  <dimension ref="A1:O831"/>
  <sheetViews>
    <sheetView zoomScale="106" workbookViewId="0">
      <selection activeCell="G2" sqref="G2"/>
    </sheetView>
  </sheetViews>
  <sheetFormatPr defaultRowHeight="14.5" x14ac:dyDescent="0.35"/>
  <cols>
    <col min="1" max="1" width="9.81640625" bestFit="1" customWidth="1"/>
    <col min="2" max="3" width="13.08984375" bestFit="1" customWidth="1"/>
    <col min="4" max="4" width="12" bestFit="1" customWidth="1"/>
    <col min="5" max="5" width="14.6328125" bestFit="1" customWidth="1"/>
    <col min="6" max="6" width="13.81640625" bestFit="1" customWidth="1"/>
    <col min="7" max="7" width="9.26953125" bestFit="1" customWidth="1"/>
    <col min="8" max="8" width="8.90625" bestFit="1" customWidth="1"/>
    <col min="9" max="9" width="31.08984375" bestFit="1" customWidth="1"/>
    <col min="10" max="10" width="41.26953125" bestFit="1" customWidth="1"/>
    <col min="11" max="11" width="13.1796875" bestFit="1" customWidth="1"/>
    <col min="12" max="12" width="12.90625" bestFit="1" customWidth="1"/>
    <col min="13" max="13" width="16.1796875" bestFit="1" customWidth="1"/>
    <col min="14" max="14" width="13.36328125" bestFit="1" customWidth="1"/>
    <col min="15" max="15" width="8.81640625" bestFit="1" customWidth="1"/>
  </cols>
  <sheetData>
    <row r="1" spans="1:15" x14ac:dyDescent="0.35">
      <c r="A1" t="s">
        <v>818</v>
      </c>
      <c r="B1" t="s">
        <v>19</v>
      </c>
      <c r="C1" t="s">
        <v>748</v>
      </c>
      <c r="D1" t="s">
        <v>823</v>
      </c>
      <c r="E1" t="s">
        <v>824</v>
      </c>
      <c r="F1" t="s">
        <v>825</v>
      </c>
      <c r="G1" t="s">
        <v>826</v>
      </c>
      <c r="H1" t="s">
        <v>827</v>
      </c>
      <c r="I1" t="s">
        <v>828</v>
      </c>
      <c r="J1" t="s">
        <v>829</v>
      </c>
      <c r="K1" t="s">
        <v>830</v>
      </c>
      <c r="L1" t="s">
        <v>831</v>
      </c>
      <c r="M1" t="s">
        <v>832</v>
      </c>
      <c r="N1" t="s">
        <v>833</v>
      </c>
      <c r="O1" t="s">
        <v>1344</v>
      </c>
    </row>
    <row r="2" spans="1:15" x14ac:dyDescent="0.35">
      <c r="A2">
        <v>10248</v>
      </c>
      <c r="B2" s="1" t="s">
        <v>694</v>
      </c>
      <c r="C2">
        <v>5</v>
      </c>
      <c r="D2" s="2">
        <v>34550</v>
      </c>
      <c r="E2" s="2">
        <v>34578</v>
      </c>
      <c r="F2" s="2">
        <v>34562</v>
      </c>
      <c r="G2">
        <v>3</v>
      </c>
      <c r="H2">
        <v>32.380000000000003</v>
      </c>
      <c r="I2" s="1" t="s">
        <v>695</v>
      </c>
      <c r="J2" s="1" t="s">
        <v>697</v>
      </c>
      <c r="K2" s="1" t="s">
        <v>698</v>
      </c>
      <c r="L2" s="1" t="s">
        <v>1195</v>
      </c>
      <c r="M2" s="1" t="s">
        <v>699</v>
      </c>
      <c r="N2" s="1" t="s">
        <v>91</v>
      </c>
      <c r="O2" s="1">
        <f>MONTH(orders[[#This Row],[OrderDate]])</f>
        <v>8</v>
      </c>
    </row>
    <row r="3" spans="1:15" x14ac:dyDescent="0.35">
      <c r="A3">
        <v>10249</v>
      </c>
      <c r="B3" s="1" t="s">
        <v>650</v>
      </c>
      <c r="C3">
        <v>6</v>
      </c>
      <c r="D3" s="2">
        <v>34551</v>
      </c>
      <c r="E3" s="2">
        <v>34593</v>
      </c>
      <c r="F3" s="2">
        <v>34556</v>
      </c>
      <c r="G3">
        <v>1</v>
      </c>
      <c r="H3">
        <v>11.61</v>
      </c>
      <c r="I3" s="1" t="s">
        <v>651</v>
      </c>
      <c r="J3" s="1" t="s">
        <v>653</v>
      </c>
      <c r="K3" s="1" t="s">
        <v>654</v>
      </c>
      <c r="L3" s="1" t="s">
        <v>1195</v>
      </c>
      <c r="M3" s="1" t="s">
        <v>655</v>
      </c>
      <c r="N3" s="1" t="s">
        <v>38</v>
      </c>
      <c r="O3" s="1">
        <f>MONTH(orders[[#This Row],[OrderDate]])</f>
        <v>8</v>
      </c>
    </row>
    <row r="4" spans="1:15" x14ac:dyDescent="0.35">
      <c r="A4">
        <v>10250</v>
      </c>
      <c r="B4" s="1" t="s">
        <v>304</v>
      </c>
      <c r="C4">
        <v>4</v>
      </c>
      <c r="D4" s="2">
        <v>34554</v>
      </c>
      <c r="E4" s="2">
        <v>34582</v>
      </c>
      <c r="F4" s="2">
        <v>34558</v>
      </c>
      <c r="G4">
        <v>2</v>
      </c>
      <c r="H4">
        <v>65.83</v>
      </c>
      <c r="I4" s="1" t="s">
        <v>305</v>
      </c>
      <c r="J4" s="1" t="s">
        <v>307</v>
      </c>
      <c r="K4" s="1" t="s">
        <v>308</v>
      </c>
      <c r="L4" s="1" t="s">
        <v>309</v>
      </c>
      <c r="M4" s="1" t="s">
        <v>310</v>
      </c>
      <c r="N4" s="1" t="s">
        <v>161</v>
      </c>
      <c r="O4" s="1">
        <f>MONTH(orders[[#This Row],[OrderDate]])</f>
        <v>8</v>
      </c>
    </row>
    <row r="5" spans="1:15" x14ac:dyDescent="0.35">
      <c r="A5">
        <v>10251</v>
      </c>
      <c r="B5" s="1" t="s">
        <v>686</v>
      </c>
      <c r="C5">
        <v>3</v>
      </c>
      <c r="D5" s="2">
        <v>34554</v>
      </c>
      <c r="E5" s="2">
        <v>34582</v>
      </c>
      <c r="F5" s="2">
        <v>34561</v>
      </c>
      <c r="G5">
        <v>1</v>
      </c>
      <c r="H5">
        <v>41.34</v>
      </c>
      <c r="I5" s="1" t="s">
        <v>687</v>
      </c>
      <c r="J5" s="1" t="s">
        <v>689</v>
      </c>
      <c r="K5" s="1" t="s">
        <v>690</v>
      </c>
      <c r="L5" s="1" t="s">
        <v>1195</v>
      </c>
      <c r="M5" s="1" t="s">
        <v>691</v>
      </c>
      <c r="N5" s="1" t="s">
        <v>91</v>
      </c>
      <c r="O5" s="1">
        <f>MONTH(orders[[#This Row],[OrderDate]])</f>
        <v>8</v>
      </c>
    </row>
    <row r="6" spans="1:15" x14ac:dyDescent="0.35">
      <c r="A6">
        <v>10252</v>
      </c>
      <c r="B6" s="1" t="s">
        <v>628</v>
      </c>
      <c r="C6">
        <v>4</v>
      </c>
      <c r="D6" s="2">
        <v>34555</v>
      </c>
      <c r="E6" s="2">
        <v>34583</v>
      </c>
      <c r="F6" s="2">
        <v>34557</v>
      </c>
      <c r="G6">
        <v>2</v>
      </c>
      <c r="H6">
        <v>51.3</v>
      </c>
      <c r="I6" s="1" t="s">
        <v>629</v>
      </c>
      <c r="J6" s="1" t="s">
        <v>631</v>
      </c>
      <c r="K6" s="1" t="s">
        <v>632</v>
      </c>
      <c r="L6" s="1" t="s">
        <v>1195</v>
      </c>
      <c r="M6" s="1" t="s">
        <v>633</v>
      </c>
      <c r="N6" s="1" t="s">
        <v>439</v>
      </c>
      <c r="O6" s="1">
        <f>MONTH(orders[[#This Row],[OrderDate]])</f>
        <v>8</v>
      </c>
    </row>
    <row r="7" spans="1:15" x14ac:dyDescent="0.35">
      <c r="A7">
        <v>10253</v>
      </c>
      <c r="B7" s="1" t="s">
        <v>304</v>
      </c>
      <c r="C7">
        <v>3</v>
      </c>
      <c r="D7" s="2">
        <v>34556</v>
      </c>
      <c r="E7" s="2">
        <v>34570</v>
      </c>
      <c r="F7" s="2">
        <v>34562</v>
      </c>
      <c r="G7">
        <v>2</v>
      </c>
      <c r="H7">
        <v>58.17</v>
      </c>
      <c r="I7" s="1" t="s">
        <v>305</v>
      </c>
      <c r="J7" s="1" t="s">
        <v>307</v>
      </c>
      <c r="K7" s="1" t="s">
        <v>308</v>
      </c>
      <c r="L7" s="1" t="s">
        <v>309</v>
      </c>
      <c r="M7" s="1" t="s">
        <v>310</v>
      </c>
      <c r="N7" s="1" t="s">
        <v>161</v>
      </c>
      <c r="O7" s="1">
        <f>MONTH(orders[[#This Row],[OrderDate]])</f>
        <v>8</v>
      </c>
    </row>
    <row r="8" spans="1:15" x14ac:dyDescent="0.35">
      <c r="A8">
        <v>10254</v>
      </c>
      <c r="B8" s="1" t="s">
        <v>145</v>
      </c>
      <c r="C8">
        <v>5</v>
      </c>
      <c r="D8" s="2">
        <v>34557</v>
      </c>
      <c r="E8" s="2">
        <v>34585</v>
      </c>
      <c r="F8" s="2">
        <v>34569</v>
      </c>
      <c r="G8">
        <v>2</v>
      </c>
      <c r="H8">
        <v>22.98</v>
      </c>
      <c r="I8" s="1" t="s">
        <v>146</v>
      </c>
      <c r="J8" s="1" t="s">
        <v>834</v>
      </c>
      <c r="K8" s="1" t="s">
        <v>149</v>
      </c>
      <c r="L8" s="1" t="s">
        <v>1195</v>
      </c>
      <c r="M8" s="1" t="s">
        <v>150</v>
      </c>
      <c r="N8" s="1" t="s">
        <v>151</v>
      </c>
      <c r="O8" s="1">
        <f>MONTH(orders[[#This Row],[OrderDate]])</f>
        <v>8</v>
      </c>
    </row>
    <row r="9" spans="1:15" x14ac:dyDescent="0.35">
      <c r="A9">
        <v>10255</v>
      </c>
      <c r="B9" s="1" t="s">
        <v>565</v>
      </c>
      <c r="C9">
        <v>9</v>
      </c>
      <c r="D9" s="2">
        <v>34558</v>
      </c>
      <c r="E9" s="2">
        <v>34586</v>
      </c>
      <c r="F9" s="2">
        <v>34561</v>
      </c>
      <c r="G9">
        <v>3</v>
      </c>
      <c r="H9">
        <v>148.33000000000001</v>
      </c>
      <c r="I9" s="1" t="s">
        <v>566</v>
      </c>
      <c r="J9" s="1" t="s">
        <v>835</v>
      </c>
      <c r="K9" s="1" t="s">
        <v>569</v>
      </c>
      <c r="L9" s="1" t="s">
        <v>1195</v>
      </c>
      <c r="M9" s="1" t="s">
        <v>836</v>
      </c>
      <c r="N9" s="1" t="s">
        <v>151</v>
      </c>
      <c r="O9" s="1">
        <f>MONTH(orders[[#This Row],[OrderDate]])</f>
        <v>8</v>
      </c>
    </row>
    <row r="10" spans="1:15" x14ac:dyDescent="0.35">
      <c r="A10">
        <v>10256</v>
      </c>
      <c r="B10" s="1" t="s">
        <v>718</v>
      </c>
      <c r="C10">
        <v>3</v>
      </c>
      <c r="D10" s="2">
        <v>34561</v>
      </c>
      <c r="E10" s="2">
        <v>34589</v>
      </c>
      <c r="F10" s="2">
        <v>34563</v>
      </c>
      <c r="G10">
        <v>2</v>
      </c>
      <c r="H10">
        <v>13.97</v>
      </c>
      <c r="I10" s="1" t="s">
        <v>719</v>
      </c>
      <c r="J10" s="1" t="s">
        <v>721</v>
      </c>
      <c r="K10" s="1" t="s">
        <v>722</v>
      </c>
      <c r="L10" s="1" t="s">
        <v>159</v>
      </c>
      <c r="M10" s="1" t="s">
        <v>723</v>
      </c>
      <c r="N10" s="1" t="s">
        <v>161</v>
      </c>
      <c r="O10" s="1">
        <f>MONTH(orders[[#This Row],[OrderDate]])</f>
        <v>8</v>
      </c>
    </row>
    <row r="11" spans="1:15" x14ac:dyDescent="0.35">
      <c r="A11">
        <v>10257</v>
      </c>
      <c r="B11" s="1" t="s">
        <v>313</v>
      </c>
      <c r="C11">
        <v>4</v>
      </c>
      <c r="D11" s="2">
        <v>34562</v>
      </c>
      <c r="E11" s="2">
        <v>34590</v>
      </c>
      <c r="F11" s="2">
        <v>34568</v>
      </c>
      <c r="G11">
        <v>3</v>
      </c>
      <c r="H11">
        <v>81.91</v>
      </c>
      <c r="I11" s="1" t="s">
        <v>314</v>
      </c>
      <c r="J11" s="1" t="s">
        <v>316</v>
      </c>
      <c r="K11" s="1" t="s">
        <v>317</v>
      </c>
      <c r="L11" s="1" t="s">
        <v>318</v>
      </c>
      <c r="M11" s="1" t="s">
        <v>319</v>
      </c>
      <c r="N11" s="1" t="s">
        <v>301</v>
      </c>
      <c r="O11" s="1">
        <f>MONTH(orders[[#This Row],[OrderDate]])</f>
        <v>8</v>
      </c>
    </row>
    <row r="12" spans="1:15" x14ac:dyDescent="0.35">
      <c r="A12">
        <v>10258</v>
      </c>
      <c r="B12" s="1" t="s">
        <v>192</v>
      </c>
      <c r="C12">
        <v>1</v>
      </c>
      <c r="D12" s="2">
        <v>34563</v>
      </c>
      <c r="E12" s="2">
        <v>34591</v>
      </c>
      <c r="F12" s="2">
        <v>34569</v>
      </c>
      <c r="G12">
        <v>1</v>
      </c>
      <c r="H12">
        <v>140.51</v>
      </c>
      <c r="I12" s="1" t="s">
        <v>193</v>
      </c>
      <c r="J12" s="1" t="s">
        <v>196</v>
      </c>
      <c r="K12" s="1" t="s">
        <v>197</v>
      </c>
      <c r="L12" s="1" t="s">
        <v>1195</v>
      </c>
      <c r="M12" s="1" t="s">
        <v>198</v>
      </c>
      <c r="N12" s="1" t="s">
        <v>199</v>
      </c>
      <c r="O12" s="1">
        <f>MONTH(orders[[#This Row],[OrderDate]])</f>
        <v>8</v>
      </c>
    </row>
    <row r="13" spans="1:15" x14ac:dyDescent="0.35">
      <c r="A13">
        <v>10259</v>
      </c>
      <c r="B13" s="1" t="s">
        <v>138</v>
      </c>
      <c r="C13">
        <v>4</v>
      </c>
      <c r="D13" s="2">
        <v>34564</v>
      </c>
      <c r="E13" s="2">
        <v>34592</v>
      </c>
      <c r="F13" s="2">
        <v>34571</v>
      </c>
      <c r="G13">
        <v>3</v>
      </c>
      <c r="H13">
        <v>3.25</v>
      </c>
      <c r="I13" s="1" t="s">
        <v>139</v>
      </c>
      <c r="J13" s="1" t="s">
        <v>141</v>
      </c>
      <c r="K13" s="1" t="s">
        <v>46</v>
      </c>
      <c r="L13" s="1" t="s">
        <v>1195</v>
      </c>
      <c r="M13" s="1" t="s">
        <v>142</v>
      </c>
      <c r="N13" s="1" t="s">
        <v>48</v>
      </c>
      <c r="O13" s="1">
        <f>MONTH(orders[[#This Row],[OrderDate]])</f>
        <v>8</v>
      </c>
    </row>
    <row r="14" spans="1:15" x14ac:dyDescent="0.35">
      <c r="A14">
        <v>10260</v>
      </c>
      <c r="B14" s="1" t="s">
        <v>478</v>
      </c>
      <c r="C14">
        <v>4</v>
      </c>
      <c r="D14" s="2">
        <v>34565</v>
      </c>
      <c r="E14" s="2">
        <v>34593</v>
      </c>
      <c r="F14" s="2">
        <v>34575</v>
      </c>
      <c r="G14">
        <v>1</v>
      </c>
      <c r="H14">
        <v>55.09</v>
      </c>
      <c r="I14" s="1" t="s">
        <v>479</v>
      </c>
      <c r="J14" s="1" t="s">
        <v>481</v>
      </c>
      <c r="K14" s="1" t="s">
        <v>482</v>
      </c>
      <c r="L14" s="1" t="s">
        <v>1195</v>
      </c>
      <c r="M14" s="1" t="s">
        <v>483</v>
      </c>
      <c r="N14" s="1" t="s">
        <v>38</v>
      </c>
      <c r="O14" s="1">
        <f>MONTH(orders[[#This Row],[OrderDate]])</f>
        <v>8</v>
      </c>
    </row>
    <row r="15" spans="1:15" x14ac:dyDescent="0.35">
      <c r="A15">
        <v>10261</v>
      </c>
      <c r="B15" s="1" t="s">
        <v>515</v>
      </c>
      <c r="C15">
        <v>4</v>
      </c>
      <c r="D15" s="2">
        <v>34565</v>
      </c>
      <c r="E15" s="2">
        <v>34593</v>
      </c>
      <c r="F15" s="2">
        <v>34576</v>
      </c>
      <c r="G15">
        <v>2</v>
      </c>
      <c r="H15">
        <v>3.05</v>
      </c>
      <c r="I15" s="1" t="s">
        <v>516</v>
      </c>
      <c r="J15" s="1" t="s">
        <v>518</v>
      </c>
      <c r="K15" s="1" t="s">
        <v>308</v>
      </c>
      <c r="L15" s="1" t="s">
        <v>309</v>
      </c>
      <c r="M15" s="1" t="s">
        <v>519</v>
      </c>
      <c r="N15" s="1" t="s">
        <v>161</v>
      </c>
      <c r="O15" s="1">
        <f>MONTH(orders[[#This Row],[OrderDate]])</f>
        <v>8</v>
      </c>
    </row>
    <row r="16" spans="1:15" x14ac:dyDescent="0.35">
      <c r="A16">
        <v>10262</v>
      </c>
      <c r="B16" s="1" t="s">
        <v>541</v>
      </c>
      <c r="C16">
        <v>8</v>
      </c>
      <c r="D16" s="2">
        <v>34568</v>
      </c>
      <c r="E16" s="2">
        <v>34596</v>
      </c>
      <c r="F16" s="2">
        <v>34571</v>
      </c>
      <c r="G16">
        <v>3</v>
      </c>
      <c r="H16">
        <v>48.29</v>
      </c>
      <c r="I16" s="1" t="s">
        <v>542</v>
      </c>
      <c r="J16" s="1" t="s">
        <v>545</v>
      </c>
      <c r="K16" s="1" t="s">
        <v>546</v>
      </c>
      <c r="L16" s="1" t="s">
        <v>547</v>
      </c>
      <c r="M16" s="1" t="s">
        <v>548</v>
      </c>
      <c r="N16" s="1" t="s">
        <v>292</v>
      </c>
      <c r="O16" s="1">
        <f>MONTH(orders[[#This Row],[OrderDate]])</f>
        <v>8</v>
      </c>
    </row>
    <row r="17" spans="1:15" x14ac:dyDescent="0.35">
      <c r="A17">
        <v>10263</v>
      </c>
      <c r="B17" s="1" t="s">
        <v>192</v>
      </c>
      <c r="C17">
        <v>9</v>
      </c>
      <c r="D17" s="2">
        <v>34569</v>
      </c>
      <c r="E17" s="2">
        <v>34597</v>
      </c>
      <c r="F17" s="2">
        <v>34577</v>
      </c>
      <c r="G17">
        <v>3</v>
      </c>
      <c r="H17">
        <v>146.06</v>
      </c>
      <c r="I17" s="1" t="s">
        <v>193</v>
      </c>
      <c r="J17" s="1" t="s">
        <v>196</v>
      </c>
      <c r="K17" s="1" t="s">
        <v>197</v>
      </c>
      <c r="L17" s="1" t="s">
        <v>1195</v>
      </c>
      <c r="M17" s="1" t="s">
        <v>198</v>
      </c>
      <c r="N17" s="1" t="s">
        <v>199</v>
      </c>
      <c r="O17" s="1">
        <f>MONTH(orders[[#This Row],[OrderDate]])</f>
        <v>8</v>
      </c>
    </row>
    <row r="18" spans="1:15" x14ac:dyDescent="0.35">
      <c r="A18">
        <v>10264</v>
      </c>
      <c r="B18" s="1" t="s">
        <v>225</v>
      </c>
      <c r="C18">
        <v>6</v>
      </c>
      <c r="D18" s="2">
        <v>34570</v>
      </c>
      <c r="E18" s="2">
        <v>34598</v>
      </c>
      <c r="F18" s="2">
        <v>34600</v>
      </c>
      <c r="G18">
        <v>3</v>
      </c>
      <c r="H18">
        <v>3.67</v>
      </c>
      <c r="I18" s="1" t="s">
        <v>226</v>
      </c>
      <c r="J18" s="1" t="s">
        <v>228</v>
      </c>
      <c r="K18" s="1" t="s">
        <v>229</v>
      </c>
      <c r="L18" s="1" t="s">
        <v>1195</v>
      </c>
      <c r="M18" s="1" t="s">
        <v>230</v>
      </c>
      <c r="N18" s="1" t="s">
        <v>73</v>
      </c>
      <c r="O18" s="1">
        <f>MONTH(orders[[#This Row],[OrderDate]])</f>
        <v>8</v>
      </c>
    </row>
    <row r="19" spans="1:15" x14ac:dyDescent="0.35">
      <c r="A19">
        <v>10265</v>
      </c>
      <c r="B19" s="1" t="s">
        <v>84</v>
      </c>
      <c r="C19">
        <v>2</v>
      </c>
      <c r="D19" s="2">
        <v>34571</v>
      </c>
      <c r="E19" s="2">
        <v>34599</v>
      </c>
      <c r="F19" s="2">
        <v>34589</v>
      </c>
      <c r="G19">
        <v>1</v>
      </c>
      <c r="H19">
        <v>55.28</v>
      </c>
      <c r="I19" s="1" t="s">
        <v>85</v>
      </c>
      <c r="J19" s="1" t="s">
        <v>88</v>
      </c>
      <c r="K19" s="1" t="s">
        <v>89</v>
      </c>
      <c r="L19" s="1" t="s">
        <v>1195</v>
      </c>
      <c r="M19" s="1" t="s">
        <v>90</v>
      </c>
      <c r="N19" s="1" t="s">
        <v>91</v>
      </c>
      <c r="O19" s="1">
        <f>MONTH(orders[[#This Row],[OrderDate]])</f>
        <v>8</v>
      </c>
    </row>
    <row r="20" spans="1:15" x14ac:dyDescent="0.35">
      <c r="A20">
        <v>10266</v>
      </c>
      <c r="B20" s="1" t="s">
        <v>710</v>
      </c>
      <c r="C20">
        <v>3</v>
      </c>
      <c r="D20" s="2">
        <v>34572</v>
      </c>
      <c r="E20" s="2">
        <v>34614</v>
      </c>
      <c r="F20" s="2">
        <v>34577</v>
      </c>
      <c r="G20">
        <v>3</v>
      </c>
      <c r="H20">
        <v>25.73</v>
      </c>
      <c r="I20" s="1" t="s">
        <v>711</v>
      </c>
      <c r="J20" s="1" t="s">
        <v>713</v>
      </c>
      <c r="K20" s="1" t="s">
        <v>714</v>
      </c>
      <c r="L20" s="1" t="s">
        <v>1195</v>
      </c>
      <c r="M20" s="1" t="s">
        <v>715</v>
      </c>
      <c r="N20" s="1" t="s">
        <v>716</v>
      </c>
      <c r="O20" s="1">
        <f>MONTH(orders[[#This Row],[OrderDate]])</f>
        <v>8</v>
      </c>
    </row>
    <row r="21" spans="1:15" x14ac:dyDescent="0.35">
      <c r="A21">
        <v>10267</v>
      </c>
      <c r="B21" s="1" t="s">
        <v>232</v>
      </c>
      <c r="C21">
        <v>4</v>
      </c>
      <c r="D21" s="2">
        <v>34575</v>
      </c>
      <c r="E21" s="2">
        <v>34603</v>
      </c>
      <c r="F21" s="2">
        <v>34583</v>
      </c>
      <c r="G21">
        <v>1</v>
      </c>
      <c r="H21">
        <v>208.58</v>
      </c>
      <c r="I21" s="1" t="s">
        <v>233</v>
      </c>
      <c r="J21" s="1" t="s">
        <v>235</v>
      </c>
      <c r="K21" s="1" t="s">
        <v>236</v>
      </c>
      <c r="L21" s="1" t="s">
        <v>1195</v>
      </c>
      <c r="M21" s="1" t="s">
        <v>237</v>
      </c>
      <c r="N21" s="1" t="s">
        <v>38</v>
      </c>
      <c r="O21" s="1">
        <f>MONTH(orders[[#This Row],[OrderDate]])</f>
        <v>8</v>
      </c>
    </row>
    <row r="22" spans="1:15" x14ac:dyDescent="0.35">
      <c r="A22">
        <v>10268</v>
      </c>
      <c r="B22" s="1" t="s">
        <v>294</v>
      </c>
      <c r="C22">
        <v>8</v>
      </c>
      <c r="D22" s="2">
        <v>34576</v>
      </c>
      <c r="E22" s="2">
        <v>34604</v>
      </c>
      <c r="F22" s="2">
        <v>34579</v>
      </c>
      <c r="G22">
        <v>3</v>
      </c>
      <c r="H22">
        <v>66.290000000000006</v>
      </c>
      <c r="I22" s="1" t="s">
        <v>295</v>
      </c>
      <c r="J22" s="1" t="s">
        <v>297</v>
      </c>
      <c r="K22" s="1" t="s">
        <v>298</v>
      </c>
      <c r="L22" s="1" t="s">
        <v>299</v>
      </c>
      <c r="M22" s="1" t="s">
        <v>300</v>
      </c>
      <c r="N22" s="1" t="s">
        <v>301</v>
      </c>
      <c r="O22" s="1">
        <f>MONTH(orders[[#This Row],[OrderDate]])</f>
        <v>8</v>
      </c>
    </row>
    <row r="23" spans="1:15" x14ac:dyDescent="0.35">
      <c r="A23">
        <v>10269</v>
      </c>
      <c r="B23" s="1" t="s">
        <v>725</v>
      </c>
      <c r="C23">
        <v>5</v>
      </c>
      <c r="D23" s="2">
        <v>34577</v>
      </c>
      <c r="E23" s="2">
        <v>34591</v>
      </c>
      <c r="F23" s="2">
        <v>34586</v>
      </c>
      <c r="G23">
        <v>1</v>
      </c>
      <c r="H23">
        <v>4.5599999999999996</v>
      </c>
      <c r="I23" s="1" t="s">
        <v>726</v>
      </c>
      <c r="J23" s="1" t="s">
        <v>837</v>
      </c>
      <c r="K23" s="1" t="s">
        <v>728</v>
      </c>
      <c r="L23" s="1" t="s">
        <v>381</v>
      </c>
      <c r="M23" s="1" t="s">
        <v>838</v>
      </c>
      <c r="N23" s="1" t="s">
        <v>292</v>
      </c>
      <c r="O23" s="1">
        <f>MONTH(orders[[#This Row],[OrderDate]])</f>
        <v>8</v>
      </c>
    </row>
    <row r="24" spans="1:15" x14ac:dyDescent="0.35">
      <c r="A24">
        <v>10270</v>
      </c>
      <c r="B24" s="1" t="s">
        <v>710</v>
      </c>
      <c r="C24">
        <v>1</v>
      </c>
      <c r="D24" s="2">
        <v>34578</v>
      </c>
      <c r="E24" s="2">
        <v>34606</v>
      </c>
      <c r="F24" s="2">
        <v>34579</v>
      </c>
      <c r="G24">
        <v>1</v>
      </c>
      <c r="H24">
        <v>136.54</v>
      </c>
      <c r="I24" s="1" t="s">
        <v>711</v>
      </c>
      <c r="J24" s="1" t="s">
        <v>713</v>
      </c>
      <c r="K24" s="1" t="s">
        <v>714</v>
      </c>
      <c r="L24" s="1" t="s">
        <v>1195</v>
      </c>
      <c r="M24" s="1" t="s">
        <v>715</v>
      </c>
      <c r="N24" s="1" t="s">
        <v>716</v>
      </c>
      <c r="O24" s="1">
        <f>MONTH(orders[[#This Row],[OrderDate]])</f>
        <v>9</v>
      </c>
    </row>
    <row r="25" spans="1:15" x14ac:dyDescent="0.35">
      <c r="A25">
        <v>10271</v>
      </c>
      <c r="B25" s="1" t="s">
        <v>619</v>
      </c>
      <c r="C25">
        <v>6</v>
      </c>
      <c r="D25" s="2">
        <v>34578</v>
      </c>
      <c r="E25" s="2">
        <v>34606</v>
      </c>
      <c r="F25" s="2">
        <v>34607</v>
      </c>
      <c r="G25">
        <v>2</v>
      </c>
      <c r="H25">
        <v>4.54</v>
      </c>
      <c r="I25" s="1" t="s">
        <v>620</v>
      </c>
      <c r="J25" s="1" t="s">
        <v>622</v>
      </c>
      <c r="K25" s="1" t="s">
        <v>623</v>
      </c>
      <c r="L25" s="1" t="s">
        <v>624</v>
      </c>
      <c r="M25" s="1" t="s">
        <v>625</v>
      </c>
      <c r="N25" s="1" t="s">
        <v>292</v>
      </c>
      <c r="O25" s="1">
        <f>MONTH(orders[[#This Row],[OrderDate]])</f>
        <v>9</v>
      </c>
    </row>
    <row r="26" spans="1:15" x14ac:dyDescent="0.35">
      <c r="A26">
        <v>10272</v>
      </c>
      <c r="B26" s="1" t="s">
        <v>541</v>
      </c>
      <c r="C26">
        <v>6</v>
      </c>
      <c r="D26" s="2">
        <v>34579</v>
      </c>
      <c r="E26" s="2">
        <v>34607</v>
      </c>
      <c r="F26" s="2">
        <v>34583</v>
      </c>
      <c r="G26">
        <v>2</v>
      </c>
      <c r="H26">
        <v>98.03</v>
      </c>
      <c r="I26" s="1" t="s">
        <v>542</v>
      </c>
      <c r="J26" s="1" t="s">
        <v>545</v>
      </c>
      <c r="K26" s="1" t="s">
        <v>546</v>
      </c>
      <c r="L26" s="1" t="s">
        <v>547</v>
      </c>
      <c r="M26" s="1" t="s">
        <v>548</v>
      </c>
      <c r="N26" s="1" t="s">
        <v>292</v>
      </c>
      <c r="O26" s="1">
        <f>MONTH(orders[[#This Row],[OrderDate]])</f>
        <v>9</v>
      </c>
    </row>
    <row r="27" spans="1:15" x14ac:dyDescent="0.35">
      <c r="A27">
        <v>10273</v>
      </c>
      <c r="B27" s="1" t="s">
        <v>528</v>
      </c>
      <c r="C27">
        <v>3</v>
      </c>
      <c r="D27" s="2">
        <v>34582</v>
      </c>
      <c r="E27" s="2">
        <v>34610</v>
      </c>
      <c r="F27" s="2">
        <v>34589</v>
      </c>
      <c r="G27">
        <v>3</v>
      </c>
      <c r="H27">
        <v>76.069999999999993</v>
      </c>
      <c r="I27" s="1" t="s">
        <v>529</v>
      </c>
      <c r="J27" s="1" t="s">
        <v>531</v>
      </c>
      <c r="K27" s="1" t="s">
        <v>532</v>
      </c>
      <c r="L27" s="1" t="s">
        <v>1195</v>
      </c>
      <c r="M27" s="1" t="s">
        <v>533</v>
      </c>
      <c r="N27" s="1" t="s">
        <v>38</v>
      </c>
      <c r="O27" s="1">
        <f>MONTH(orders[[#This Row],[OrderDate]])</f>
        <v>9</v>
      </c>
    </row>
    <row r="28" spans="1:15" x14ac:dyDescent="0.35">
      <c r="A28">
        <v>10274</v>
      </c>
      <c r="B28" s="1" t="s">
        <v>694</v>
      </c>
      <c r="C28">
        <v>6</v>
      </c>
      <c r="D28" s="2">
        <v>34583</v>
      </c>
      <c r="E28" s="2">
        <v>34611</v>
      </c>
      <c r="F28" s="2">
        <v>34593</v>
      </c>
      <c r="G28">
        <v>1</v>
      </c>
      <c r="H28">
        <v>6.01</v>
      </c>
      <c r="I28" s="1" t="s">
        <v>695</v>
      </c>
      <c r="J28" s="1" t="s">
        <v>697</v>
      </c>
      <c r="K28" s="1" t="s">
        <v>698</v>
      </c>
      <c r="L28" s="1" t="s">
        <v>1195</v>
      </c>
      <c r="M28" s="1" t="s">
        <v>699</v>
      </c>
      <c r="N28" s="1" t="s">
        <v>91</v>
      </c>
      <c r="O28" s="1">
        <f>MONTH(orders[[#This Row],[OrderDate]])</f>
        <v>9</v>
      </c>
    </row>
    <row r="29" spans="1:15" x14ac:dyDescent="0.35">
      <c r="A29">
        <v>10275</v>
      </c>
      <c r="B29" s="1" t="s">
        <v>425</v>
      </c>
      <c r="C29">
        <v>1</v>
      </c>
      <c r="D29" s="2">
        <v>34584</v>
      </c>
      <c r="E29" s="2">
        <v>34612</v>
      </c>
      <c r="F29" s="2">
        <v>34586</v>
      </c>
      <c r="G29">
        <v>1</v>
      </c>
      <c r="H29">
        <v>26.93</v>
      </c>
      <c r="I29" s="1" t="s">
        <v>426</v>
      </c>
      <c r="J29" s="1" t="s">
        <v>428</v>
      </c>
      <c r="K29" s="1" t="s">
        <v>429</v>
      </c>
      <c r="L29" s="1" t="s">
        <v>1195</v>
      </c>
      <c r="M29" s="1" t="s">
        <v>430</v>
      </c>
      <c r="N29" s="1" t="s">
        <v>252</v>
      </c>
      <c r="O29" s="1">
        <f>MONTH(orders[[#This Row],[OrderDate]])</f>
        <v>9</v>
      </c>
    </row>
    <row r="30" spans="1:15" x14ac:dyDescent="0.35">
      <c r="A30">
        <v>10276</v>
      </c>
      <c r="B30" s="1" t="s">
        <v>658</v>
      </c>
      <c r="C30">
        <v>8</v>
      </c>
      <c r="D30" s="2">
        <v>34585</v>
      </c>
      <c r="E30" s="2">
        <v>34599</v>
      </c>
      <c r="F30" s="2">
        <v>34591</v>
      </c>
      <c r="G30">
        <v>3</v>
      </c>
      <c r="H30">
        <v>13.84</v>
      </c>
      <c r="I30" s="1" t="s">
        <v>659</v>
      </c>
      <c r="J30" s="1" t="s">
        <v>661</v>
      </c>
      <c r="K30" s="1" t="s">
        <v>46</v>
      </c>
      <c r="L30" s="1" t="s">
        <v>1195</v>
      </c>
      <c r="M30" s="1" t="s">
        <v>498</v>
      </c>
      <c r="N30" s="1" t="s">
        <v>48</v>
      </c>
      <c r="O30" s="1">
        <f>MONTH(orders[[#This Row],[OrderDate]])</f>
        <v>9</v>
      </c>
    </row>
    <row r="31" spans="1:15" x14ac:dyDescent="0.35">
      <c r="A31">
        <v>10277</v>
      </c>
      <c r="B31" s="1" t="s">
        <v>451</v>
      </c>
      <c r="C31">
        <v>2</v>
      </c>
      <c r="D31" s="2">
        <v>34586</v>
      </c>
      <c r="E31" s="2">
        <v>34614</v>
      </c>
      <c r="F31" s="2">
        <v>34590</v>
      </c>
      <c r="G31">
        <v>3</v>
      </c>
      <c r="H31">
        <v>125.77</v>
      </c>
      <c r="I31" s="1" t="s">
        <v>452</v>
      </c>
      <c r="J31" s="1" t="s">
        <v>454</v>
      </c>
      <c r="K31" s="1" t="s">
        <v>455</v>
      </c>
      <c r="L31" s="1" t="s">
        <v>1195</v>
      </c>
      <c r="M31" s="1" t="s">
        <v>456</v>
      </c>
      <c r="N31" s="1" t="s">
        <v>38</v>
      </c>
      <c r="O31" s="1">
        <f>MONTH(orders[[#This Row],[OrderDate]])</f>
        <v>9</v>
      </c>
    </row>
    <row r="32" spans="1:15" x14ac:dyDescent="0.35">
      <c r="A32">
        <v>10278</v>
      </c>
      <c r="B32" s="1" t="s">
        <v>66</v>
      </c>
      <c r="C32">
        <v>8</v>
      </c>
      <c r="D32" s="2">
        <v>34589</v>
      </c>
      <c r="E32" s="2">
        <v>34617</v>
      </c>
      <c r="F32" s="2">
        <v>34593</v>
      </c>
      <c r="G32">
        <v>2</v>
      </c>
      <c r="H32">
        <v>92.69</v>
      </c>
      <c r="I32" s="1" t="s">
        <v>67</v>
      </c>
      <c r="J32" s="1" t="s">
        <v>70</v>
      </c>
      <c r="K32" s="1" t="s">
        <v>71</v>
      </c>
      <c r="L32" s="1" t="s">
        <v>1195</v>
      </c>
      <c r="M32" s="1" t="s">
        <v>72</v>
      </c>
      <c r="N32" s="1" t="s">
        <v>73</v>
      </c>
      <c r="O32" s="1">
        <f>MONTH(orders[[#This Row],[OrderDate]])</f>
        <v>9</v>
      </c>
    </row>
    <row r="33" spans="1:15" x14ac:dyDescent="0.35">
      <c r="A33">
        <v>10279</v>
      </c>
      <c r="B33" s="1" t="s">
        <v>385</v>
      </c>
      <c r="C33">
        <v>8</v>
      </c>
      <c r="D33" s="2">
        <v>34590</v>
      </c>
      <c r="E33" s="2">
        <v>34618</v>
      </c>
      <c r="F33" s="2">
        <v>34593</v>
      </c>
      <c r="G33">
        <v>2</v>
      </c>
      <c r="H33">
        <v>25.83</v>
      </c>
      <c r="I33" s="1" t="s">
        <v>386</v>
      </c>
      <c r="J33" s="1" t="s">
        <v>388</v>
      </c>
      <c r="K33" s="1" t="s">
        <v>1201</v>
      </c>
      <c r="L33" s="1" t="s">
        <v>1195</v>
      </c>
      <c r="M33" s="1" t="s">
        <v>389</v>
      </c>
      <c r="N33" s="1" t="s">
        <v>38</v>
      </c>
      <c r="O33" s="1">
        <f>MONTH(orders[[#This Row],[OrderDate]])</f>
        <v>9</v>
      </c>
    </row>
    <row r="34" spans="1:15" x14ac:dyDescent="0.35">
      <c r="A34">
        <v>10280</v>
      </c>
      <c r="B34" s="1" t="s">
        <v>66</v>
      </c>
      <c r="C34">
        <v>2</v>
      </c>
      <c r="D34" s="2">
        <v>34591</v>
      </c>
      <c r="E34" s="2">
        <v>34619</v>
      </c>
      <c r="F34" s="2">
        <v>34620</v>
      </c>
      <c r="G34">
        <v>1</v>
      </c>
      <c r="H34">
        <v>8.98</v>
      </c>
      <c r="I34" s="1" t="s">
        <v>67</v>
      </c>
      <c r="J34" s="1" t="s">
        <v>70</v>
      </c>
      <c r="K34" s="1" t="s">
        <v>71</v>
      </c>
      <c r="L34" s="1" t="s">
        <v>1195</v>
      </c>
      <c r="M34" s="1" t="s">
        <v>72</v>
      </c>
      <c r="N34" s="1" t="s">
        <v>73</v>
      </c>
      <c r="O34" s="1">
        <f>MONTH(orders[[#This Row],[OrderDate]])</f>
        <v>9</v>
      </c>
    </row>
    <row r="35" spans="1:15" x14ac:dyDescent="0.35">
      <c r="A35">
        <v>10281</v>
      </c>
      <c r="B35" s="1" t="s">
        <v>572</v>
      </c>
      <c r="C35">
        <v>4</v>
      </c>
      <c r="D35" s="2">
        <v>34591</v>
      </c>
      <c r="E35" s="2">
        <v>34605</v>
      </c>
      <c r="F35" s="2">
        <v>34598</v>
      </c>
      <c r="G35">
        <v>1</v>
      </c>
      <c r="H35">
        <v>2.94</v>
      </c>
      <c r="I35" s="1" t="s">
        <v>573</v>
      </c>
      <c r="J35" s="1" t="s">
        <v>575</v>
      </c>
      <c r="K35" s="1" t="s">
        <v>98</v>
      </c>
      <c r="L35" s="1" t="s">
        <v>1195</v>
      </c>
      <c r="M35" s="1" t="s">
        <v>576</v>
      </c>
      <c r="N35" s="1" t="s">
        <v>100</v>
      </c>
      <c r="O35" s="1">
        <f>MONTH(orders[[#This Row],[OrderDate]])</f>
        <v>9</v>
      </c>
    </row>
    <row r="36" spans="1:15" x14ac:dyDescent="0.35">
      <c r="A36">
        <v>10282</v>
      </c>
      <c r="B36" s="1" t="s">
        <v>572</v>
      </c>
      <c r="C36">
        <v>4</v>
      </c>
      <c r="D36" s="2">
        <v>34592</v>
      </c>
      <c r="E36" s="2">
        <v>34620</v>
      </c>
      <c r="F36" s="2">
        <v>34598</v>
      </c>
      <c r="G36">
        <v>1</v>
      </c>
      <c r="H36">
        <v>12.69</v>
      </c>
      <c r="I36" s="1" t="s">
        <v>573</v>
      </c>
      <c r="J36" s="1" t="s">
        <v>575</v>
      </c>
      <c r="K36" s="1" t="s">
        <v>98</v>
      </c>
      <c r="L36" s="1" t="s">
        <v>1195</v>
      </c>
      <c r="M36" s="1" t="s">
        <v>576</v>
      </c>
      <c r="N36" s="1" t="s">
        <v>100</v>
      </c>
      <c r="O36" s="1">
        <f>MONTH(orders[[#This Row],[OrderDate]])</f>
        <v>9</v>
      </c>
    </row>
    <row r="37" spans="1:15" x14ac:dyDescent="0.35">
      <c r="A37">
        <v>10283</v>
      </c>
      <c r="B37" s="1" t="s">
        <v>399</v>
      </c>
      <c r="C37">
        <v>3</v>
      </c>
      <c r="D37" s="2">
        <v>34593</v>
      </c>
      <c r="E37" s="2">
        <v>34621</v>
      </c>
      <c r="F37" s="2">
        <v>34600</v>
      </c>
      <c r="G37">
        <v>3</v>
      </c>
      <c r="H37">
        <v>84.81</v>
      </c>
      <c r="I37" s="1" t="s">
        <v>400</v>
      </c>
      <c r="J37" s="1" t="s">
        <v>402</v>
      </c>
      <c r="K37" s="1" t="s">
        <v>403</v>
      </c>
      <c r="L37" s="1" t="s">
        <v>404</v>
      </c>
      <c r="M37" s="1" t="s">
        <v>405</v>
      </c>
      <c r="N37" s="1" t="s">
        <v>301</v>
      </c>
      <c r="O37" s="1">
        <f>MONTH(orders[[#This Row],[OrderDate]])</f>
        <v>9</v>
      </c>
    </row>
    <row r="38" spans="1:15" x14ac:dyDescent="0.35">
      <c r="A38">
        <v>10284</v>
      </c>
      <c r="B38" s="1" t="s">
        <v>385</v>
      </c>
      <c r="C38">
        <v>4</v>
      </c>
      <c r="D38" s="2">
        <v>34596</v>
      </c>
      <c r="E38" s="2">
        <v>34624</v>
      </c>
      <c r="F38" s="2">
        <v>34604</v>
      </c>
      <c r="G38">
        <v>1</v>
      </c>
      <c r="H38">
        <v>76.56</v>
      </c>
      <c r="I38" s="1" t="s">
        <v>386</v>
      </c>
      <c r="J38" s="1" t="s">
        <v>388</v>
      </c>
      <c r="K38" s="1" t="s">
        <v>1201</v>
      </c>
      <c r="L38" s="1" t="s">
        <v>1195</v>
      </c>
      <c r="M38" s="1" t="s">
        <v>389</v>
      </c>
      <c r="N38" s="1" t="s">
        <v>38</v>
      </c>
      <c r="O38" s="1">
        <f>MONTH(orders[[#This Row],[OrderDate]])</f>
        <v>9</v>
      </c>
    </row>
    <row r="39" spans="1:15" x14ac:dyDescent="0.35">
      <c r="A39">
        <v>10285</v>
      </c>
      <c r="B39" s="1" t="s">
        <v>528</v>
      </c>
      <c r="C39">
        <v>1</v>
      </c>
      <c r="D39" s="2">
        <v>34597</v>
      </c>
      <c r="E39" s="2">
        <v>34625</v>
      </c>
      <c r="F39" s="2">
        <v>34603</v>
      </c>
      <c r="G39">
        <v>2</v>
      </c>
      <c r="H39">
        <v>76.83</v>
      </c>
      <c r="I39" s="1" t="s">
        <v>529</v>
      </c>
      <c r="J39" s="1" t="s">
        <v>531</v>
      </c>
      <c r="K39" s="1" t="s">
        <v>532</v>
      </c>
      <c r="L39" s="1" t="s">
        <v>1195</v>
      </c>
      <c r="M39" s="1" t="s">
        <v>533</v>
      </c>
      <c r="N39" s="1" t="s">
        <v>38</v>
      </c>
      <c r="O39" s="1">
        <f>MONTH(orders[[#This Row],[OrderDate]])</f>
        <v>9</v>
      </c>
    </row>
    <row r="40" spans="1:15" x14ac:dyDescent="0.35">
      <c r="A40">
        <v>10286</v>
      </c>
      <c r="B40" s="1" t="s">
        <v>528</v>
      </c>
      <c r="C40">
        <v>8</v>
      </c>
      <c r="D40" s="2">
        <v>34598</v>
      </c>
      <c r="E40" s="2">
        <v>34626</v>
      </c>
      <c r="F40" s="2">
        <v>34607</v>
      </c>
      <c r="G40">
        <v>3</v>
      </c>
      <c r="H40">
        <v>229.24</v>
      </c>
      <c r="I40" s="1" t="s">
        <v>529</v>
      </c>
      <c r="J40" s="1" t="s">
        <v>531</v>
      </c>
      <c r="K40" s="1" t="s">
        <v>532</v>
      </c>
      <c r="L40" s="1" t="s">
        <v>1195</v>
      </c>
      <c r="M40" s="1" t="s">
        <v>533</v>
      </c>
      <c r="N40" s="1" t="s">
        <v>38</v>
      </c>
      <c r="O40" s="1">
        <f>MONTH(orders[[#This Row],[OrderDate]])</f>
        <v>9</v>
      </c>
    </row>
    <row r="41" spans="1:15" x14ac:dyDescent="0.35">
      <c r="A41">
        <v>10287</v>
      </c>
      <c r="B41" s="1" t="s">
        <v>559</v>
      </c>
      <c r="C41">
        <v>8</v>
      </c>
      <c r="D41" s="2">
        <v>34599</v>
      </c>
      <c r="E41" s="2">
        <v>34627</v>
      </c>
      <c r="F41" s="2">
        <v>34605</v>
      </c>
      <c r="G41">
        <v>3</v>
      </c>
      <c r="H41">
        <v>12.76</v>
      </c>
      <c r="I41" s="1" t="s">
        <v>560</v>
      </c>
      <c r="J41" s="1" t="s">
        <v>562</v>
      </c>
      <c r="K41" s="1" t="s">
        <v>308</v>
      </c>
      <c r="L41" s="1" t="s">
        <v>309</v>
      </c>
      <c r="M41" s="1" t="s">
        <v>563</v>
      </c>
      <c r="N41" s="1" t="s">
        <v>161</v>
      </c>
      <c r="O41" s="1">
        <f>MONTH(orders[[#This Row],[OrderDate]])</f>
        <v>9</v>
      </c>
    </row>
    <row r="42" spans="1:15" x14ac:dyDescent="0.35">
      <c r="A42">
        <v>10288</v>
      </c>
      <c r="B42" s="1" t="s">
        <v>551</v>
      </c>
      <c r="C42">
        <v>4</v>
      </c>
      <c r="D42" s="2">
        <v>34600</v>
      </c>
      <c r="E42" s="2">
        <v>34628</v>
      </c>
      <c r="F42" s="2">
        <v>34611</v>
      </c>
      <c r="G42">
        <v>1</v>
      </c>
      <c r="H42">
        <v>7.45</v>
      </c>
      <c r="I42" s="1" t="s">
        <v>552</v>
      </c>
      <c r="J42" s="1" t="s">
        <v>554</v>
      </c>
      <c r="K42" s="1" t="s">
        <v>555</v>
      </c>
      <c r="L42" s="1" t="s">
        <v>1195</v>
      </c>
      <c r="M42" s="1" t="s">
        <v>556</v>
      </c>
      <c r="N42" s="1" t="s">
        <v>252</v>
      </c>
      <c r="O42" s="1">
        <f>MONTH(orders[[#This Row],[OrderDate]])</f>
        <v>9</v>
      </c>
    </row>
    <row r="43" spans="1:15" x14ac:dyDescent="0.35">
      <c r="A43">
        <v>10289</v>
      </c>
      <c r="B43" s="1" t="s">
        <v>122</v>
      </c>
      <c r="C43">
        <v>7</v>
      </c>
      <c r="D43" s="2">
        <v>34603</v>
      </c>
      <c r="E43" s="2">
        <v>34631</v>
      </c>
      <c r="F43" s="2">
        <v>34605</v>
      </c>
      <c r="G43">
        <v>3</v>
      </c>
      <c r="H43">
        <v>22.77</v>
      </c>
      <c r="I43" s="1" t="s">
        <v>123</v>
      </c>
      <c r="J43" s="1" t="s">
        <v>125</v>
      </c>
      <c r="K43" s="1" t="s">
        <v>61</v>
      </c>
      <c r="L43" s="1" t="s">
        <v>1195</v>
      </c>
      <c r="M43" s="1" t="s">
        <v>126</v>
      </c>
      <c r="N43" s="1" t="s">
        <v>63</v>
      </c>
      <c r="O43" s="1">
        <f>MONTH(orders[[#This Row],[OrderDate]])</f>
        <v>9</v>
      </c>
    </row>
    <row r="44" spans="1:15" x14ac:dyDescent="0.35">
      <c r="A44">
        <v>10290</v>
      </c>
      <c r="B44" s="1" t="s">
        <v>153</v>
      </c>
      <c r="C44">
        <v>8</v>
      </c>
      <c r="D44" s="2">
        <v>34604</v>
      </c>
      <c r="E44" s="2">
        <v>34632</v>
      </c>
      <c r="F44" s="2">
        <v>34611</v>
      </c>
      <c r="G44">
        <v>1</v>
      </c>
      <c r="H44">
        <v>79.7</v>
      </c>
      <c r="I44" s="1" t="s">
        <v>154</v>
      </c>
      <c r="J44" s="1" t="s">
        <v>157</v>
      </c>
      <c r="K44" s="1" t="s">
        <v>158</v>
      </c>
      <c r="L44" s="1" t="s">
        <v>159</v>
      </c>
      <c r="M44" s="1" t="s">
        <v>160</v>
      </c>
      <c r="N44" s="1" t="s">
        <v>161</v>
      </c>
      <c r="O44" s="1">
        <f>MONTH(orders[[#This Row],[OrderDate]])</f>
        <v>9</v>
      </c>
    </row>
    <row r="45" spans="1:15" x14ac:dyDescent="0.35">
      <c r="A45">
        <v>10291</v>
      </c>
      <c r="B45" s="1" t="s">
        <v>515</v>
      </c>
      <c r="C45">
        <v>6</v>
      </c>
      <c r="D45" s="2">
        <v>34604</v>
      </c>
      <c r="E45" s="2">
        <v>34632</v>
      </c>
      <c r="F45" s="2">
        <v>34612</v>
      </c>
      <c r="G45">
        <v>2</v>
      </c>
      <c r="H45">
        <v>6.4</v>
      </c>
      <c r="I45" s="1" t="s">
        <v>516</v>
      </c>
      <c r="J45" s="1" t="s">
        <v>518</v>
      </c>
      <c r="K45" s="1" t="s">
        <v>308</v>
      </c>
      <c r="L45" s="1" t="s">
        <v>309</v>
      </c>
      <c r="M45" s="1" t="s">
        <v>519</v>
      </c>
      <c r="N45" s="1" t="s">
        <v>161</v>
      </c>
      <c r="O45" s="1">
        <f>MONTH(orders[[#This Row],[OrderDate]])</f>
        <v>9</v>
      </c>
    </row>
    <row r="46" spans="1:15" x14ac:dyDescent="0.35">
      <c r="A46">
        <v>10292</v>
      </c>
      <c r="B46" s="1" t="s">
        <v>663</v>
      </c>
      <c r="C46">
        <v>1</v>
      </c>
      <c r="D46" s="2">
        <v>34605</v>
      </c>
      <c r="E46" s="2">
        <v>34633</v>
      </c>
      <c r="F46" s="2">
        <v>34610</v>
      </c>
      <c r="G46">
        <v>2</v>
      </c>
      <c r="H46">
        <v>1.35</v>
      </c>
      <c r="I46" s="1" t="s">
        <v>664</v>
      </c>
      <c r="J46" s="1" t="s">
        <v>666</v>
      </c>
      <c r="K46" s="1" t="s">
        <v>158</v>
      </c>
      <c r="L46" s="1" t="s">
        <v>159</v>
      </c>
      <c r="M46" s="1" t="s">
        <v>667</v>
      </c>
      <c r="N46" s="1" t="s">
        <v>161</v>
      </c>
      <c r="O46" s="1">
        <f>MONTH(orders[[#This Row],[OrderDate]])</f>
        <v>9</v>
      </c>
    </row>
    <row r="47" spans="1:15" x14ac:dyDescent="0.35">
      <c r="A47">
        <v>10293</v>
      </c>
      <c r="B47" s="1" t="s">
        <v>658</v>
      </c>
      <c r="C47">
        <v>1</v>
      </c>
      <c r="D47" s="2">
        <v>34606</v>
      </c>
      <c r="E47" s="2">
        <v>34634</v>
      </c>
      <c r="F47" s="2">
        <v>34619</v>
      </c>
      <c r="G47">
        <v>3</v>
      </c>
      <c r="H47">
        <v>21.18</v>
      </c>
      <c r="I47" s="1" t="s">
        <v>659</v>
      </c>
      <c r="J47" s="1" t="s">
        <v>661</v>
      </c>
      <c r="K47" s="1" t="s">
        <v>46</v>
      </c>
      <c r="L47" s="1" t="s">
        <v>1195</v>
      </c>
      <c r="M47" s="1" t="s">
        <v>498</v>
      </c>
      <c r="N47" s="1" t="s">
        <v>48</v>
      </c>
      <c r="O47" s="1">
        <f>MONTH(orders[[#This Row],[OrderDate]])</f>
        <v>9</v>
      </c>
    </row>
    <row r="48" spans="1:15" x14ac:dyDescent="0.35">
      <c r="A48">
        <v>10294</v>
      </c>
      <c r="B48" s="1" t="s">
        <v>541</v>
      </c>
      <c r="C48">
        <v>4</v>
      </c>
      <c r="D48" s="2">
        <v>34607</v>
      </c>
      <c r="E48" s="2">
        <v>34635</v>
      </c>
      <c r="F48" s="2">
        <v>34613</v>
      </c>
      <c r="G48">
        <v>2</v>
      </c>
      <c r="H48">
        <v>147.26</v>
      </c>
      <c r="I48" s="1" t="s">
        <v>542</v>
      </c>
      <c r="J48" s="1" t="s">
        <v>545</v>
      </c>
      <c r="K48" s="1" t="s">
        <v>546</v>
      </c>
      <c r="L48" s="1" t="s">
        <v>547</v>
      </c>
      <c r="M48" s="1" t="s">
        <v>548</v>
      </c>
      <c r="N48" s="1" t="s">
        <v>292</v>
      </c>
      <c r="O48" s="1">
        <f>MONTH(orders[[#This Row],[OrderDate]])</f>
        <v>9</v>
      </c>
    </row>
    <row r="49" spans="1:15" x14ac:dyDescent="0.35">
      <c r="A49">
        <v>10295</v>
      </c>
      <c r="B49" s="1" t="s">
        <v>694</v>
      </c>
      <c r="C49">
        <v>2</v>
      </c>
      <c r="D49" s="2">
        <v>34610</v>
      </c>
      <c r="E49" s="2">
        <v>34638</v>
      </c>
      <c r="F49" s="2">
        <v>34618</v>
      </c>
      <c r="G49">
        <v>2</v>
      </c>
      <c r="H49">
        <v>1.1499999999999999</v>
      </c>
      <c r="I49" s="1" t="s">
        <v>695</v>
      </c>
      <c r="J49" s="1" t="s">
        <v>697</v>
      </c>
      <c r="K49" s="1" t="s">
        <v>698</v>
      </c>
      <c r="L49" s="1" t="s">
        <v>1195</v>
      </c>
      <c r="M49" s="1" t="s">
        <v>699</v>
      </c>
      <c r="N49" s="1" t="s">
        <v>91</v>
      </c>
      <c r="O49" s="1">
        <f>MONTH(orders[[#This Row],[OrderDate]])</f>
        <v>10</v>
      </c>
    </row>
    <row r="50" spans="1:15" x14ac:dyDescent="0.35">
      <c r="A50">
        <v>10296</v>
      </c>
      <c r="B50" s="1" t="s">
        <v>399</v>
      </c>
      <c r="C50">
        <v>6</v>
      </c>
      <c r="D50" s="2">
        <v>34611</v>
      </c>
      <c r="E50" s="2">
        <v>34639</v>
      </c>
      <c r="F50" s="2">
        <v>34619</v>
      </c>
      <c r="G50">
        <v>1</v>
      </c>
      <c r="H50">
        <v>0.12</v>
      </c>
      <c r="I50" s="1" t="s">
        <v>400</v>
      </c>
      <c r="J50" s="1" t="s">
        <v>402</v>
      </c>
      <c r="K50" s="1" t="s">
        <v>403</v>
      </c>
      <c r="L50" s="1" t="s">
        <v>404</v>
      </c>
      <c r="M50" s="1" t="s">
        <v>405</v>
      </c>
      <c r="N50" s="1" t="s">
        <v>301</v>
      </c>
      <c r="O50" s="1">
        <f>MONTH(orders[[#This Row],[OrderDate]])</f>
        <v>10</v>
      </c>
    </row>
    <row r="51" spans="1:15" x14ac:dyDescent="0.35">
      <c r="A51">
        <v>10297</v>
      </c>
      <c r="B51" s="1" t="s">
        <v>84</v>
      </c>
      <c r="C51">
        <v>5</v>
      </c>
      <c r="D51" s="2">
        <v>34612</v>
      </c>
      <c r="E51" s="2">
        <v>34654</v>
      </c>
      <c r="F51" s="2">
        <v>34618</v>
      </c>
      <c r="G51">
        <v>2</v>
      </c>
      <c r="H51">
        <v>5.74</v>
      </c>
      <c r="I51" s="1" t="s">
        <v>85</v>
      </c>
      <c r="J51" s="1" t="s">
        <v>88</v>
      </c>
      <c r="K51" s="1" t="s">
        <v>89</v>
      </c>
      <c r="L51" s="1" t="s">
        <v>1195</v>
      </c>
      <c r="M51" s="1" t="s">
        <v>90</v>
      </c>
      <c r="N51" s="1" t="s">
        <v>91</v>
      </c>
      <c r="O51" s="1">
        <f>MONTH(orders[[#This Row],[OrderDate]])</f>
        <v>10</v>
      </c>
    </row>
    <row r="52" spans="1:15" x14ac:dyDescent="0.35">
      <c r="A52">
        <v>10298</v>
      </c>
      <c r="B52" s="1" t="s">
        <v>329</v>
      </c>
      <c r="C52">
        <v>6</v>
      </c>
      <c r="D52" s="2">
        <v>34613</v>
      </c>
      <c r="E52" s="2">
        <v>34641</v>
      </c>
      <c r="F52" s="2">
        <v>34619</v>
      </c>
      <c r="G52">
        <v>2</v>
      </c>
      <c r="H52">
        <v>168.22</v>
      </c>
      <c r="I52" s="1" t="s">
        <v>330</v>
      </c>
      <c r="J52" s="1" t="s">
        <v>332</v>
      </c>
      <c r="K52" s="1" t="s">
        <v>333</v>
      </c>
      <c r="L52" s="1" t="s">
        <v>334</v>
      </c>
      <c r="M52" s="1" t="s">
        <v>1195</v>
      </c>
      <c r="N52" s="1" t="s">
        <v>335</v>
      </c>
      <c r="O52" s="1">
        <f>MONTH(orders[[#This Row],[OrderDate]])</f>
        <v>10</v>
      </c>
    </row>
    <row r="53" spans="1:15" x14ac:dyDescent="0.35">
      <c r="A53">
        <v>10299</v>
      </c>
      <c r="B53" s="1" t="s">
        <v>559</v>
      </c>
      <c r="C53">
        <v>4</v>
      </c>
      <c r="D53" s="2">
        <v>34614</v>
      </c>
      <c r="E53" s="2">
        <v>34642</v>
      </c>
      <c r="F53" s="2">
        <v>34621</v>
      </c>
      <c r="G53">
        <v>2</v>
      </c>
      <c r="H53">
        <v>29.76</v>
      </c>
      <c r="I53" s="1" t="s">
        <v>560</v>
      </c>
      <c r="J53" s="1" t="s">
        <v>562</v>
      </c>
      <c r="K53" s="1" t="s">
        <v>308</v>
      </c>
      <c r="L53" s="1" t="s">
        <v>309</v>
      </c>
      <c r="M53" s="1" t="s">
        <v>563</v>
      </c>
      <c r="N53" s="1" t="s">
        <v>161</v>
      </c>
      <c r="O53" s="1">
        <f>MONTH(orders[[#This Row],[OrderDate]])</f>
        <v>10</v>
      </c>
    </row>
    <row r="54" spans="1:15" x14ac:dyDescent="0.35">
      <c r="A54">
        <v>10300</v>
      </c>
      <c r="B54" s="1" t="s">
        <v>425</v>
      </c>
      <c r="C54">
        <v>2</v>
      </c>
      <c r="D54" s="2">
        <v>34617</v>
      </c>
      <c r="E54" s="2">
        <v>34645</v>
      </c>
      <c r="F54" s="2">
        <v>34626</v>
      </c>
      <c r="G54">
        <v>2</v>
      </c>
      <c r="H54">
        <v>17.68</v>
      </c>
      <c r="I54" s="1" t="s">
        <v>426</v>
      </c>
      <c r="J54" s="1" t="s">
        <v>428</v>
      </c>
      <c r="K54" s="1" t="s">
        <v>429</v>
      </c>
      <c r="L54" s="1" t="s">
        <v>1195</v>
      </c>
      <c r="M54" s="1" t="s">
        <v>430</v>
      </c>
      <c r="N54" s="1" t="s">
        <v>252</v>
      </c>
      <c r="O54" s="1">
        <f>MONTH(orders[[#This Row],[OrderDate]])</f>
        <v>10</v>
      </c>
    </row>
    <row r="55" spans="1:15" x14ac:dyDescent="0.35">
      <c r="A55">
        <v>10301</v>
      </c>
      <c r="B55" s="1" t="s">
        <v>702</v>
      </c>
      <c r="C55">
        <v>8</v>
      </c>
      <c r="D55" s="2">
        <v>34617</v>
      </c>
      <c r="E55" s="2">
        <v>34645</v>
      </c>
      <c r="F55" s="2">
        <v>34625</v>
      </c>
      <c r="G55">
        <v>2</v>
      </c>
      <c r="H55">
        <v>45.08</v>
      </c>
      <c r="I55" s="1" t="s">
        <v>703</v>
      </c>
      <c r="J55" s="1" t="s">
        <v>705</v>
      </c>
      <c r="K55" s="1" t="s">
        <v>706</v>
      </c>
      <c r="L55" s="1" t="s">
        <v>1195</v>
      </c>
      <c r="M55" s="1" t="s">
        <v>707</v>
      </c>
      <c r="N55" s="1" t="s">
        <v>38</v>
      </c>
      <c r="O55" s="1">
        <f>MONTH(orders[[#This Row],[OrderDate]])</f>
        <v>10</v>
      </c>
    </row>
    <row r="56" spans="1:15" x14ac:dyDescent="0.35">
      <c r="A56">
        <v>10302</v>
      </c>
      <c r="B56" s="1" t="s">
        <v>628</v>
      </c>
      <c r="C56">
        <v>4</v>
      </c>
      <c r="D56" s="2">
        <v>34618</v>
      </c>
      <c r="E56" s="2">
        <v>34646</v>
      </c>
      <c r="F56" s="2">
        <v>34647</v>
      </c>
      <c r="G56">
        <v>2</v>
      </c>
      <c r="H56">
        <v>6.27</v>
      </c>
      <c r="I56" s="1" t="s">
        <v>629</v>
      </c>
      <c r="J56" s="1" t="s">
        <v>631</v>
      </c>
      <c r="K56" s="1" t="s">
        <v>632</v>
      </c>
      <c r="L56" s="1" t="s">
        <v>1195</v>
      </c>
      <c r="M56" s="1" t="s">
        <v>633</v>
      </c>
      <c r="N56" s="1" t="s">
        <v>439</v>
      </c>
      <c r="O56" s="1">
        <f>MONTH(orders[[#This Row],[OrderDate]])</f>
        <v>10</v>
      </c>
    </row>
    <row r="57" spans="1:15" x14ac:dyDescent="0.35">
      <c r="A57">
        <v>10303</v>
      </c>
      <c r="B57" s="1" t="s">
        <v>271</v>
      </c>
      <c r="C57">
        <v>7</v>
      </c>
      <c r="D57" s="2">
        <v>34619</v>
      </c>
      <c r="E57" s="2">
        <v>34647</v>
      </c>
      <c r="F57" s="2">
        <v>34626</v>
      </c>
      <c r="G57">
        <v>2</v>
      </c>
      <c r="H57">
        <v>107.83</v>
      </c>
      <c r="I57" s="1" t="s">
        <v>272</v>
      </c>
      <c r="J57" s="1" t="s">
        <v>274</v>
      </c>
      <c r="K57" s="1" t="s">
        <v>275</v>
      </c>
      <c r="L57" s="1" t="s">
        <v>1195</v>
      </c>
      <c r="M57" s="1" t="s">
        <v>276</v>
      </c>
      <c r="N57" s="1" t="s">
        <v>100</v>
      </c>
      <c r="O57" s="1">
        <f>MONTH(orders[[#This Row],[OrderDate]])</f>
        <v>10</v>
      </c>
    </row>
    <row r="58" spans="1:15" x14ac:dyDescent="0.35">
      <c r="A58">
        <v>10304</v>
      </c>
      <c r="B58" s="1" t="s">
        <v>658</v>
      </c>
      <c r="C58">
        <v>1</v>
      </c>
      <c r="D58" s="2">
        <v>34620</v>
      </c>
      <c r="E58" s="2">
        <v>34648</v>
      </c>
      <c r="F58" s="2">
        <v>34625</v>
      </c>
      <c r="G58">
        <v>2</v>
      </c>
      <c r="H58">
        <v>63.79</v>
      </c>
      <c r="I58" s="1" t="s">
        <v>659</v>
      </c>
      <c r="J58" s="1" t="s">
        <v>661</v>
      </c>
      <c r="K58" s="1" t="s">
        <v>46</v>
      </c>
      <c r="L58" s="1" t="s">
        <v>1195</v>
      </c>
      <c r="M58" s="1" t="s">
        <v>498</v>
      </c>
      <c r="N58" s="1" t="s">
        <v>48</v>
      </c>
      <c r="O58" s="1">
        <f>MONTH(orders[[#This Row],[OrderDate]])</f>
        <v>10</v>
      </c>
    </row>
    <row r="59" spans="1:15" x14ac:dyDescent="0.35">
      <c r="A59">
        <v>10305</v>
      </c>
      <c r="B59" s="1" t="s">
        <v>469</v>
      </c>
      <c r="C59">
        <v>8</v>
      </c>
      <c r="D59" s="2">
        <v>34621</v>
      </c>
      <c r="E59" s="2">
        <v>34649</v>
      </c>
      <c r="F59" s="2">
        <v>34647</v>
      </c>
      <c r="G59">
        <v>3</v>
      </c>
      <c r="H59">
        <v>257.62</v>
      </c>
      <c r="I59" s="1" t="s">
        <v>470</v>
      </c>
      <c r="J59" s="1" t="s">
        <v>472</v>
      </c>
      <c r="K59" s="1" t="s">
        <v>473</v>
      </c>
      <c r="L59" s="1" t="s">
        <v>474</v>
      </c>
      <c r="M59" s="1" t="s">
        <v>475</v>
      </c>
      <c r="N59" s="1" t="s">
        <v>292</v>
      </c>
      <c r="O59" s="1">
        <f>MONTH(orders[[#This Row],[OrderDate]])</f>
        <v>10</v>
      </c>
    </row>
    <row r="60" spans="1:15" x14ac:dyDescent="0.35">
      <c r="A60">
        <v>10306</v>
      </c>
      <c r="B60" s="1" t="s">
        <v>572</v>
      </c>
      <c r="C60">
        <v>1</v>
      </c>
      <c r="D60" s="2">
        <v>34624</v>
      </c>
      <c r="E60" s="2">
        <v>34652</v>
      </c>
      <c r="F60" s="2">
        <v>34631</v>
      </c>
      <c r="G60">
        <v>3</v>
      </c>
      <c r="H60">
        <v>7.56</v>
      </c>
      <c r="I60" s="1" t="s">
        <v>573</v>
      </c>
      <c r="J60" s="1" t="s">
        <v>575</v>
      </c>
      <c r="K60" s="1" t="s">
        <v>98</v>
      </c>
      <c r="L60" s="1" t="s">
        <v>1195</v>
      </c>
      <c r="M60" s="1" t="s">
        <v>576</v>
      </c>
      <c r="N60" s="1" t="s">
        <v>100</v>
      </c>
      <c r="O60" s="1">
        <f>MONTH(orders[[#This Row],[OrderDate]])</f>
        <v>10</v>
      </c>
    </row>
    <row r="61" spans="1:15" x14ac:dyDescent="0.35">
      <c r="A61">
        <v>10307</v>
      </c>
      <c r="B61" s="1" t="s">
        <v>417</v>
      </c>
      <c r="C61">
        <v>2</v>
      </c>
      <c r="D61" s="2">
        <v>34625</v>
      </c>
      <c r="E61" s="2">
        <v>34653</v>
      </c>
      <c r="F61" s="2">
        <v>34633</v>
      </c>
      <c r="G61">
        <v>2</v>
      </c>
      <c r="H61">
        <v>0.56000000000000005</v>
      </c>
      <c r="I61" s="1" t="s">
        <v>418</v>
      </c>
      <c r="J61" s="1" t="s">
        <v>420</v>
      </c>
      <c r="K61" s="1" t="s">
        <v>421</v>
      </c>
      <c r="L61" s="1" t="s">
        <v>290</v>
      </c>
      <c r="M61" s="1" t="s">
        <v>422</v>
      </c>
      <c r="N61" s="1" t="s">
        <v>292</v>
      </c>
      <c r="O61" s="1">
        <f>MONTH(orders[[#This Row],[OrderDate]])</f>
        <v>10</v>
      </c>
    </row>
    <row r="62" spans="1:15" x14ac:dyDescent="0.35">
      <c r="A62">
        <v>10308</v>
      </c>
      <c r="B62" s="1" t="s">
        <v>41</v>
      </c>
      <c r="C62">
        <v>7</v>
      </c>
      <c r="D62" s="2">
        <v>34626</v>
      </c>
      <c r="E62" s="2">
        <v>34654</v>
      </c>
      <c r="F62" s="2">
        <v>34632</v>
      </c>
      <c r="G62">
        <v>3</v>
      </c>
      <c r="H62">
        <v>1.61</v>
      </c>
      <c r="I62" s="1" t="s">
        <v>42</v>
      </c>
      <c r="J62" s="1" t="s">
        <v>45</v>
      </c>
      <c r="K62" s="1" t="s">
        <v>46</v>
      </c>
      <c r="L62" s="1" t="s">
        <v>1195</v>
      </c>
      <c r="M62" s="1" t="s">
        <v>47</v>
      </c>
      <c r="N62" s="1" t="s">
        <v>48</v>
      </c>
      <c r="O62" s="1">
        <f>MONTH(orders[[#This Row],[OrderDate]])</f>
        <v>10</v>
      </c>
    </row>
    <row r="63" spans="1:15" x14ac:dyDescent="0.35">
      <c r="A63">
        <v>10309</v>
      </c>
      <c r="B63" s="1" t="s">
        <v>329</v>
      </c>
      <c r="C63">
        <v>3</v>
      </c>
      <c r="D63" s="2">
        <v>34627</v>
      </c>
      <c r="E63" s="2">
        <v>34655</v>
      </c>
      <c r="F63" s="2">
        <v>34661</v>
      </c>
      <c r="G63">
        <v>1</v>
      </c>
      <c r="H63">
        <v>47.3</v>
      </c>
      <c r="I63" s="1" t="s">
        <v>330</v>
      </c>
      <c r="J63" s="1" t="s">
        <v>332</v>
      </c>
      <c r="K63" s="1" t="s">
        <v>333</v>
      </c>
      <c r="L63" s="1" t="s">
        <v>334</v>
      </c>
      <c r="M63" s="1" t="s">
        <v>1195</v>
      </c>
      <c r="N63" s="1" t="s">
        <v>335</v>
      </c>
      <c r="O63" s="1">
        <f>MONTH(orders[[#This Row],[OrderDate]])</f>
        <v>10</v>
      </c>
    </row>
    <row r="64" spans="1:15" x14ac:dyDescent="0.35">
      <c r="A64">
        <v>10310</v>
      </c>
      <c r="B64" s="1" t="s">
        <v>636</v>
      </c>
      <c r="C64">
        <v>8</v>
      </c>
      <c r="D64" s="2">
        <v>34628</v>
      </c>
      <c r="E64" s="2">
        <v>34656</v>
      </c>
      <c r="F64" s="2">
        <v>34635</v>
      </c>
      <c r="G64">
        <v>2</v>
      </c>
      <c r="H64">
        <v>17.52</v>
      </c>
      <c r="I64" s="1" t="s">
        <v>637</v>
      </c>
      <c r="J64" s="1" t="s">
        <v>1205</v>
      </c>
      <c r="K64" s="1" t="s">
        <v>421</v>
      </c>
      <c r="L64" s="1" t="s">
        <v>290</v>
      </c>
      <c r="M64" s="1" t="s">
        <v>639</v>
      </c>
      <c r="N64" s="1" t="s">
        <v>292</v>
      </c>
      <c r="O64" s="1">
        <f>MONTH(orders[[#This Row],[OrderDate]])</f>
        <v>10</v>
      </c>
    </row>
    <row r="65" spans="1:15" x14ac:dyDescent="0.35">
      <c r="A65">
        <v>10311</v>
      </c>
      <c r="B65" s="1" t="s">
        <v>177</v>
      </c>
      <c r="C65">
        <v>1</v>
      </c>
      <c r="D65" s="2">
        <v>34628</v>
      </c>
      <c r="E65" s="2">
        <v>34642</v>
      </c>
      <c r="F65" s="2">
        <v>34634</v>
      </c>
      <c r="G65">
        <v>3</v>
      </c>
      <c r="H65">
        <v>24.69</v>
      </c>
      <c r="I65" s="1" t="s">
        <v>178</v>
      </c>
      <c r="J65" s="1" t="s">
        <v>180</v>
      </c>
      <c r="K65" s="1" t="s">
        <v>181</v>
      </c>
      <c r="L65" s="1" t="s">
        <v>1195</v>
      </c>
      <c r="M65" s="1" t="s">
        <v>182</v>
      </c>
      <c r="N65" s="1" t="s">
        <v>91</v>
      </c>
      <c r="O65" s="1">
        <f>MONTH(orders[[#This Row],[OrderDate]])</f>
        <v>10</v>
      </c>
    </row>
    <row r="66" spans="1:15" x14ac:dyDescent="0.35">
      <c r="A66">
        <v>10312</v>
      </c>
      <c r="B66" s="1" t="s">
        <v>702</v>
      </c>
      <c r="C66">
        <v>2</v>
      </c>
      <c r="D66" s="2">
        <v>34631</v>
      </c>
      <c r="E66" s="2">
        <v>34659</v>
      </c>
      <c r="F66" s="2">
        <v>34641</v>
      </c>
      <c r="G66">
        <v>2</v>
      </c>
      <c r="H66">
        <v>40.26</v>
      </c>
      <c r="I66" s="1" t="s">
        <v>703</v>
      </c>
      <c r="J66" s="1" t="s">
        <v>705</v>
      </c>
      <c r="K66" s="1" t="s">
        <v>706</v>
      </c>
      <c r="L66" s="1" t="s">
        <v>1195</v>
      </c>
      <c r="M66" s="1" t="s">
        <v>707</v>
      </c>
      <c r="N66" s="1" t="s">
        <v>38</v>
      </c>
      <c r="O66" s="1">
        <f>MONTH(orders[[#This Row],[OrderDate]])</f>
        <v>10</v>
      </c>
    </row>
    <row r="67" spans="1:15" x14ac:dyDescent="0.35">
      <c r="A67">
        <v>10313</v>
      </c>
      <c r="B67" s="1" t="s">
        <v>528</v>
      </c>
      <c r="C67">
        <v>2</v>
      </c>
      <c r="D67" s="2">
        <v>34632</v>
      </c>
      <c r="E67" s="2">
        <v>34660</v>
      </c>
      <c r="F67" s="2">
        <v>34642</v>
      </c>
      <c r="G67">
        <v>2</v>
      </c>
      <c r="H67">
        <v>1.96</v>
      </c>
      <c r="I67" s="1" t="s">
        <v>529</v>
      </c>
      <c r="J67" s="1" t="s">
        <v>531</v>
      </c>
      <c r="K67" s="1" t="s">
        <v>532</v>
      </c>
      <c r="L67" s="1" t="s">
        <v>1195</v>
      </c>
      <c r="M67" s="1" t="s">
        <v>533</v>
      </c>
      <c r="N67" s="1" t="s">
        <v>38</v>
      </c>
      <c r="O67" s="1">
        <f>MONTH(orders[[#This Row],[OrderDate]])</f>
        <v>10</v>
      </c>
    </row>
    <row r="68" spans="1:15" x14ac:dyDescent="0.35">
      <c r="A68">
        <v>10314</v>
      </c>
      <c r="B68" s="1" t="s">
        <v>541</v>
      </c>
      <c r="C68">
        <v>1</v>
      </c>
      <c r="D68" s="2">
        <v>34633</v>
      </c>
      <c r="E68" s="2">
        <v>34661</v>
      </c>
      <c r="F68" s="2">
        <v>34642</v>
      </c>
      <c r="G68">
        <v>2</v>
      </c>
      <c r="H68">
        <v>74.16</v>
      </c>
      <c r="I68" s="1" t="s">
        <v>542</v>
      </c>
      <c r="J68" s="1" t="s">
        <v>545</v>
      </c>
      <c r="K68" s="1" t="s">
        <v>546</v>
      </c>
      <c r="L68" s="1" t="s">
        <v>547</v>
      </c>
      <c r="M68" s="1" t="s">
        <v>548</v>
      </c>
      <c r="N68" s="1" t="s">
        <v>292</v>
      </c>
      <c r="O68" s="1">
        <f>MONTH(orders[[#This Row],[OrderDate]])</f>
        <v>10</v>
      </c>
    </row>
    <row r="69" spans="1:15" x14ac:dyDescent="0.35">
      <c r="A69">
        <v>10315</v>
      </c>
      <c r="B69" s="1" t="s">
        <v>338</v>
      </c>
      <c r="C69">
        <v>4</v>
      </c>
      <c r="D69" s="2">
        <v>34634</v>
      </c>
      <c r="E69" s="2">
        <v>34662</v>
      </c>
      <c r="F69" s="2">
        <v>34641</v>
      </c>
      <c r="G69">
        <v>2</v>
      </c>
      <c r="H69">
        <v>41.76</v>
      </c>
      <c r="I69" s="1" t="s">
        <v>339</v>
      </c>
      <c r="J69" s="1" t="s">
        <v>1200</v>
      </c>
      <c r="K69" s="1" t="s">
        <v>341</v>
      </c>
      <c r="L69" s="1" t="s">
        <v>342</v>
      </c>
      <c r="M69" s="1" t="s">
        <v>343</v>
      </c>
      <c r="N69" s="1" t="s">
        <v>63</v>
      </c>
      <c r="O69" s="1">
        <f>MONTH(orders[[#This Row],[OrderDate]])</f>
        <v>10</v>
      </c>
    </row>
    <row r="70" spans="1:15" x14ac:dyDescent="0.35">
      <c r="A70">
        <v>10316</v>
      </c>
      <c r="B70" s="1" t="s">
        <v>541</v>
      </c>
      <c r="C70">
        <v>1</v>
      </c>
      <c r="D70" s="2">
        <v>34635</v>
      </c>
      <c r="E70" s="2">
        <v>34663</v>
      </c>
      <c r="F70" s="2">
        <v>34646</v>
      </c>
      <c r="G70">
        <v>3</v>
      </c>
      <c r="H70">
        <v>150.15</v>
      </c>
      <c r="I70" s="1" t="s">
        <v>542</v>
      </c>
      <c r="J70" s="1" t="s">
        <v>545</v>
      </c>
      <c r="K70" s="1" t="s">
        <v>546</v>
      </c>
      <c r="L70" s="1" t="s">
        <v>547</v>
      </c>
      <c r="M70" s="1" t="s">
        <v>548</v>
      </c>
      <c r="N70" s="1" t="s">
        <v>292</v>
      </c>
      <c r="O70" s="1">
        <f>MONTH(orders[[#This Row],[OrderDate]])</f>
        <v>10</v>
      </c>
    </row>
    <row r="71" spans="1:15" x14ac:dyDescent="0.35">
      <c r="A71">
        <v>10317</v>
      </c>
      <c r="B71" s="1" t="s">
        <v>417</v>
      </c>
      <c r="C71">
        <v>6</v>
      </c>
      <c r="D71" s="2">
        <v>34638</v>
      </c>
      <c r="E71" s="2">
        <v>34666</v>
      </c>
      <c r="F71" s="2">
        <v>34648</v>
      </c>
      <c r="G71">
        <v>1</v>
      </c>
      <c r="H71">
        <v>12.69</v>
      </c>
      <c r="I71" s="1" t="s">
        <v>418</v>
      </c>
      <c r="J71" s="1" t="s">
        <v>420</v>
      </c>
      <c r="K71" s="1" t="s">
        <v>421</v>
      </c>
      <c r="L71" s="1" t="s">
        <v>290</v>
      </c>
      <c r="M71" s="1" t="s">
        <v>422</v>
      </c>
      <c r="N71" s="1" t="s">
        <v>292</v>
      </c>
      <c r="O71" s="1">
        <f>MONTH(orders[[#This Row],[OrderDate]])</f>
        <v>10</v>
      </c>
    </row>
    <row r="72" spans="1:15" x14ac:dyDescent="0.35">
      <c r="A72">
        <v>10318</v>
      </c>
      <c r="B72" s="1" t="s">
        <v>338</v>
      </c>
      <c r="C72">
        <v>8</v>
      </c>
      <c r="D72" s="2">
        <v>34639</v>
      </c>
      <c r="E72" s="2">
        <v>34667</v>
      </c>
      <c r="F72" s="2">
        <v>34642</v>
      </c>
      <c r="G72">
        <v>2</v>
      </c>
      <c r="H72">
        <v>4.7300000000000004</v>
      </c>
      <c r="I72" s="1" t="s">
        <v>339</v>
      </c>
      <c r="J72" s="1" t="s">
        <v>1200</v>
      </c>
      <c r="K72" s="1" t="s">
        <v>341</v>
      </c>
      <c r="L72" s="1" t="s">
        <v>342</v>
      </c>
      <c r="M72" s="1" t="s">
        <v>343</v>
      </c>
      <c r="N72" s="1" t="s">
        <v>63</v>
      </c>
      <c r="O72" s="1">
        <f>MONTH(orders[[#This Row],[OrderDate]])</f>
        <v>11</v>
      </c>
    </row>
    <row r="73" spans="1:15" x14ac:dyDescent="0.35">
      <c r="A73">
        <v>10319</v>
      </c>
      <c r="B73" s="1" t="s">
        <v>658</v>
      </c>
      <c r="C73">
        <v>7</v>
      </c>
      <c r="D73" s="2">
        <v>34640</v>
      </c>
      <c r="E73" s="2">
        <v>34668</v>
      </c>
      <c r="F73" s="2">
        <v>34649</v>
      </c>
      <c r="G73">
        <v>3</v>
      </c>
      <c r="H73">
        <v>64.5</v>
      </c>
      <c r="I73" s="1" t="s">
        <v>659</v>
      </c>
      <c r="J73" s="1" t="s">
        <v>661</v>
      </c>
      <c r="K73" s="1" t="s">
        <v>46</v>
      </c>
      <c r="L73" s="1" t="s">
        <v>1195</v>
      </c>
      <c r="M73" s="1" t="s">
        <v>498</v>
      </c>
      <c r="N73" s="1" t="s">
        <v>48</v>
      </c>
      <c r="O73" s="1">
        <f>MONTH(orders[[#This Row],[OrderDate]])</f>
        <v>11</v>
      </c>
    </row>
    <row r="74" spans="1:15" x14ac:dyDescent="0.35">
      <c r="A74">
        <v>10320</v>
      </c>
      <c r="B74" s="1" t="s">
        <v>710</v>
      </c>
      <c r="C74">
        <v>5</v>
      </c>
      <c r="D74" s="2">
        <v>34641</v>
      </c>
      <c r="E74" s="2">
        <v>34655</v>
      </c>
      <c r="F74" s="2">
        <v>34656</v>
      </c>
      <c r="G74">
        <v>3</v>
      </c>
      <c r="H74">
        <v>34.57</v>
      </c>
      <c r="I74" s="1" t="s">
        <v>711</v>
      </c>
      <c r="J74" s="1" t="s">
        <v>713</v>
      </c>
      <c r="K74" s="1" t="s">
        <v>714</v>
      </c>
      <c r="L74" s="1" t="s">
        <v>1195</v>
      </c>
      <c r="M74" s="1" t="s">
        <v>715</v>
      </c>
      <c r="N74" s="1" t="s">
        <v>716</v>
      </c>
      <c r="O74" s="1">
        <f>MONTH(orders[[#This Row],[OrderDate]])</f>
        <v>11</v>
      </c>
    </row>
    <row r="75" spans="1:15" x14ac:dyDescent="0.35">
      <c r="A75">
        <v>10321</v>
      </c>
      <c r="B75" s="1" t="s">
        <v>338</v>
      </c>
      <c r="C75">
        <v>3</v>
      </c>
      <c r="D75" s="2">
        <v>34641</v>
      </c>
      <c r="E75" s="2">
        <v>34669</v>
      </c>
      <c r="F75" s="2">
        <v>34649</v>
      </c>
      <c r="G75">
        <v>2</v>
      </c>
      <c r="H75">
        <v>3.43</v>
      </c>
      <c r="I75" s="1" t="s">
        <v>339</v>
      </c>
      <c r="J75" s="1" t="s">
        <v>1200</v>
      </c>
      <c r="K75" s="1" t="s">
        <v>341</v>
      </c>
      <c r="L75" s="1" t="s">
        <v>342</v>
      </c>
      <c r="M75" s="1" t="s">
        <v>343</v>
      </c>
      <c r="N75" s="1" t="s">
        <v>63</v>
      </c>
      <c r="O75" s="1">
        <f>MONTH(orders[[#This Row],[OrderDate]])</f>
        <v>11</v>
      </c>
    </row>
    <row r="76" spans="1:15" x14ac:dyDescent="0.35">
      <c r="A76">
        <v>10322</v>
      </c>
      <c r="B76" s="1" t="s">
        <v>494</v>
      </c>
      <c r="C76">
        <v>7</v>
      </c>
      <c r="D76" s="2">
        <v>34642</v>
      </c>
      <c r="E76" s="2">
        <v>34670</v>
      </c>
      <c r="F76" s="2">
        <v>34661</v>
      </c>
      <c r="G76">
        <v>3</v>
      </c>
      <c r="H76">
        <v>0.4</v>
      </c>
      <c r="I76" s="1" t="s">
        <v>495</v>
      </c>
      <c r="J76" s="1" t="s">
        <v>497</v>
      </c>
      <c r="K76" s="1" t="s">
        <v>46</v>
      </c>
      <c r="L76" s="1" t="s">
        <v>1195</v>
      </c>
      <c r="M76" s="1" t="s">
        <v>498</v>
      </c>
      <c r="N76" s="1" t="s">
        <v>48</v>
      </c>
      <c r="O76" s="1">
        <f>MONTH(orders[[#This Row],[OrderDate]])</f>
        <v>11</v>
      </c>
    </row>
    <row r="77" spans="1:15" x14ac:dyDescent="0.35">
      <c r="A77">
        <v>10323</v>
      </c>
      <c r="B77" s="1" t="s">
        <v>345</v>
      </c>
      <c r="C77">
        <v>4</v>
      </c>
      <c r="D77" s="2">
        <v>34645</v>
      </c>
      <c r="E77" s="2">
        <v>34673</v>
      </c>
      <c r="F77" s="2">
        <v>34652</v>
      </c>
      <c r="G77">
        <v>1</v>
      </c>
      <c r="H77">
        <v>4.88</v>
      </c>
      <c r="I77" s="1" t="s">
        <v>346</v>
      </c>
      <c r="J77" s="1" t="s">
        <v>348</v>
      </c>
      <c r="K77" s="1" t="s">
        <v>349</v>
      </c>
      <c r="L77" s="1" t="s">
        <v>1195</v>
      </c>
      <c r="M77" s="1" t="s">
        <v>350</v>
      </c>
      <c r="N77" s="1" t="s">
        <v>38</v>
      </c>
      <c r="O77" s="1">
        <f>MONTH(orders[[#This Row],[OrderDate]])</f>
        <v>11</v>
      </c>
    </row>
    <row r="78" spans="1:15" x14ac:dyDescent="0.35">
      <c r="A78">
        <v>10324</v>
      </c>
      <c r="B78" s="1" t="s">
        <v>588</v>
      </c>
      <c r="C78">
        <v>9</v>
      </c>
      <c r="D78" s="2">
        <v>34646</v>
      </c>
      <c r="E78" s="2">
        <v>34674</v>
      </c>
      <c r="F78" s="2">
        <v>34648</v>
      </c>
      <c r="G78">
        <v>1</v>
      </c>
      <c r="H78">
        <v>214.27</v>
      </c>
      <c r="I78" s="1" t="s">
        <v>589</v>
      </c>
      <c r="J78" s="1" t="s">
        <v>591</v>
      </c>
      <c r="K78" s="1" t="s">
        <v>592</v>
      </c>
      <c r="L78" s="1" t="s">
        <v>593</v>
      </c>
      <c r="M78" s="1" t="s">
        <v>594</v>
      </c>
      <c r="N78" s="1" t="s">
        <v>292</v>
      </c>
      <c r="O78" s="1">
        <f>MONTH(orders[[#This Row],[OrderDate]])</f>
        <v>11</v>
      </c>
    </row>
    <row r="79" spans="1:15" x14ac:dyDescent="0.35">
      <c r="A79">
        <v>10325</v>
      </c>
      <c r="B79" s="1" t="s">
        <v>345</v>
      </c>
      <c r="C79">
        <v>1</v>
      </c>
      <c r="D79" s="2">
        <v>34647</v>
      </c>
      <c r="E79" s="2">
        <v>34661</v>
      </c>
      <c r="F79" s="2">
        <v>34652</v>
      </c>
      <c r="G79">
        <v>3</v>
      </c>
      <c r="H79">
        <v>64.86</v>
      </c>
      <c r="I79" s="1" t="s">
        <v>346</v>
      </c>
      <c r="J79" s="1" t="s">
        <v>348</v>
      </c>
      <c r="K79" s="1" t="s">
        <v>349</v>
      </c>
      <c r="L79" s="1" t="s">
        <v>1195</v>
      </c>
      <c r="M79" s="1" t="s">
        <v>350</v>
      </c>
      <c r="N79" s="1" t="s">
        <v>38</v>
      </c>
      <c r="O79" s="1">
        <f>MONTH(orders[[#This Row],[OrderDate]])</f>
        <v>11</v>
      </c>
    </row>
    <row r="80" spans="1:15" x14ac:dyDescent="0.35">
      <c r="A80">
        <v>10326</v>
      </c>
      <c r="B80" s="1" t="s">
        <v>94</v>
      </c>
      <c r="C80">
        <v>4</v>
      </c>
      <c r="D80" s="2">
        <v>34648</v>
      </c>
      <c r="E80" s="2">
        <v>34676</v>
      </c>
      <c r="F80" s="2">
        <v>34652</v>
      </c>
      <c r="G80">
        <v>2</v>
      </c>
      <c r="H80">
        <v>77.92</v>
      </c>
      <c r="I80" s="1" t="s">
        <v>95</v>
      </c>
      <c r="J80" s="1" t="s">
        <v>97</v>
      </c>
      <c r="K80" s="1" t="s">
        <v>98</v>
      </c>
      <c r="L80" s="1" t="s">
        <v>1195</v>
      </c>
      <c r="M80" s="1" t="s">
        <v>99</v>
      </c>
      <c r="N80" s="1" t="s">
        <v>100</v>
      </c>
      <c r="O80" s="1">
        <f>MONTH(orders[[#This Row],[OrderDate]])</f>
        <v>11</v>
      </c>
    </row>
    <row r="81" spans="1:15" x14ac:dyDescent="0.35">
      <c r="A81">
        <v>10327</v>
      </c>
      <c r="B81" s="1" t="s">
        <v>225</v>
      </c>
      <c r="C81">
        <v>2</v>
      </c>
      <c r="D81" s="2">
        <v>34649</v>
      </c>
      <c r="E81" s="2">
        <v>34677</v>
      </c>
      <c r="F81" s="2">
        <v>34652</v>
      </c>
      <c r="G81">
        <v>1</v>
      </c>
      <c r="H81">
        <v>63.36</v>
      </c>
      <c r="I81" s="1" t="s">
        <v>226</v>
      </c>
      <c r="J81" s="1" t="s">
        <v>228</v>
      </c>
      <c r="K81" s="1" t="s">
        <v>229</v>
      </c>
      <c r="L81" s="1" t="s">
        <v>1195</v>
      </c>
      <c r="M81" s="1" t="s">
        <v>230</v>
      </c>
      <c r="N81" s="1" t="s">
        <v>73</v>
      </c>
      <c r="O81" s="1">
        <f>MONTH(orders[[#This Row],[OrderDate]])</f>
        <v>11</v>
      </c>
    </row>
    <row r="82" spans="1:15" x14ac:dyDescent="0.35">
      <c r="A82">
        <v>10328</v>
      </c>
      <c r="B82" s="1" t="s">
        <v>255</v>
      </c>
      <c r="C82">
        <v>4</v>
      </c>
      <c r="D82" s="2">
        <v>34652</v>
      </c>
      <c r="E82" s="2">
        <v>34680</v>
      </c>
      <c r="F82" s="2">
        <v>34655</v>
      </c>
      <c r="G82">
        <v>3</v>
      </c>
      <c r="H82">
        <v>87.03</v>
      </c>
      <c r="I82" s="1" t="s">
        <v>256</v>
      </c>
      <c r="J82" s="1" t="s">
        <v>257</v>
      </c>
      <c r="K82" s="1" t="s">
        <v>258</v>
      </c>
      <c r="L82" s="1" t="s">
        <v>1195</v>
      </c>
      <c r="M82" s="1" t="s">
        <v>259</v>
      </c>
      <c r="N82" s="1" t="s">
        <v>260</v>
      </c>
      <c r="O82" s="1">
        <f>MONTH(orders[[#This Row],[OrderDate]])</f>
        <v>11</v>
      </c>
    </row>
    <row r="83" spans="1:15" x14ac:dyDescent="0.35">
      <c r="A83">
        <v>10329</v>
      </c>
      <c r="B83" s="1" t="s">
        <v>619</v>
      </c>
      <c r="C83">
        <v>4</v>
      </c>
      <c r="D83" s="2">
        <v>34653</v>
      </c>
      <c r="E83" s="2">
        <v>34695</v>
      </c>
      <c r="F83" s="2">
        <v>34661</v>
      </c>
      <c r="G83">
        <v>2</v>
      </c>
      <c r="H83">
        <v>191.67</v>
      </c>
      <c r="I83" s="1" t="s">
        <v>620</v>
      </c>
      <c r="J83" s="1" t="s">
        <v>622</v>
      </c>
      <c r="K83" s="1" t="s">
        <v>623</v>
      </c>
      <c r="L83" s="1" t="s">
        <v>624</v>
      </c>
      <c r="M83" s="1" t="s">
        <v>625</v>
      </c>
      <c r="N83" s="1" t="s">
        <v>292</v>
      </c>
      <c r="O83" s="1">
        <f>MONTH(orders[[#This Row],[OrderDate]])</f>
        <v>11</v>
      </c>
    </row>
    <row r="84" spans="1:15" x14ac:dyDescent="0.35">
      <c r="A84">
        <v>10330</v>
      </c>
      <c r="B84" s="1" t="s">
        <v>399</v>
      </c>
      <c r="C84">
        <v>3</v>
      </c>
      <c r="D84" s="2">
        <v>34654</v>
      </c>
      <c r="E84" s="2">
        <v>34682</v>
      </c>
      <c r="F84" s="2">
        <v>34666</v>
      </c>
      <c r="G84">
        <v>1</v>
      </c>
      <c r="H84">
        <v>12.75</v>
      </c>
      <c r="I84" s="1" t="s">
        <v>400</v>
      </c>
      <c r="J84" s="1" t="s">
        <v>402</v>
      </c>
      <c r="K84" s="1" t="s">
        <v>403</v>
      </c>
      <c r="L84" s="1" t="s">
        <v>404</v>
      </c>
      <c r="M84" s="1" t="s">
        <v>405</v>
      </c>
      <c r="N84" s="1" t="s">
        <v>301</v>
      </c>
      <c r="O84" s="1">
        <f>MONTH(orders[[#This Row],[OrderDate]])</f>
        <v>11</v>
      </c>
    </row>
    <row r="85" spans="1:15" x14ac:dyDescent="0.35">
      <c r="A85">
        <v>10331</v>
      </c>
      <c r="B85" s="1" t="s">
        <v>103</v>
      </c>
      <c r="C85">
        <v>9</v>
      </c>
      <c r="D85" s="2">
        <v>34654</v>
      </c>
      <c r="E85" s="2">
        <v>34696</v>
      </c>
      <c r="F85" s="2">
        <v>34659</v>
      </c>
      <c r="G85">
        <v>1</v>
      </c>
      <c r="H85">
        <v>10.19</v>
      </c>
      <c r="I85" s="1" t="s">
        <v>104</v>
      </c>
      <c r="J85" s="1" t="s">
        <v>106</v>
      </c>
      <c r="K85" s="1" t="s">
        <v>107</v>
      </c>
      <c r="L85" s="1" t="s">
        <v>1195</v>
      </c>
      <c r="M85" s="1" t="s">
        <v>108</v>
      </c>
      <c r="N85" s="1" t="s">
        <v>91</v>
      </c>
      <c r="O85" s="1">
        <f>MONTH(orders[[#This Row],[OrderDate]])</f>
        <v>11</v>
      </c>
    </row>
    <row r="86" spans="1:15" x14ac:dyDescent="0.35">
      <c r="A86">
        <v>10332</v>
      </c>
      <c r="B86" s="1" t="s">
        <v>442</v>
      </c>
      <c r="C86">
        <v>3</v>
      </c>
      <c r="D86" s="2">
        <v>34655</v>
      </c>
      <c r="E86" s="2">
        <v>34697</v>
      </c>
      <c r="F86" s="2">
        <v>34659</v>
      </c>
      <c r="G86">
        <v>2</v>
      </c>
      <c r="H86">
        <v>52.84</v>
      </c>
      <c r="I86" s="1" t="s">
        <v>443</v>
      </c>
      <c r="J86" s="1" t="s">
        <v>445</v>
      </c>
      <c r="K86" s="1" t="s">
        <v>446</v>
      </c>
      <c r="L86" s="1" t="s">
        <v>447</v>
      </c>
      <c r="M86" s="1" t="s">
        <v>448</v>
      </c>
      <c r="N86" s="1" t="s">
        <v>119</v>
      </c>
      <c r="O86" s="1">
        <f>MONTH(orders[[#This Row],[OrderDate]])</f>
        <v>11</v>
      </c>
    </row>
    <row r="87" spans="1:15" x14ac:dyDescent="0.35">
      <c r="A87">
        <v>10333</v>
      </c>
      <c r="B87" s="1" t="s">
        <v>710</v>
      </c>
      <c r="C87">
        <v>5</v>
      </c>
      <c r="D87" s="2">
        <v>34656</v>
      </c>
      <c r="E87" s="2">
        <v>34684</v>
      </c>
      <c r="F87" s="2">
        <v>34663</v>
      </c>
      <c r="G87">
        <v>3</v>
      </c>
      <c r="H87">
        <v>0.59</v>
      </c>
      <c r="I87" s="1" t="s">
        <v>711</v>
      </c>
      <c r="J87" s="1" t="s">
        <v>713</v>
      </c>
      <c r="K87" s="1" t="s">
        <v>714</v>
      </c>
      <c r="L87" s="1" t="s">
        <v>1195</v>
      </c>
      <c r="M87" s="1" t="s">
        <v>715</v>
      </c>
      <c r="N87" s="1" t="s">
        <v>716</v>
      </c>
      <c r="O87" s="1">
        <f>MONTH(orders[[#This Row],[OrderDate]])</f>
        <v>11</v>
      </c>
    </row>
    <row r="88" spans="1:15" x14ac:dyDescent="0.35">
      <c r="A88">
        <v>10334</v>
      </c>
      <c r="B88" s="1" t="s">
        <v>686</v>
      </c>
      <c r="C88">
        <v>8</v>
      </c>
      <c r="D88" s="2">
        <v>34659</v>
      </c>
      <c r="E88" s="2">
        <v>34687</v>
      </c>
      <c r="F88" s="2">
        <v>34666</v>
      </c>
      <c r="G88">
        <v>2</v>
      </c>
      <c r="H88">
        <v>8.56</v>
      </c>
      <c r="I88" s="1" t="s">
        <v>687</v>
      </c>
      <c r="J88" s="1" t="s">
        <v>689</v>
      </c>
      <c r="K88" s="1" t="s">
        <v>690</v>
      </c>
      <c r="L88" s="1" t="s">
        <v>1195</v>
      </c>
      <c r="M88" s="1" t="s">
        <v>691</v>
      </c>
      <c r="N88" s="1" t="s">
        <v>91</v>
      </c>
      <c r="O88" s="1">
        <f>MONTH(orders[[#This Row],[OrderDate]])</f>
        <v>11</v>
      </c>
    </row>
    <row r="89" spans="1:15" x14ac:dyDescent="0.35">
      <c r="A89">
        <v>10335</v>
      </c>
      <c r="B89" s="1" t="s">
        <v>329</v>
      </c>
      <c r="C89">
        <v>7</v>
      </c>
      <c r="D89" s="2">
        <v>34660</v>
      </c>
      <c r="E89" s="2">
        <v>34688</v>
      </c>
      <c r="F89" s="2">
        <v>34662</v>
      </c>
      <c r="G89">
        <v>2</v>
      </c>
      <c r="H89">
        <v>42.11</v>
      </c>
      <c r="I89" s="1" t="s">
        <v>330</v>
      </c>
      <c r="J89" s="1" t="s">
        <v>332</v>
      </c>
      <c r="K89" s="1" t="s">
        <v>333</v>
      </c>
      <c r="L89" s="1" t="s">
        <v>334</v>
      </c>
      <c r="M89" s="1" t="s">
        <v>1195</v>
      </c>
      <c r="N89" s="1" t="s">
        <v>335</v>
      </c>
      <c r="O89" s="1">
        <f>MONTH(orders[[#This Row],[OrderDate]])</f>
        <v>11</v>
      </c>
    </row>
    <row r="90" spans="1:15" x14ac:dyDescent="0.35">
      <c r="A90">
        <v>10336</v>
      </c>
      <c r="B90" s="1" t="s">
        <v>509</v>
      </c>
      <c r="C90">
        <v>7</v>
      </c>
      <c r="D90" s="2">
        <v>34661</v>
      </c>
      <c r="E90" s="2">
        <v>34689</v>
      </c>
      <c r="F90" s="2">
        <v>34663</v>
      </c>
      <c r="G90">
        <v>2</v>
      </c>
      <c r="H90">
        <v>15.51</v>
      </c>
      <c r="I90" s="1" t="s">
        <v>510</v>
      </c>
      <c r="J90" s="1" t="s">
        <v>512</v>
      </c>
      <c r="K90" s="1" t="s">
        <v>258</v>
      </c>
      <c r="L90" s="1" t="s">
        <v>1195</v>
      </c>
      <c r="M90" s="1" t="s">
        <v>513</v>
      </c>
      <c r="N90" s="1" t="s">
        <v>260</v>
      </c>
      <c r="O90" s="1">
        <f>MONTH(orders[[#This Row],[OrderDate]])</f>
        <v>11</v>
      </c>
    </row>
    <row r="91" spans="1:15" x14ac:dyDescent="0.35">
      <c r="A91">
        <v>10337</v>
      </c>
      <c r="B91" s="1" t="s">
        <v>232</v>
      </c>
      <c r="C91">
        <v>4</v>
      </c>
      <c r="D91" s="2">
        <v>34662</v>
      </c>
      <c r="E91" s="2">
        <v>34690</v>
      </c>
      <c r="F91" s="2">
        <v>34667</v>
      </c>
      <c r="G91">
        <v>3</v>
      </c>
      <c r="H91">
        <v>108.26</v>
      </c>
      <c r="I91" s="1" t="s">
        <v>233</v>
      </c>
      <c r="J91" s="1" t="s">
        <v>235</v>
      </c>
      <c r="K91" s="1" t="s">
        <v>236</v>
      </c>
      <c r="L91" s="1" t="s">
        <v>1195</v>
      </c>
      <c r="M91" s="1" t="s">
        <v>237</v>
      </c>
      <c r="N91" s="1" t="s">
        <v>38</v>
      </c>
      <c r="O91" s="1">
        <f>MONTH(orders[[#This Row],[OrderDate]])</f>
        <v>11</v>
      </c>
    </row>
    <row r="92" spans="1:15" x14ac:dyDescent="0.35">
      <c r="A92">
        <v>10338</v>
      </c>
      <c r="B92" s="1" t="s">
        <v>469</v>
      </c>
      <c r="C92">
        <v>4</v>
      </c>
      <c r="D92" s="2">
        <v>34663</v>
      </c>
      <c r="E92" s="2">
        <v>34691</v>
      </c>
      <c r="F92" s="2">
        <v>34667</v>
      </c>
      <c r="G92">
        <v>3</v>
      </c>
      <c r="H92">
        <v>84.21</v>
      </c>
      <c r="I92" s="1" t="s">
        <v>470</v>
      </c>
      <c r="J92" s="1" t="s">
        <v>472</v>
      </c>
      <c r="K92" s="1" t="s">
        <v>473</v>
      </c>
      <c r="L92" s="1" t="s">
        <v>474</v>
      </c>
      <c r="M92" s="1" t="s">
        <v>475</v>
      </c>
      <c r="N92" s="1" t="s">
        <v>292</v>
      </c>
      <c r="O92" s="1">
        <f>MONTH(orders[[#This Row],[OrderDate]])</f>
        <v>11</v>
      </c>
    </row>
    <row r="93" spans="1:15" x14ac:dyDescent="0.35">
      <c r="A93">
        <v>10339</v>
      </c>
      <c r="B93" s="1" t="s">
        <v>442</v>
      </c>
      <c r="C93">
        <v>2</v>
      </c>
      <c r="D93" s="2">
        <v>34666</v>
      </c>
      <c r="E93" s="2">
        <v>34694</v>
      </c>
      <c r="F93" s="2">
        <v>34673</v>
      </c>
      <c r="G93">
        <v>2</v>
      </c>
      <c r="H93">
        <v>15.66</v>
      </c>
      <c r="I93" s="1" t="s">
        <v>443</v>
      </c>
      <c r="J93" s="1" t="s">
        <v>445</v>
      </c>
      <c r="K93" s="1" t="s">
        <v>446</v>
      </c>
      <c r="L93" s="1" t="s">
        <v>447</v>
      </c>
      <c r="M93" s="1" t="s">
        <v>448</v>
      </c>
      <c r="N93" s="1" t="s">
        <v>119</v>
      </c>
      <c r="O93" s="1">
        <f>MONTH(orders[[#This Row],[OrderDate]])</f>
        <v>11</v>
      </c>
    </row>
    <row r="94" spans="1:15" x14ac:dyDescent="0.35">
      <c r="A94">
        <v>10340</v>
      </c>
      <c r="B94" s="1" t="s">
        <v>103</v>
      </c>
      <c r="C94">
        <v>1</v>
      </c>
      <c r="D94" s="2">
        <v>34667</v>
      </c>
      <c r="E94" s="2">
        <v>34695</v>
      </c>
      <c r="F94" s="2">
        <v>34677</v>
      </c>
      <c r="G94">
        <v>3</v>
      </c>
      <c r="H94">
        <v>166.31</v>
      </c>
      <c r="I94" s="1" t="s">
        <v>104</v>
      </c>
      <c r="J94" s="1" t="s">
        <v>106</v>
      </c>
      <c r="K94" s="1" t="s">
        <v>107</v>
      </c>
      <c r="L94" s="1" t="s">
        <v>1195</v>
      </c>
      <c r="M94" s="1" t="s">
        <v>108</v>
      </c>
      <c r="N94" s="1" t="s">
        <v>91</v>
      </c>
      <c r="O94" s="1">
        <f>MONTH(orders[[#This Row],[OrderDate]])</f>
        <v>11</v>
      </c>
    </row>
    <row r="95" spans="1:15" x14ac:dyDescent="0.35">
      <c r="A95">
        <v>10341</v>
      </c>
      <c r="B95" s="1" t="s">
        <v>603</v>
      </c>
      <c r="C95">
        <v>7</v>
      </c>
      <c r="D95" s="2">
        <v>34667</v>
      </c>
      <c r="E95" s="2">
        <v>34695</v>
      </c>
      <c r="F95" s="2">
        <v>34674</v>
      </c>
      <c r="G95">
        <v>3</v>
      </c>
      <c r="H95">
        <v>26.78</v>
      </c>
      <c r="I95" s="1" t="s">
        <v>604</v>
      </c>
      <c r="J95" s="1" t="s">
        <v>606</v>
      </c>
      <c r="K95" s="1" t="s">
        <v>607</v>
      </c>
      <c r="L95" s="1" t="s">
        <v>1195</v>
      </c>
      <c r="M95" s="1" t="s">
        <v>608</v>
      </c>
      <c r="N95" s="1" t="s">
        <v>609</v>
      </c>
      <c r="O95" s="1">
        <f>MONTH(orders[[#This Row],[OrderDate]])</f>
        <v>11</v>
      </c>
    </row>
    <row r="96" spans="1:15" x14ac:dyDescent="0.35">
      <c r="A96">
        <v>10342</v>
      </c>
      <c r="B96" s="1" t="s">
        <v>232</v>
      </c>
      <c r="C96">
        <v>4</v>
      </c>
      <c r="D96" s="2">
        <v>34668</v>
      </c>
      <c r="E96" s="2">
        <v>34682</v>
      </c>
      <c r="F96" s="2">
        <v>34673</v>
      </c>
      <c r="G96">
        <v>2</v>
      </c>
      <c r="H96">
        <v>54.83</v>
      </c>
      <c r="I96" s="1" t="s">
        <v>233</v>
      </c>
      <c r="J96" s="1" t="s">
        <v>235</v>
      </c>
      <c r="K96" s="1" t="s">
        <v>236</v>
      </c>
      <c r="L96" s="1" t="s">
        <v>1195</v>
      </c>
      <c r="M96" s="1" t="s">
        <v>237</v>
      </c>
      <c r="N96" s="1" t="s">
        <v>38</v>
      </c>
      <c r="O96" s="1">
        <f>MONTH(orders[[#This Row],[OrderDate]])</f>
        <v>11</v>
      </c>
    </row>
    <row r="97" spans="1:15" x14ac:dyDescent="0.35">
      <c r="A97">
        <v>10343</v>
      </c>
      <c r="B97" s="1" t="s">
        <v>385</v>
      </c>
      <c r="C97">
        <v>4</v>
      </c>
      <c r="D97" s="2">
        <v>34669</v>
      </c>
      <c r="E97" s="2">
        <v>34697</v>
      </c>
      <c r="F97" s="2">
        <v>34675</v>
      </c>
      <c r="G97">
        <v>1</v>
      </c>
      <c r="H97">
        <v>110.37</v>
      </c>
      <c r="I97" s="1" t="s">
        <v>386</v>
      </c>
      <c r="J97" s="1" t="s">
        <v>388</v>
      </c>
      <c r="K97" s="1" t="s">
        <v>1201</v>
      </c>
      <c r="L97" s="1" t="s">
        <v>1195</v>
      </c>
      <c r="M97" s="1" t="s">
        <v>389</v>
      </c>
      <c r="N97" s="1" t="s">
        <v>38</v>
      </c>
      <c r="O97" s="1">
        <f>MONTH(orders[[#This Row],[OrderDate]])</f>
        <v>12</v>
      </c>
    </row>
    <row r="98" spans="1:15" x14ac:dyDescent="0.35">
      <c r="A98">
        <v>10344</v>
      </c>
      <c r="B98" s="1" t="s">
        <v>725</v>
      </c>
      <c r="C98">
        <v>4</v>
      </c>
      <c r="D98" s="2">
        <v>34670</v>
      </c>
      <c r="E98" s="2">
        <v>34698</v>
      </c>
      <c r="F98" s="2">
        <v>34674</v>
      </c>
      <c r="G98">
        <v>2</v>
      </c>
      <c r="H98">
        <v>23.29</v>
      </c>
      <c r="I98" s="1" t="s">
        <v>726</v>
      </c>
      <c r="J98" s="1" t="s">
        <v>837</v>
      </c>
      <c r="K98" s="1" t="s">
        <v>728</v>
      </c>
      <c r="L98" s="1" t="s">
        <v>381</v>
      </c>
      <c r="M98" s="1" t="s">
        <v>838</v>
      </c>
      <c r="N98" s="1" t="s">
        <v>292</v>
      </c>
      <c r="O98" s="1">
        <f>MONTH(orders[[#This Row],[OrderDate]])</f>
        <v>12</v>
      </c>
    </row>
    <row r="99" spans="1:15" x14ac:dyDescent="0.35">
      <c r="A99">
        <v>10345</v>
      </c>
      <c r="B99" s="1" t="s">
        <v>528</v>
      </c>
      <c r="C99">
        <v>2</v>
      </c>
      <c r="D99" s="2">
        <v>34673</v>
      </c>
      <c r="E99" s="2">
        <v>34701</v>
      </c>
      <c r="F99" s="2">
        <v>34680</v>
      </c>
      <c r="G99">
        <v>2</v>
      </c>
      <c r="H99">
        <v>249.06</v>
      </c>
      <c r="I99" s="1" t="s">
        <v>529</v>
      </c>
      <c r="J99" s="1" t="s">
        <v>531</v>
      </c>
      <c r="K99" s="1" t="s">
        <v>532</v>
      </c>
      <c r="L99" s="1" t="s">
        <v>1195</v>
      </c>
      <c r="M99" s="1" t="s">
        <v>533</v>
      </c>
      <c r="N99" s="1" t="s">
        <v>38</v>
      </c>
      <c r="O99" s="1">
        <f>MONTH(orders[[#This Row],[OrderDate]])</f>
        <v>12</v>
      </c>
    </row>
    <row r="100" spans="1:15" x14ac:dyDescent="0.35">
      <c r="A100">
        <v>10346</v>
      </c>
      <c r="B100" s="1" t="s">
        <v>541</v>
      </c>
      <c r="C100">
        <v>3</v>
      </c>
      <c r="D100" s="2">
        <v>34674</v>
      </c>
      <c r="E100" s="2">
        <v>34716</v>
      </c>
      <c r="F100" s="2">
        <v>34677</v>
      </c>
      <c r="G100">
        <v>3</v>
      </c>
      <c r="H100">
        <v>142.08000000000001</v>
      </c>
      <c r="I100" s="1" t="s">
        <v>542</v>
      </c>
      <c r="J100" s="1" t="s">
        <v>545</v>
      </c>
      <c r="K100" s="1" t="s">
        <v>546</v>
      </c>
      <c r="L100" s="1" t="s">
        <v>547</v>
      </c>
      <c r="M100" s="1" t="s">
        <v>548</v>
      </c>
      <c r="N100" s="1" t="s">
        <v>292</v>
      </c>
      <c r="O100" s="1">
        <f>MONTH(orders[[#This Row],[OrderDate]])</f>
        <v>12</v>
      </c>
    </row>
    <row r="101" spans="1:15" x14ac:dyDescent="0.35">
      <c r="A101">
        <v>10347</v>
      </c>
      <c r="B101" s="1" t="s">
        <v>202</v>
      </c>
      <c r="C101">
        <v>4</v>
      </c>
      <c r="D101" s="2">
        <v>34675</v>
      </c>
      <c r="E101" s="2">
        <v>34703</v>
      </c>
      <c r="F101" s="2">
        <v>34677</v>
      </c>
      <c r="G101">
        <v>3</v>
      </c>
      <c r="H101">
        <v>3.1</v>
      </c>
      <c r="I101" s="1" t="s">
        <v>203</v>
      </c>
      <c r="J101" s="1" t="s">
        <v>206</v>
      </c>
      <c r="K101" s="1" t="s">
        <v>158</v>
      </c>
      <c r="L101" s="1" t="s">
        <v>159</v>
      </c>
      <c r="M101" s="1" t="s">
        <v>207</v>
      </c>
      <c r="N101" s="1" t="s">
        <v>161</v>
      </c>
      <c r="O101" s="1">
        <f>MONTH(orders[[#This Row],[OrderDate]])</f>
        <v>12</v>
      </c>
    </row>
    <row r="102" spans="1:15" x14ac:dyDescent="0.35">
      <c r="A102">
        <v>10348</v>
      </c>
      <c r="B102" s="1" t="s">
        <v>702</v>
      </c>
      <c r="C102">
        <v>4</v>
      </c>
      <c r="D102" s="2">
        <v>34676</v>
      </c>
      <c r="E102" s="2">
        <v>34704</v>
      </c>
      <c r="F102" s="2">
        <v>34684</v>
      </c>
      <c r="G102">
        <v>2</v>
      </c>
      <c r="H102">
        <v>0.78</v>
      </c>
      <c r="I102" s="1" t="s">
        <v>703</v>
      </c>
      <c r="J102" s="1" t="s">
        <v>705</v>
      </c>
      <c r="K102" s="1" t="s">
        <v>706</v>
      </c>
      <c r="L102" s="1" t="s">
        <v>1195</v>
      </c>
      <c r="M102" s="1" t="s">
        <v>707</v>
      </c>
      <c r="N102" s="1" t="s">
        <v>38</v>
      </c>
      <c r="O102" s="1">
        <f>MONTH(orders[[#This Row],[OrderDate]])</f>
        <v>12</v>
      </c>
    </row>
    <row r="103" spans="1:15" x14ac:dyDescent="0.35">
      <c r="A103">
        <v>10349</v>
      </c>
      <c r="B103" s="1" t="s">
        <v>619</v>
      </c>
      <c r="C103">
        <v>7</v>
      </c>
      <c r="D103" s="2">
        <v>34677</v>
      </c>
      <c r="E103" s="2">
        <v>34705</v>
      </c>
      <c r="F103" s="2">
        <v>34684</v>
      </c>
      <c r="G103">
        <v>1</v>
      </c>
      <c r="H103">
        <v>8.6300000000000008</v>
      </c>
      <c r="I103" s="1" t="s">
        <v>620</v>
      </c>
      <c r="J103" s="1" t="s">
        <v>622</v>
      </c>
      <c r="K103" s="1" t="s">
        <v>623</v>
      </c>
      <c r="L103" s="1" t="s">
        <v>624</v>
      </c>
      <c r="M103" s="1" t="s">
        <v>625</v>
      </c>
      <c r="N103" s="1" t="s">
        <v>292</v>
      </c>
      <c r="O103" s="1">
        <f>MONTH(orders[[#This Row],[OrderDate]])</f>
        <v>12</v>
      </c>
    </row>
    <row r="104" spans="1:15" x14ac:dyDescent="0.35">
      <c r="A104">
        <v>10350</v>
      </c>
      <c r="B104" s="1" t="s">
        <v>360</v>
      </c>
      <c r="C104">
        <v>6</v>
      </c>
      <c r="D104" s="2">
        <v>34680</v>
      </c>
      <c r="E104" s="2">
        <v>34708</v>
      </c>
      <c r="F104" s="2">
        <v>34702</v>
      </c>
      <c r="G104">
        <v>2</v>
      </c>
      <c r="H104">
        <v>64.19</v>
      </c>
      <c r="I104" s="1" t="s">
        <v>361</v>
      </c>
      <c r="J104" s="1" t="s">
        <v>363</v>
      </c>
      <c r="K104" s="1" t="s">
        <v>364</v>
      </c>
      <c r="L104" s="1" t="s">
        <v>1195</v>
      </c>
      <c r="M104" s="1" t="s">
        <v>365</v>
      </c>
      <c r="N104" s="1" t="s">
        <v>91</v>
      </c>
      <c r="O104" s="1">
        <f>MONTH(orders[[#This Row],[OrderDate]])</f>
        <v>12</v>
      </c>
    </row>
    <row r="105" spans="1:15" x14ac:dyDescent="0.35">
      <c r="A105">
        <v>10351</v>
      </c>
      <c r="B105" s="1" t="s">
        <v>192</v>
      </c>
      <c r="C105">
        <v>1</v>
      </c>
      <c r="D105" s="2">
        <v>34680</v>
      </c>
      <c r="E105" s="2">
        <v>34708</v>
      </c>
      <c r="F105" s="2">
        <v>34689</v>
      </c>
      <c r="G105">
        <v>1</v>
      </c>
      <c r="H105">
        <v>162.33000000000001</v>
      </c>
      <c r="I105" s="1" t="s">
        <v>193</v>
      </c>
      <c r="J105" s="1" t="s">
        <v>196</v>
      </c>
      <c r="K105" s="1" t="s">
        <v>197</v>
      </c>
      <c r="L105" s="1" t="s">
        <v>1195</v>
      </c>
      <c r="M105" s="1" t="s">
        <v>198</v>
      </c>
      <c r="N105" s="1" t="s">
        <v>199</v>
      </c>
      <c r="O105" s="1">
        <f>MONTH(orders[[#This Row],[OrderDate]])</f>
        <v>12</v>
      </c>
    </row>
    <row r="106" spans="1:15" x14ac:dyDescent="0.35">
      <c r="A106">
        <v>10352</v>
      </c>
      <c r="B106" s="1" t="s">
        <v>255</v>
      </c>
      <c r="C106">
        <v>3</v>
      </c>
      <c r="D106" s="2">
        <v>34681</v>
      </c>
      <c r="E106" s="2">
        <v>34695</v>
      </c>
      <c r="F106" s="2">
        <v>34687</v>
      </c>
      <c r="G106">
        <v>3</v>
      </c>
      <c r="H106">
        <v>1.3</v>
      </c>
      <c r="I106" s="1" t="s">
        <v>256</v>
      </c>
      <c r="J106" s="1" t="s">
        <v>257</v>
      </c>
      <c r="K106" s="1" t="s">
        <v>258</v>
      </c>
      <c r="L106" s="1" t="s">
        <v>1195</v>
      </c>
      <c r="M106" s="1" t="s">
        <v>259</v>
      </c>
      <c r="N106" s="1" t="s">
        <v>260</v>
      </c>
      <c r="O106" s="1">
        <f>MONTH(orders[[#This Row],[OrderDate]])</f>
        <v>12</v>
      </c>
    </row>
    <row r="107" spans="1:15" x14ac:dyDescent="0.35">
      <c r="A107">
        <v>10353</v>
      </c>
      <c r="B107" s="1" t="s">
        <v>501</v>
      </c>
      <c r="C107">
        <v>7</v>
      </c>
      <c r="D107" s="2">
        <v>34682</v>
      </c>
      <c r="E107" s="2">
        <v>34710</v>
      </c>
      <c r="F107" s="2">
        <v>34694</v>
      </c>
      <c r="G107">
        <v>3</v>
      </c>
      <c r="H107">
        <v>360.63</v>
      </c>
      <c r="I107" s="1" t="s">
        <v>502</v>
      </c>
      <c r="J107" s="1" t="s">
        <v>504</v>
      </c>
      <c r="K107" s="1" t="s">
        <v>505</v>
      </c>
      <c r="L107" s="1" t="s">
        <v>1195</v>
      </c>
      <c r="M107" s="1" t="s">
        <v>506</v>
      </c>
      <c r="N107" s="1" t="s">
        <v>199</v>
      </c>
      <c r="O107" s="1">
        <f>MONTH(orders[[#This Row],[OrderDate]])</f>
        <v>12</v>
      </c>
    </row>
    <row r="108" spans="1:15" x14ac:dyDescent="0.35">
      <c r="A108">
        <v>10354</v>
      </c>
      <c r="B108" s="1" t="s">
        <v>494</v>
      </c>
      <c r="C108">
        <v>8</v>
      </c>
      <c r="D108" s="2">
        <v>34683</v>
      </c>
      <c r="E108" s="2">
        <v>34711</v>
      </c>
      <c r="F108" s="2">
        <v>34689</v>
      </c>
      <c r="G108">
        <v>3</v>
      </c>
      <c r="H108">
        <v>53.8</v>
      </c>
      <c r="I108" s="1" t="s">
        <v>495</v>
      </c>
      <c r="J108" s="1" t="s">
        <v>497</v>
      </c>
      <c r="K108" s="1" t="s">
        <v>46</v>
      </c>
      <c r="L108" s="1" t="s">
        <v>1195</v>
      </c>
      <c r="M108" s="1" t="s">
        <v>498</v>
      </c>
      <c r="N108" s="1" t="s">
        <v>48</v>
      </c>
      <c r="O108" s="1">
        <f>MONTH(orders[[#This Row],[OrderDate]])</f>
        <v>12</v>
      </c>
    </row>
    <row r="109" spans="1:15" x14ac:dyDescent="0.35">
      <c r="A109">
        <v>10355</v>
      </c>
      <c r="B109" s="1" t="s">
        <v>57</v>
      </c>
      <c r="C109">
        <v>6</v>
      </c>
      <c r="D109" s="2">
        <v>34684</v>
      </c>
      <c r="E109" s="2">
        <v>34712</v>
      </c>
      <c r="F109" s="2">
        <v>34689</v>
      </c>
      <c r="G109">
        <v>1</v>
      </c>
      <c r="H109">
        <v>41.95</v>
      </c>
      <c r="I109" s="1" t="s">
        <v>58</v>
      </c>
      <c r="J109" s="1" t="s">
        <v>1210</v>
      </c>
      <c r="K109" s="1" t="s">
        <v>839</v>
      </c>
      <c r="L109" s="1" t="s">
        <v>840</v>
      </c>
      <c r="M109" s="1" t="s">
        <v>841</v>
      </c>
      <c r="N109" s="1" t="s">
        <v>63</v>
      </c>
      <c r="O109" s="1">
        <f>MONTH(orders[[#This Row],[OrderDate]])</f>
        <v>12</v>
      </c>
    </row>
    <row r="110" spans="1:15" x14ac:dyDescent="0.35">
      <c r="A110">
        <v>10356</v>
      </c>
      <c r="B110" s="1" t="s">
        <v>702</v>
      </c>
      <c r="C110">
        <v>6</v>
      </c>
      <c r="D110" s="2">
        <v>34687</v>
      </c>
      <c r="E110" s="2">
        <v>34715</v>
      </c>
      <c r="F110" s="2">
        <v>34696</v>
      </c>
      <c r="G110">
        <v>2</v>
      </c>
      <c r="H110">
        <v>36.71</v>
      </c>
      <c r="I110" s="1" t="s">
        <v>703</v>
      </c>
      <c r="J110" s="1" t="s">
        <v>705</v>
      </c>
      <c r="K110" s="1" t="s">
        <v>706</v>
      </c>
      <c r="L110" s="1" t="s">
        <v>1195</v>
      </c>
      <c r="M110" s="1" t="s">
        <v>707</v>
      </c>
      <c r="N110" s="1" t="s">
        <v>38</v>
      </c>
      <c r="O110" s="1">
        <f>MONTH(orders[[#This Row],[OrderDate]])</f>
        <v>12</v>
      </c>
    </row>
    <row r="111" spans="1:15" x14ac:dyDescent="0.35">
      <c r="A111">
        <v>10357</v>
      </c>
      <c r="B111" s="1" t="s">
        <v>399</v>
      </c>
      <c r="C111">
        <v>1</v>
      </c>
      <c r="D111" s="2">
        <v>34688</v>
      </c>
      <c r="E111" s="2">
        <v>34716</v>
      </c>
      <c r="F111" s="2">
        <v>34701</v>
      </c>
      <c r="G111">
        <v>3</v>
      </c>
      <c r="H111">
        <v>34.880000000000003</v>
      </c>
      <c r="I111" s="1" t="s">
        <v>400</v>
      </c>
      <c r="J111" s="1" t="s">
        <v>402</v>
      </c>
      <c r="K111" s="1" t="s">
        <v>403</v>
      </c>
      <c r="L111" s="1" t="s">
        <v>404</v>
      </c>
      <c r="M111" s="1" t="s">
        <v>405</v>
      </c>
      <c r="N111" s="1" t="s">
        <v>301</v>
      </c>
      <c r="O111" s="1">
        <f>MONTH(orders[[#This Row],[OrderDate]])</f>
        <v>12</v>
      </c>
    </row>
    <row r="112" spans="1:15" x14ac:dyDescent="0.35">
      <c r="A112">
        <v>10358</v>
      </c>
      <c r="B112" s="1" t="s">
        <v>360</v>
      </c>
      <c r="C112">
        <v>5</v>
      </c>
      <c r="D112" s="2">
        <v>34689</v>
      </c>
      <c r="E112" s="2">
        <v>34717</v>
      </c>
      <c r="F112" s="2">
        <v>34696</v>
      </c>
      <c r="G112">
        <v>1</v>
      </c>
      <c r="H112">
        <v>19.64</v>
      </c>
      <c r="I112" s="1" t="s">
        <v>361</v>
      </c>
      <c r="J112" s="1" t="s">
        <v>363</v>
      </c>
      <c r="K112" s="1" t="s">
        <v>364</v>
      </c>
      <c r="L112" s="1" t="s">
        <v>1195</v>
      </c>
      <c r="M112" s="1" t="s">
        <v>365</v>
      </c>
      <c r="N112" s="1" t="s">
        <v>91</v>
      </c>
      <c r="O112" s="1">
        <f>MONTH(orders[[#This Row],[OrderDate]])</f>
        <v>12</v>
      </c>
    </row>
    <row r="113" spans="1:15" x14ac:dyDescent="0.35">
      <c r="A113">
        <v>10359</v>
      </c>
      <c r="B113" s="1" t="s">
        <v>596</v>
      </c>
      <c r="C113">
        <v>5</v>
      </c>
      <c r="D113" s="2">
        <v>34690</v>
      </c>
      <c r="E113" s="2">
        <v>34718</v>
      </c>
      <c r="F113" s="2">
        <v>34695</v>
      </c>
      <c r="G113">
        <v>3</v>
      </c>
      <c r="H113">
        <v>288.43</v>
      </c>
      <c r="I113" s="1" t="s">
        <v>597</v>
      </c>
      <c r="J113" s="1" t="s">
        <v>599</v>
      </c>
      <c r="K113" s="1" t="s">
        <v>61</v>
      </c>
      <c r="L113" s="1" t="s">
        <v>1195</v>
      </c>
      <c r="M113" s="1" t="s">
        <v>600</v>
      </c>
      <c r="N113" s="1" t="s">
        <v>63</v>
      </c>
      <c r="O113" s="1">
        <f>MONTH(orders[[#This Row],[OrderDate]])</f>
        <v>12</v>
      </c>
    </row>
    <row r="114" spans="1:15" x14ac:dyDescent="0.35">
      <c r="A114">
        <v>10360</v>
      </c>
      <c r="B114" s="1" t="s">
        <v>84</v>
      </c>
      <c r="C114">
        <v>4</v>
      </c>
      <c r="D114" s="2">
        <v>34691</v>
      </c>
      <c r="E114" s="2">
        <v>34719</v>
      </c>
      <c r="F114" s="2">
        <v>34701</v>
      </c>
      <c r="G114">
        <v>3</v>
      </c>
      <c r="H114">
        <v>131.69999999999999</v>
      </c>
      <c r="I114" s="1" t="s">
        <v>85</v>
      </c>
      <c r="J114" s="1" t="s">
        <v>88</v>
      </c>
      <c r="K114" s="1" t="s">
        <v>89</v>
      </c>
      <c r="L114" s="1" t="s">
        <v>1195</v>
      </c>
      <c r="M114" s="1" t="s">
        <v>90</v>
      </c>
      <c r="N114" s="1" t="s">
        <v>91</v>
      </c>
      <c r="O114" s="1">
        <f>MONTH(orders[[#This Row],[OrderDate]])</f>
        <v>12</v>
      </c>
    </row>
    <row r="115" spans="1:15" x14ac:dyDescent="0.35">
      <c r="A115">
        <v>10361</v>
      </c>
      <c r="B115" s="1" t="s">
        <v>528</v>
      </c>
      <c r="C115">
        <v>1</v>
      </c>
      <c r="D115" s="2">
        <v>34691</v>
      </c>
      <c r="E115" s="2">
        <v>34719</v>
      </c>
      <c r="F115" s="2">
        <v>34702</v>
      </c>
      <c r="G115">
        <v>2</v>
      </c>
      <c r="H115">
        <v>183.17</v>
      </c>
      <c r="I115" s="1" t="s">
        <v>529</v>
      </c>
      <c r="J115" s="1" t="s">
        <v>531</v>
      </c>
      <c r="K115" s="1" t="s">
        <v>532</v>
      </c>
      <c r="L115" s="1" t="s">
        <v>1195</v>
      </c>
      <c r="M115" s="1" t="s">
        <v>533</v>
      </c>
      <c r="N115" s="1" t="s">
        <v>38</v>
      </c>
      <c r="O115" s="1">
        <f>MONTH(orders[[#This Row],[OrderDate]])</f>
        <v>12</v>
      </c>
    </row>
    <row r="116" spans="1:15" x14ac:dyDescent="0.35">
      <c r="A116">
        <v>10362</v>
      </c>
      <c r="B116" s="1" t="s">
        <v>103</v>
      </c>
      <c r="C116">
        <v>3</v>
      </c>
      <c r="D116" s="2">
        <v>34694</v>
      </c>
      <c r="E116" s="2">
        <v>34722</v>
      </c>
      <c r="F116" s="2">
        <v>34697</v>
      </c>
      <c r="G116">
        <v>1</v>
      </c>
      <c r="H116">
        <v>96.04</v>
      </c>
      <c r="I116" s="1" t="s">
        <v>104</v>
      </c>
      <c r="J116" s="1" t="s">
        <v>106</v>
      </c>
      <c r="K116" s="1" t="s">
        <v>107</v>
      </c>
      <c r="L116" s="1" t="s">
        <v>1195</v>
      </c>
      <c r="M116" s="1" t="s">
        <v>108</v>
      </c>
      <c r="N116" s="1" t="s">
        <v>91</v>
      </c>
      <c r="O116" s="1">
        <f>MONTH(orders[[#This Row],[OrderDate]])</f>
        <v>12</v>
      </c>
    </row>
    <row r="117" spans="1:15" x14ac:dyDescent="0.35">
      <c r="A117">
        <v>10363</v>
      </c>
      <c r="B117" s="1" t="s">
        <v>169</v>
      </c>
      <c r="C117">
        <v>4</v>
      </c>
      <c r="D117" s="2">
        <v>34695</v>
      </c>
      <c r="E117" s="2">
        <v>34723</v>
      </c>
      <c r="F117" s="2">
        <v>34703</v>
      </c>
      <c r="G117">
        <v>3</v>
      </c>
      <c r="H117">
        <v>30.54</v>
      </c>
      <c r="I117" s="1" t="s">
        <v>170</v>
      </c>
      <c r="J117" s="1" t="s">
        <v>172</v>
      </c>
      <c r="K117" s="1" t="s">
        <v>173</v>
      </c>
      <c r="L117" s="1" t="s">
        <v>1195</v>
      </c>
      <c r="M117" s="1" t="s">
        <v>174</v>
      </c>
      <c r="N117" s="1" t="s">
        <v>38</v>
      </c>
      <c r="O117" s="1">
        <f>MONTH(orders[[#This Row],[OrderDate]])</f>
        <v>12</v>
      </c>
    </row>
    <row r="118" spans="1:15" x14ac:dyDescent="0.35">
      <c r="A118">
        <v>10364</v>
      </c>
      <c r="B118" s="1" t="s">
        <v>185</v>
      </c>
      <c r="C118">
        <v>1</v>
      </c>
      <c r="D118" s="2">
        <v>34695</v>
      </c>
      <c r="E118" s="2">
        <v>34737</v>
      </c>
      <c r="F118" s="2">
        <v>34703</v>
      </c>
      <c r="G118">
        <v>1</v>
      </c>
      <c r="H118">
        <v>71.97</v>
      </c>
      <c r="I118" s="1" t="s">
        <v>186</v>
      </c>
      <c r="J118" s="1" t="s">
        <v>188</v>
      </c>
      <c r="K118" s="1" t="s">
        <v>61</v>
      </c>
      <c r="L118" s="1" t="s">
        <v>1195</v>
      </c>
      <c r="M118" s="1" t="s">
        <v>189</v>
      </c>
      <c r="N118" s="1" t="s">
        <v>63</v>
      </c>
      <c r="O118" s="1">
        <f>MONTH(orders[[#This Row],[OrderDate]])</f>
        <v>12</v>
      </c>
    </row>
    <row r="119" spans="1:15" x14ac:dyDescent="0.35">
      <c r="A119">
        <v>10365</v>
      </c>
      <c r="B119" s="1" t="s">
        <v>51</v>
      </c>
      <c r="C119">
        <v>3</v>
      </c>
      <c r="D119" s="2">
        <v>34696</v>
      </c>
      <c r="E119" s="2">
        <v>34724</v>
      </c>
      <c r="F119" s="2">
        <v>34701</v>
      </c>
      <c r="G119">
        <v>2</v>
      </c>
      <c r="H119">
        <v>22</v>
      </c>
      <c r="I119" s="1" t="s">
        <v>52</v>
      </c>
      <c r="J119" s="1" t="s">
        <v>54</v>
      </c>
      <c r="K119" s="1" t="s">
        <v>46</v>
      </c>
      <c r="L119" s="1" t="s">
        <v>1195</v>
      </c>
      <c r="M119" s="1" t="s">
        <v>55</v>
      </c>
      <c r="N119" s="1" t="s">
        <v>48</v>
      </c>
      <c r="O119" s="1">
        <f>MONTH(orders[[#This Row],[OrderDate]])</f>
        <v>12</v>
      </c>
    </row>
    <row r="120" spans="1:15" x14ac:dyDescent="0.35">
      <c r="A120">
        <v>10366</v>
      </c>
      <c r="B120" s="1" t="s">
        <v>263</v>
      </c>
      <c r="C120">
        <v>8</v>
      </c>
      <c r="D120" s="2">
        <v>34697</v>
      </c>
      <c r="E120" s="2">
        <v>34739</v>
      </c>
      <c r="F120" s="2">
        <v>34729</v>
      </c>
      <c r="G120">
        <v>2</v>
      </c>
      <c r="H120">
        <v>10.14</v>
      </c>
      <c r="I120" s="1" t="s">
        <v>842</v>
      </c>
      <c r="J120" s="1" t="s">
        <v>266</v>
      </c>
      <c r="K120" s="1" t="s">
        <v>267</v>
      </c>
      <c r="L120" s="1" t="s">
        <v>1195</v>
      </c>
      <c r="M120" s="1" t="s">
        <v>843</v>
      </c>
      <c r="N120" s="1" t="s">
        <v>100</v>
      </c>
      <c r="O120" s="1">
        <f>MONTH(orders[[#This Row],[OrderDate]])</f>
        <v>12</v>
      </c>
    </row>
    <row r="121" spans="1:15" x14ac:dyDescent="0.35">
      <c r="A121">
        <v>10367</v>
      </c>
      <c r="B121" s="1" t="s">
        <v>678</v>
      </c>
      <c r="C121">
        <v>7</v>
      </c>
      <c r="D121" s="2">
        <v>34697</v>
      </c>
      <c r="E121" s="2">
        <v>34725</v>
      </c>
      <c r="F121" s="2">
        <v>34701</v>
      </c>
      <c r="G121">
        <v>3</v>
      </c>
      <c r="H121">
        <v>13.55</v>
      </c>
      <c r="I121" s="1" t="s">
        <v>679</v>
      </c>
      <c r="J121" s="1" t="s">
        <v>681</v>
      </c>
      <c r="K121" s="1" t="s">
        <v>682</v>
      </c>
      <c r="L121" s="1" t="s">
        <v>1195</v>
      </c>
      <c r="M121" s="1" t="s">
        <v>683</v>
      </c>
      <c r="N121" s="1" t="s">
        <v>609</v>
      </c>
      <c r="O121" s="1">
        <f>MONTH(orders[[#This Row],[OrderDate]])</f>
        <v>12</v>
      </c>
    </row>
    <row r="122" spans="1:15" x14ac:dyDescent="0.35">
      <c r="A122">
        <v>10368</v>
      </c>
      <c r="B122" s="1" t="s">
        <v>192</v>
      </c>
      <c r="C122">
        <v>2</v>
      </c>
      <c r="D122" s="2">
        <v>34698</v>
      </c>
      <c r="E122" s="2">
        <v>34726</v>
      </c>
      <c r="F122" s="2">
        <v>34701</v>
      </c>
      <c r="G122">
        <v>2</v>
      </c>
      <c r="H122">
        <v>101.95</v>
      </c>
      <c r="I122" s="1" t="s">
        <v>193</v>
      </c>
      <c r="J122" s="1" t="s">
        <v>196</v>
      </c>
      <c r="K122" s="1" t="s">
        <v>197</v>
      </c>
      <c r="L122" s="1" t="s">
        <v>1195</v>
      </c>
      <c r="M122" s="1" t="s">
        <v>198</v>
      </c>
      <c r="N122" s="1" t="s">
        <v>199</v>
      </c>
      <c r="O122" s="1">
        <f>MONTH(orders[[#This Row],[OrderDate]])</f>
        <v>12</v>
      </c>
    </row>
    <row r="123" spans="1:15" x14ac:dyDescent="0.35">
      <c r="A123">
        <v>10369</v>
      </c>
      <c r="B123" s="1" t="s">
        <v>619</v>
      </c>
      <c r="C123">
        <v>8</v>
      </c>
      <c r="D123" s="2">
        <v>34701</v>
      </c>
      <c r="E123" s="2">
        <v>34729</v>
      </c>
      <c r="F123" s="2">
        <v>34708</v>
      </c>
      <c r="G123">
        <v>2</v>
      </c>
      <c r="H123">
        <v>195.68</v>
      </c>
      <c r="I123" s="1" t="s">
        <v>620</v>
      </c>
      <c r="J123" s="1" t="s">
        <v>622</v>
      </c>
      <c r="K123" s="1" t="s">
        <v>623</v>
      </c>
      <c r="L123" s="1" t="s">
        <v>624</v>
      </c>
      <c r="M123" s="1" t="s">
        <v>625</v>
      </c>
      <c r="N123" s="1" t="s">
        <v>292</v>
      </c>
      <c r="O123" s="1">
        <f>MONTH(orders[[#This Row],[OrderDate]])</f>
        <v>1</v>
      </c>
    </row>
    <row r="124" spans="1:15" x14ac:dyDescent="0.35">
      <c r="A124">
        <v>10370</v>
      </c>
      <c r="B124" s="1" t="s">
        <v>145</v>
      </c>
      <c r="C124">
        <v>6</v>
      </c>
      <c r="D124" s="2">
        <v>34702</v>
      </c>
      <c r="E124" s="2">
        <v>34730</v>
      </c>
      <c r="F124" s="2">
        <v>34726</v>
      </c>
      <c r="G124">
        <v>2</v>
      </c>
      <c r="H124">
        <v>1.17</v>
      </c>
      <c r="I124" s="1" t="s">
        <v>146</v>
      </c>
      <c r="J124" s="1" t="s">
        <v>834</v>
      </c>
      <c r="K124" s="1" t="s">
        <v>149</v>
      </c>
      <c r="L124" s="1" t="s">
        <v>1195</v>
      </c>
      <c r="M124" s="1" t="s">
        <v>150</v>
      </c>
      <c r="N124" s="1" t="s">
        <v>151</v>
      </c>
      <c r="O124" s="1">
        <f>MONTH(orders[[#This Row],[OrderDate]])</f>
        <v>1</v>
      </c>
    </row>
    <row r="125" spans="1:15" x14ac:dyDescent="0.35">
      <c r="A125">
        <v>10371</v>
      </c>
      <c r="B125" s="1" t="s">
        <v>360</v>
      </c>
      <c r="C125">
        <v>1</v>
      </c>
      <c r="D125" s="2">
        <v>34702</v>
      </c>
      <c r="E125" s="2">
        <v>34730</v>
      </c>
      <c r="F125" s="2">
        <v>34723</v>
      </c>
      <c r="G125">
        <v>1</v>
      </c>
      <c r="H125">
        <v>0.45</v>
      </c>
      <c r="I125" s="1" t="s">
        <v>361</v>
      </c>
      <c r="J125" s="1" t="s">
        <v>363</v>
      </c>
      <c r="K125" s="1" t="s">
        <v>364</v>
      </c>
      <c r="L125" s="1" t="s">
        <v>1195</v>
      </c>
      <c r="M125" s="1" t="s">
        <v>365</v>
      </c>
      <c r="N125" s="1" t="s">
        <v>91</v>
      </c>
      <c r="O125" s="1">
        <f>MONTH(orders[[#This Row],[OrderDate]])</f>
        <v>1</v>
      </c>
    </row>
    <row r="126" spans="1:15" x14ac:dyDescent="0.35">
      <c r="A126">
        <v>10372</v>
      </c>
      <c r="B126" s="1" t="s">
        <v>522</v>
      </c>
      <c r="C126">
        <v>5</v>
      </c>
      <c r="D126" s="2">
        <v>34703</v>
      </c>
      <c r="E126" s="2">
        <v>34731</v>
      </c>
      <c r="F126" s="2">
        <v>34708</v>
      </c>
      <c r="G126">
        <v>2</v>
      </c>
      <c r="H126">
        <v>890.78</v>
      </c>
      <c r="I126" s="1" t="s">
        <v>523</v>
      </c>
      <c r="J126" s="1" t="s">
        <v>525</v>
      </c>
      <c r="K126" s="1" t="s">
        <v>158</v>
      </c>
      <c r="L126" s="1" t="s">
        <v>159</v>
      </c>
      <c r="M126" s="1" t="s">
        <v>526</v>
      </c>
      <c r="N126" s="1" t="s">
        <v>161</v>
      </c>
      <c r="O126" s="1">
        <f>MONTH(orders[[#This Row],[OrderDate]])</f>
        <v>1</v>
      </c>
    </row>
    <row r="127" spans="1:15" x14ac:dyDescent="0.35">
      <c r="A127">
        <v>10373</v>
      </c>
      <c r="B127" s="1" t="s">
        <v>329</v>
      </c>
      <c r="C127">
        <v>4</v>
      </c>
      <c r="D127" s="2">
        <v>34704</v>
      </c>
      <c r="E127" s="2">
        <v>34732</v>
      </c>
      <c r="F127" s="2">
        <v>34710</v>
      </c>
      <c r="G127">
        <v>3</v>
      </c>
      <c r="H127">
        <v>124.12</v>
      </c>
      <c r="I127" s="1" t="s">
        <v>330</v>
      </c>
      <c r="J127" s="1" t="s">
        <v>332</v>
      </c>
      <c r="K127" s="1" t="s">
        <v>333</v>
      </c>
      <c r="L127" s="1" t="s">
        <v>334</v>
      </c>
      <c r="M127" s="1" t="s">
        <v>1195</v>
      </c>
      <c r="N127" s="1" t="s">
        <v>335</v>
      </c>
      <c r="O127" s="1">
        <f>MONTH(orders[[#This Row],[OrderDate]])</f>
        <v>1</v>
      </c>
    </row>
    <row r="128" spans="1:15" x14ac:dyDescent="0.35">
      <c r="A128">
        <v>10374</v>
      </c>
      <c r="B128" s="1" t="s">
        <v>740</v>
      </c>
      <c r="C128">
        <v>1</v>
      </c>
      <c r="D128" s="2">
        <v>34704</v>
      </c>
      <c r="E128" s="2">
        <v>34732</v>
      </c>
      <c r="F128" s="2">
        <v>34708</v>
      </c>
      <c r="G128">
        <v>3</v>
      </c>
      <c r="H128">
        <v>3.94</v>
      </c>
      <c r="I128" s="1" t="s">
        <v>844</v>
      </c>
      <c r="J128" s="1" t="s">
        <v>743</v>
      </c>
      <c r="K128" s="1" t="s">
        <v>744</v>
      </c>
      <c r="L128" s="1" t="s">
        <v>1195</v>
      </c>
      <c r="M128" s="1" t="s">
        <v>745</v>
      </c>
      <c r="N128" s="1" t="s">
        <v>746</v>
      </c>
      <c r="O128" s="1">
        <f>MONTH(orders[[#This Row],[OrderDate]])</f>
        <v>1</v>
      </c>
    </row>
    <row r="129" spans="1:15" x14ac:dyDescent="0.35">
      <c r="A129">
        <v>10375</v>
      </c>
      <c r="B129" s="1" t="s">
        <v>322</v>
      </c>
      <c r="C129">
        <v>3</v>
      </c>
      <c r="D129" s="2">
        <v>34705</v>
      </c>
      <c r="E129" s="2">
        <v>34733</v>
      </c>
      <c r="F129" s="2">
        <v>34708</v>
      </c>
      <c r="G129">
        <v>2</v>
      </c>
      <c r="H129">
        <v>20.12</v>
      </c>
      <c r="I129" s="1" t="s">
        <v>323</v>
      </c>
      <c r="J129" s="1" t="s">
        <v>1199</v>
      </c>
      <c r="K129" s="1" t="s">
        <v>325</v>
      </c>
      <c r="L129" s="1" t="s">
        <v>290</v>
      </c>
      <c r="M129" s="1" t="s">
        <v>326</v>
      </c>
      <c r="N129" s="1" t="s">
        <v>292</v>
      </c>
      <c r="O129" s="1">
        <f>MONTH(orders[[#This Row],[OrderDate]])</f>
        <v>1</v>
      </c>
    </row>
    <row r="130" spans="1:15" x14ac:dyDescent="0.35">
      <c r="A130">
        <v>10376</v>
      </c>
      <c r="B130" s="1" t="s">
        <v>442</v>
      </c>
      <c r="C130">
        <v>1</v>
      </c>
      <c r="D130" s="2">
        <v>34708</v>
      </c>
      <c r="E130" s="2">
        <v>34736</v>
      </c>
      <c r="F130" s="2">
        <v>34712</v>
      </c>
      <c r="G130">
        <v>2</v>
      </c>
      <c r="H130">
        <v>20.39</v>
      </c>
      <c r="I130" s="1" t="s">
        <v>443</v>
      </c>
      <c r="J130" s="1" t="s">
        <v>445</v>
      </c>
      <c r="K130" s="1" t="s">
        <v>446</v>
      </c>
      <c r="L130" s="1" t="s">
        <v>447</v>
      </c>
      <c r="M130" s="1" t="s">
        <v>448</v>
      </c>
      <c r="N130" s="1" t="s">
        <v>119</v>
      </c>
      <c r="O130" s="1">
        <f>MONTH(orders[[#This Row],[OrderDate]])</f>
        <v>1</v>
      </c>
    </row>
    <row r="131" spans="1:15" x14ac:dyDescent="0.35">
      <c r="A131">
        <v>10377</v>
      </c>
      <c r="B131" s="1" t="s">
        <v>596</v>
      </c>
      <c r="C131">
        <v>1</v>
      </c>
      <c r="D131" s="2">
        <v>34708</v>
      </c>
      <c r="E131" s="2">
        <v>34736</v>
      </c>
      <c r="F131" s="2">
        <v>34712</v>
      </c>
      <c r="G131">
        <v>3</v>
      </c>
      <c r="H131">
        <v>22.21</v>
      </c>
      <c r="I131" s="1" t="s">
        <v>597</v>
      </c>
      <c r="J131" s="1" t="s">
        <v>599</v>
      </c>
      <c r="K131" s="1" t="s">
        <v>61</v>
      </c>
      <c r="L131" s="1" t="s">
        <v>1195</v>
      </c>
      <c r="M131" s="1" t="s">
        <v>600</v>
      </c>
      <c r="N131" s="1" t="s">
        <v>63</v>
      </c>
      <c r="O131" s="1">
        <f>MONTH(orders[[#This Row],[OrderDate]])</f>
        <v>1</v>
      </c>
    </row>
    <row r="132" spans="1:15" x14ac:dyDescent="0.35">
      <c r="A132">
        <v>10378</v>
      </c>
      <c r="B132" s="1" t="s">
        <v>225</v>
      </c>
      <c r="C132">
        <v>5</v>
      </c>
      <c r="D132" s="2">
        <v>34709</v>
      </c>
      <c r="E132" s="2">
        <v>34737</v>
      </c>
      <c r="F132" s="2">
        <v>34718</v>
      </c>
      <c r="G132">
        <v>3</v>
      </c>
      <c r="H132">
        <v>5.44</v>
      </c>
      <c r="I132" s="1" t="s">
        <v>226</v>
      </c>
      <c r="J132" s="1" t="s">
        <v>228</v>
      </c>
      <c r="K132" s="1" t="s">
        <v>229</v>
      </c>
      <c r="L132" s="1" t="s">
        <v>1195</v>
      </c>
      <c r="M132" s="1" t="s">
        <v>230</v>
      </c>
      <c r="N132" s="1" t="s">
        <v>73</v>
      </c>
      <c r="O132" s="1">
        <f>MONTH(orders[[#This Row],[OrderDate]])</f>
        <v>1</v>
      </c>
    </row>
    <row r="133" spans="1:15" x14ac:dyDescent="0.35">
      <c r="A133">
        <v>10379</v>
      </c>
      <c r="B133" s="1" t="s">
        <v>515</v>
      </c>
      <c r="C133">
        <v>2</v>
      </c>
      <c r="D133" s="2">
        <v>34710</v>
      </c>
      <c r="E133" s="2">
        <v>34738</v>
      </c>
      <c r="F133" s="2">
        <v>34712</v>
      </c>
      <c r="G133">
        <v>1</v>
      </c>
      <c r="H133">
        <v>45.03</v>
      </c>
      <c r="I133" s="1" t="s">
        <v>516</v>
      </c>
      <c r="J133" s="1" t="s">
        <v>518</v>
      </c>
      <c r="K133" s="1" t="s">
        <v>308</v>
      </c>
      <c r="L133" s="1" t="s">
        <v>309</v>
      </c>
      <c r="M133" s="1" t="s">
        <v>519</v>
      </c>
      <c r="N133" s="1" t="s">
        <v>161</v>
      </c>
      <c r="O133" s="1">
        <f>MONTH(orders[[#This Row],[OrderDate]])</f>
        <v>1</v>
      </c>
    </row>
    <row r="134" spans="1:15" x14ac:dyDescent="0.35">
      <c r="A134">
        <v>10380</v>
      </c>
      <c r="B134" s="1" t="s">
        <v>329</v>
      </c>
      <c r="C134">
        <v>8</v>
      </c>
      <c r="D134" s="2">
        <v>34711</v>
      </c>
      <c r="E134" s="2">
        <v>34739</v>
      </c>
      <c r="F134" s="2">
        <v>34746</v>
      </c>
      <c r="G134">
        <v>3</v>
      </c>
      <c r="H134">
        <v>35.03</v>
      </c>
      <c r="I134" s="1" t="s">
        <v>330</v>
      </c>
      <c r="J134" s="1" t="s">
        <v>332</v>
      </c>
      <c r="K134" s="1" t="s">
        <v>333</v>
      </c>
      <c r="L134" s="1" t="s">
        <v>334</v>
      </c>
      <c r="M134" s="1" t="s">
        <v>1195</v>
      </c>
      <c r="N134" s="1" t="s">
        <v>335</v>
      </c>
      <c r="O134" s="1">
        <f>MONTH(orders[[#This Row],[OrderDate]])</f>
        <v>1</v>
      </c>
    </row>
    <row r="135" spans="1:15" x14ac:dyDescent="0.35">
      <c r="A135">
        <v>10381</v>
      </c>
      <c r="B135" s="1" t="s">
        <v>399</v>
      </c>
      <c r="C135">
        <v>3</v>
      </c>
      <c r="D135" s="2">
        <v>34711</v>
      </c>
      <c r="E135" s="2">
        <v>34739</v>
      </c>
      <c r="F135" s="2">
        <v>34712</v>
      </c>
      <c r="G135">
        <v>3</v>
      </c>
      <c r="H135">
        <v>7.99</v>
      </c>
      <c r="I135" s="1" t="s">
        <v>400</v>
      </c>
      <c r="J135" s="1" t="s">
        <v>402</v>
      </c>
      <c r="K135" s="1" t="s">
        <v>403</v>
      </c>
      <c r="L135" s="1" t="s">
        <v>404</v>
      </c>
      <c r="M135" s="1" t="s">
        <v>405</v>
      </c>
      <c r="N135" s="1" t="s">
        <v>301</v>
      </c>
      <c r="O135" s="1">
        <f>MONTH(orders[[#This Row],[OrderDate]])</f>
        <v>1</v>
      </c>
    </row>
    <row r="136" spans="1:15" x14ac:dyDescent="0.35">
      <c r="A136">
        <v>10382</v>
      </c>
      <c r="B136" s="1" t="s">
        <v>192</v>
      </c>
      <c r="C136">
        <v>4</v>
      </c>
      <c r="D136" s="2">
        <v>34712</v>
      </c>
      <c r="E136" s="2">
        <v>34740</v>
      </c>
      <c r="F136" s="2">
        <v>34715</v>
      </c>
      <c r="G136">
        <v>1</v>
      </c>
      <c r="H136">
        <v>94.77</v>
      </c>
      <c r="I136" s="1" t="s">
        <v>193</v>
      </c>
      <c r="J136" s="1" t="s">
        <v>196</v>
      </c>
      <c r="K136" s="1" t="s">
        <v>197</v>
      </c>
      <c r="L136" s="1" t="s">
        <v>1195</v>
      </c>
      <c r="M136" s="1" t="s">
        <v>198</v>
      </c>
      <c r="N136" s="1" t="s">
        <v>199</v>
      </c>
      <c r="O136" s="1">
        <f>MONTH(orders[[#This Row],[OrderDate]])</f>
        <v>1</v>
      </c>
    </row>
    <row r="137" spans="1:15" x14ac:dyDescent="0.35">
      <c r="A137">
        <v>10383</v>
      </c>
      <c r="B137" s="1" t="s">
        <v>57</v>
      </c>
      <c r="C137">
        <v>8</v>
      </c>
      <c r="D137" s="2">
        <v>34715</v>
      </c>
      <c r="E137" s="2">
        <v>34743</v>
      </c>
      <c r="F137" s="2">
        <v>34717</v>
      </c>
      <c r="G137">
        <v>3</v>
      </c>
      <c r="H137">
        <v>34.24</v>
      </c>
      <c r="I137" s="1" t="s">
        <v>58</v>
      </c>
      <c r="J137" s="1" t="s">
        <v>1210</v>
      </c>
      <c r="K137" s="1" t="s">
        <v>839</v>
      </c>
      <c r="L137" s="1" t="s">
        <v>840</v>
      </c>
      <c r="M137" s="1" t="s">
        <v>841</v>
      </c>
      <c r="N137" s="1" t="s">
        <v>63</v>
      </c>
      <c r="O137" s="1">
        <f>MONTH(orders[[#This Row],[OrderDate]])</f>
        <v>1</v>
      </c>
    </row>
    <row r="138" spans="1:15" x14ac:dyDescent="0.35">
      <c r="A138">
        <v>10384</v>
      </c>
      <c r="B138" s="1" t="s">
        <v>66</v>
      </c>
      <c r="C138">
        <v>3</v>
      </c>
      <c r="D138" s="2">
        <v>34715</v>
      </c>
      <c r="E138" s="2">
        <v>34743</v>
      </c>
      <c r="F138" s="2">
        <v>34719</v>
      </c>
      <c r="G138">
        <v>3</v>
      </c>
      <c r="H138">
        <v>168.64</v>
      </c>
      <c r="I138" s="1" t="s">
        <v>67</v>
      </c>
      <c r="J138" s="1" t="s">
        <v>70</v>
      </c>
      <c r="K138" s="1" t="s">
        <v>71</v>
      </c>
      <c r="L138" s="1" t="s">
        <v>1195</v>
      </c>
      <c r="M138" s="1" t="s">
        <v>72</v>
      </c>
      <c r="N138" s="1" t="s">
        <v>73</v>
      </c>
      <c r="O138" s="1">
        <f>MONTH(orders[[#This Row],[OrderDate]])</f>
        <v>1</v>
      </c>
    </row>
    <row r="139" spans="1:15" x14ac:dyDescent="0.35">
      <c r="A139">
        <v>10385</v>
      </c>
      <c r="B139" s="1" t="s">
        <v>619</v>
      </c>
      <c r="C139">
        <v>1</v>
      </c>
      <c r="D139" s="2">
        <v>34716</v>
      </c>
      <c r="E139" s="2">
        <v>34744</v>
      </c>
      <c r="F139" s="2">
        <v>34722</v>
      </c>
      <c r="G139">
        <v>2</v>
      </c>
      <c r="H139">
        <v>30.96</v>
      </c>
      <c r="I139" s="1" t="s">
        <v>620</v>
      </c>
      <c r="J139" s="1" t="s">
        <v>622</v>
      </c>
      <c r="K139" s="1" t="s">
        <v>623</v>
      </c>
      <c r="L139" s="1" t="s">
        <v>624</v>
      </c>
      <c r="M139" s="1" t="s">
        <v>625</v>
      </c>
      <c r="N139" s="1" t="s">
        <v>292</v>
      </c>
      <c r="O139" s="1">
        <f>MONTH(orders[[#This Row],[OrderDate]])</f>
        <v>1</v>
      </c>
    </row>
    <row r="140" spans="1:15" x14ac:dyDescent="0.35">
      <c r="A140">
        <v>10386</v>
      </c>
      <c r="B140" s="1" t="s">
        <v>202</v>
      </c>
      <c r="C140">
        <v>9</v>
      </c>
      <c r="D140" s="2">
        <v>34717</v>
      </c>
      <c r="E140" s="2">
        <v>34731</v>
      </c>
      <c r="F140" s="2">
        <v>34724</v>
      </c>
      <c r="G140">
        <v>3</v>
      </c>
      <c r="H140">
        <v>13.99</v>
      </c>
      <c r="I140" s="1" t="s">
        <v>203</v>
      </c>
      <c r="J140" s="1" t="s">
        <v>206</v>
      </c>
      <c r="K140" s="1" t="s">
        <v>158</v>
      </c>
      <c r="L140" s="1" t="s">
        <v>159</v>
      </c>
      <c r="M140" s="1" t="s">
        <v>207</v>
      </c>
      <c r="N140" s="1" t="s">
        <v>161</v>
      </c>
      <c r="O140" s="1">
        <f>MONTH(orders[[#This Row],[OrderDate]])</f>
        <v>1</v>
      </c>
    </row>
    <row r="141" spans="1:15" x14ac:dyDescent="0.35">
      <c r="A141">
        <v>10387</v>
      </c>
      <c r="B141" s="1" t="s">
        <v>579</v>
      </c>
      <c r="C141">
        <v>1</v>
      </c>
      <c r="D141" s="2">
        <v>34717</v>
      </c>
      <c r="E141" s="2">
        <v>34745</v>
      </c>
      <c r="F141" s="2">
        <v>34719</v>
      </c>
      <c r="G141">
        <v>2</v>
      </c>
      <c r="H141">
        <v>93.63</v>
      </c>
      <c r="I141" s="1" t="s">
        <v>580</v>
      </c>
      <c r="J141" s="1" t="s">
        <v>582</v>
      </c>
      <c r="K141" s="1" t="s">
        <v>583</v>
      </c>
      <c r="L141" s="1" t="s">
        <v>1195</v>
      </c>
      <c r="M141" s="1" t="s">
        <v>584</v>
      </c>
      <c r="N141" s="1" t="s">
        <v>585</v>
      </c>
      <c r="O141" s="1">
        <f>MONTH(orders[[#This Row],[OrderDate]])</f>
        <v>1</v>
      </c>
    </row>
    <row r="142" spans="1:15" x14ac:dyDescent="0.35">
      <c r="A142">
        <v>10388</v>
      </c>
      <c r="B142" s="1" t="s">
        <v>596</v>
      </c>
      <c r="C142">
        <v>2</v>
      </c>
      <c r="D142" s="2">
        <v>34718</v>
      </c>
      <c r="E142" s="2">
        <v>34746</v>
      </c>
      <c r="F142" s="2">
        <v>34719</v>
      </c>
      <c r="G142">
        <v>1</v>
      </c>
      <c r="H142">
        <v>34.86</v>
      </c>
      <c r="I142" s="1" t="s">
        <v>597</v>
      </c>
      <c r="J142" s="1" t="s">
        <v>599</v>
      </c>
      <c r="K142" s="1" t="s">
        <v>61</v>
      </c>
      <c r="L142" s="1" t="s">
        <v>1195</v>
      </c>
      <c r="M142" s="1" t="s">
        <v>600</v>
      </c>
      <c r="N142" s="1" t="s">
        <v>63</v>
      </c>
      <c r="O142" s="1">
        <f>MONTH(orders[[#This Row],[OrderDate]])</f>
        <v>1</v>
      </c>
    </row>
    <row r="143" spans="1:15" x14ac:dyDescent="0.35">
      <c r="A143">
        <v>10389</v>
      </c>
      <c r="B143" s="1" t="s">
        <v>111</v>
      </c>
      <c r="C143">
        <v>4</v>
      </c>
      <c r="D143" s="2">
        <v>34719</v>
      </c>
      <c r="E143" s="2">
        <v>34747</v>
      </c>
      <c r="F143" s="2">
        <v>34723</v>
      </c>
      <c r="G143">
        <v>2</v>
      </c>
      <c r="H143">
        <v>47.42</v>
      </c>
      <c r="I143" s="1" t="s">
        <v>112</v>
      </c>
      <c r="J143" s="1" t="s">
        <v>115</v>
      </c>
      <c r="K143" s="1" t="s">
        <v>116</v>
      </c>
      <c r="L143" s="1" t="s">
        <v>117</v>
      </c>
      <c r="M143" s="1" t="s">
        <v>118</v>
      </c>
      <c r="N143" s="1" t="s">
        <v>119</v>
      </c>
      <c r="O143" s="1">
        <f>MONTH(orders[[#This Row],[OrderDate]])</f>
        <v>1</v>
      </c>
    </row>
    <row r="144" spans="1:15" x14ac:dyDescent="0.35">
      <c r="A144">
        <v>10390</v>
      </c>
      <c r="B144" s="1" t="s">
        <v>192</v>
      </c>
      <c r="C144">
        <v>6</v>
      </c>
      <c r="D144" s="2">
        <v>34722</v>
      </c>
      <c r="E144" s="2">
        <v>34750</v>
      </c>
      <c r="F144" s="2">
        <v>34725</v>
      </c>
      <c r="G144">
        <v>1</v>
      </c>
      <c r="H144">
        <v>126.38</v>
      </c>
      <c r="I144" s="1" t="s">
        <v>193</v>
      </c>
      <c r="J144" s="1" t="s">
        <v>196</v>
      </c>
      <c r="K144" s="1" t="s">
        <v>197</v>
      </c>
      <c r="L144" s="1" t="s">
        <v>1195</v>
      </c>
      <c r="M144" s="1" t="s">
        <v>198</v>
      </c>
      <c r="N144" s="1" t="s">
        <v>199</v>
      </c>
      <c r="O144" s="1">
        <f>MONTH(orders[[#This Row],[OrderDate]])</f>
        <v>1</v>
      </c>
    </row>
    <row r="145" spans="1:15" x14ac:dyDescent="0.35">
      <c r="A145">
        <v>10391</v>
      </c>
      <c r="B145" s="1" t="s">
        <v>169</v>
      </c>
      <c r="C145">
        <v>3</v>
      </c>
      <c r="D145" s="2">
        <v>34722</v>
      </c>
      <c r="E145" s="2">
        <v>34750</v>
      </c>
      <c r="F145" s="2">
        <v>34730</v>
      </c>
      <c r="G145">
        <v>3</v>
      </c>
      <c r="H145">
        <v>5.45</v>
      </c>
      <c r="I145" s="1" t="s">
        <v>170</v>
      </c>
      <c r="J145" s="1" t="s">
        <v>172</v>
      </c>
      <c r="K145" s="1" t="s">
        <v>173</v>
      </c>
      <c r="L145" s="1" t="s">
        <v>1195</v>
      </c>
      <c r="M145" s="1" t="s">
        <v>174</v>
      </c>
      <c r="N145" s="1" t="s">
        <v>38</v>
      </c>
      <c r="O145" s="1">
        <f>MONTH(orders[[#This Row],[OrderDate]])</f>
        <v>1</v>
      </c>
    </row>
    <row r="146" spans="1:15" x14ac:dyDescent="0.35">
      <c r="A146">
        <v>10392</v>
      </c>
      <c r="B146" s="1" t="s">
        <v>501</v>
      </c>
      <c r="C146">
        <v>2</v>
      </c>
      <c r="D146" s="2">
        <v>34723</v>
      </c>
      <c r="E146" s="2">
        <v>34751</v>
      </c>
      <c r="F146" s="2">
        <v>34731</v>
      </c>
      <c r="G146">
        <v>3</v>
      </c>
      <c r="H146">
        <v>122.46</v>
      </c>
      <c r="I146" s="1" t="s">
        <v>502</v>
      </c>
      <c r="J146" s="1" t="s">
        <v>504</v>
      </c>
      <c r="K146" s="1" t="s">
        <v>505</v>
      </c>
      <c r="L146" s="1" t="s">
        <v>1195</v>
      </c>
      <c r="M146" s="1" t="s">
        <v>506</v>
      </c>
      <c r="N146" s="1" t="s">
        <v>199</v>
      </c>
      <c r="O146" s="1">
        <f>MONTH(orders[[#This Row],[OrderDate]])</f>
        <v>1</v>
      </c>
    </row>
    <row r="147" spans="1:15" x14ac:dyDescent="0.35">
      <c r="A147">
        <v>10393</v>
      </c>
      <c r="B147" s="1" t="s">
        <v>588</v>
      </c>
      <c r="C147">
        <v>1</v>
      </c>
      <c r="D147" s="2">
        <v>34724</v>
      </c>
      <c r="E147" s="2">
        <v>34752</v>
      </c>
      <c r="F147" s="2">
        <v>34733</v>
      </c>
      <c r="G147">
        <v>3</v>
      </c>
      <c r="H147">
        <v>126.56</v>
      </c>
      <c r="I147" s="1" t="s">
        <v>589</v>
      </c>
      <c r="J147" s="1" t="s">
        <v>591</v>
      </c>
      <c r="K147" s="1" t="s">
        <v>592</v>
      </c>
      <c r="L147" s="1" t="s">
        <v>593</v>
      </c>
      <c r="M147" s="1" t="s">
        <v>594</v>
      </c>
      <c r="N147" s="1" t="s">
        <v>292</v>
      </c>
      <c r="O147" s="1">
        <f>MONTH(orders[[#This Row],[OrderDate]])</f>
        <v>1</v>
      </c>
    </row>
    <row r="148" spans="1:15" x14ac:dyDescent="0.35">
      <c r="A148">
        <v>10394</v>
      </c>
      <c r="B148" s="1" t="s">
        <v>322</v>
      </c>
      <c r="C148">
        <v>1</v>
      </c>
      <c r="D148" s="2">
        <v>34724</v>
      </c>
      <c r="E148" s="2">
        <v>34752</v>
      </c>
      <c r="F148" s="2">
        <v>34733</v>
      </c>
      <c r="G148">
        <v>3</v>
      </c>
      <c r="H148">
        <v>30.34</v>
      </c>
      <c r="I148" s="1" t="s">
        <v>323</v>
      </c>
      <c r="J148" s="1" t="s">
        <v>1199</v>
      </c>
      <c r="K148" s="1" t="s">
        <v>325</v>
      </c>
      <c r="L148" s="1" t="s">
        <v>290</v>
      </c>
      <c r="M148" s="1" t="s">
        <v>326</v>
      </c>
      <c r="N148" s="1" t="s">
        <v>292</v>
      </c>
      <c r="O148" s="1">
        <f>MONTH(orders[[#This Row],[OrderDate]])</f>
        <v>1</v>
      </c>
    </row>
    <row r="149" spans="1:15" x14ac:dyDescent="0.35">
      <c r="A149">
        <v>10395</v>
      </c>
      <c r="B149" s="1" t="s">
        <v>313</v>
      </c>
      <c r="C149">
        <v>6</v>
      </c>
      <c r="D149" s="2">
        <v>34725</v>
      </c>
      <c r="E149" s="2">
        <v>34753</v>
      </c>
      <c r="F149" s="2">
        <v>34733</v>
      </c>
      <c r="G149">
        <v>1</v>
      </c>
      <c r="H149">
        <v>184.41</v>
      </c>
      <c r="I149" s="1" t="s">
        <v>314</v>
      </c>
      <c r="J149" s="1" t="s">
        <v>316</v>
      </c>
      <c r="K149" s="1" t="s">
        <v>317</v>
      </c>
      <c r="L149" s="1" t="s">
        <v>318</v>
      </c>
      <c r="M149" s="1" t="s">
        <v>319</v>
      </c>
      <c r="N149" s="1" t="s">
        <v>301</v>
      </c>
      <c r="O149" s="1">
        <f>MONTH(orders[[#This Row],[OrderDate]])</f>
        <v>1</v>
      </c>
    </row>
    <row r="150" spans="1:15" x14ac:dyDescent="0.35">
      <c r="A150">
        <v>10396</v>
      </c>
      <c r="B150" s="1" t="s">
        <v>232</v>
      </c>
      <c r="C150">
        <v>1</v>
      </c>
      <c r="D150" s="2">
        <v>34726</v>
      </c>
      <c r="E150" s="2">
        <v>34740</v>
      </c>
      <c r="F150" s="2">
        <v>34736</v>
      </c>
      <c r="G150">
        <v>3</v>
      </c>
      <c r="H150">
        <v>135.35</v>
      </c>
      <c r="I150" s="1" t="s">
        <v>233</v>
      </c>
      <c r="J150" s="1" t="s">
        <v>235</v>
      </c>
      <c r="K150" s="1" t="s">
        <v>236</v>
      </c>
      <c r="L150" s="1" t="s">
        <v>1195</v>
      </c>
      <c r="M150" s="1" t="s">
        <v>237</v>
      </c>
      <c r="N150" s="1" t="s">
        <v>38</v>
      </c>
      <c r="O150" s="1">
        <f>MONTH(orders[[#This Row],[OrderDate]])</f>
        <v>1</v>
      </c>
    </row>
    <row r="151" spans="1:15" x14ac:dyDescent="0.35">
      <c r="A151">
        <v>10397</v>
      </c>
      <c r="B151" s="1" t="s">
        <v>509</v>
      </c>
      <c r="C151">
        <v>5</v>
      </c>
      <c r="D151" s="2">
        <v>34726</v>
      </c>
      <c r="E151" s="2">
        <v>34754</v>
      </c>
      <c r="F151" s="2">
        <v>34732</v>
      </c>
      <c r="G151">
        <v>1</v>
      </c>
      <c r="H151">
        <v>60.26</v>
      </c>
      <c r="I151" s="1" t="s">
        <v>510</v>
      </c>
      <c r="J151" s="1" t="s">
        <v>512</v>
      </c>
      <c r="K151" s="1" t="s">
        <v>258</v>
      </c>
      <c r="L151" s="1" t="s">
        <v>1195</v>
      </c>
      <c r="M151" s="1" t="s">
        <v>513</v>
      </c>
      <c r="N151" s="1" t="s">
        <v>260</v>
      </c>
      <c r="O151" s="1">
        <f>MONTH(orders[[#This Row],[OrderDate]])</f>
        <v>1</v>
      </c>
    </row>
    <row r="152" spans="1:15" x14ac:dyDescent="0.35">
      <c r="A152">
        <v>10398</v>
      </c>
      <c r="B152" s="1" t="s">
        <v>588</v>
      </c>
      <c r="C152">
        <v>2</v>
      </c>
      <c r="D152" s="2">
        <v>34729</v>
      </c>
      <c r="E152" s="2">
        <v>34757</v>
      </c>
      <c r="F152" s="2">
        <v>34739</v>
      </c>
      <c r="G152">
        <v>3</v>
      </c>
      <c r="H152">
        <v>89.16</v>
      </c>
      <c r="I152" s="1" t="s">
        <v>589</v>
      </c>
      <c r="J152" s="1" t="s">
        <v>591</v>
      </c>
      <c r="K152" s="1" t="s">
        <v>592</v>
      </c>
      <c r="L152" s="1" t="s">
        <v>593</v>
      </c>
      <c r="M152" s="1" t="s">
        <v>594</v>
      </c>
      <c r="N152" s="1" t="s">
        <v>292</v>
      </c>
      <c r="O152" s="1">
        <f>MONTH(orders[[#This Row],[OrderDate]])</f>
        <v>1</v>
      </c>
    </row>
    <row r="153" spans="1:15" x14ac:dyDescent="0.35">
      <c r="A153">
        <v>10399</v>
      </c>
      <c r="B153" s="1" t="s">
        <v>678</v>
      </c>
      <c r="C153">
        <v>8</v>
      </c>
      <c r="D153" s="2">
        <v>34730</v>
      </c>
      <c r="E153" s="2">
        <v>34744</v>
      </c>
      <c r="F153" s="2">
        <v>34738</v>
      </c>
      <c r="G153">
        <v>3</v>
      </c>
      <c r="H153">
        <v>27.36</v>
      </c>
      <c r="I153" s="1" t="s">
        <v>679</v>
      </c>
      <c r="J153" s="1" t="s">
        <v>681</v>
      </c>
      <c r="K153" s="1" t="s">
        <v>682</v>
      </c>
      <c r="L153" s="1" t="s">
        <v>1195</v>
      </c>
      <c r="M153" s="1" t="s">
        <v>683</v>
      </c>
      <c r="N153" s="1" t="s">
        <v>609</v>
      </c>
      <c r="O153" s="1">
        <f>MONTH(orders[[#This Row],[OrderDate]])</f>
        <v>1</v>
      </c>
    </row>
    <row r="154" spans="1:15" x14ac:dyDescent="0.35">
      <c r="A154">
        <v>10400</v>
      </c>
      <c r="B154" s="1" t="s">
        <v>185</v>
      </c>
      <c r="C154">
        <v>1</v>
      </c>
      <c r="D154" s="2">
        <v>34731</v>
      </c>
      <c r="E154" s="2">
        <v>34759</v>
      </c>
      <c r="F154" s="2">
        <v>34746</v>
      </c>
      <c r="G154">
        <v>3</v>
      </c>
      <c r="H154">
        <v>83.93</v>
      </c>
      <c r="I154" s="1" t="s">
        <v>186</v>
      </c>
      <c r="J154" s="1" t="s">
        <v>188</v>
      </c>
      <c r="K154" s="1" t="s">
        <v>61</v>
      </c>
      <c r="L154" s="1" t="s">
        <v>1195</v>
      </c>
      <c r="M154" s="1" t="s">
        <v>189</v>
      </c>
      <c r="N154" s="1" t="s">
        <v>63</v>
      </c>
      <c r="O154" s="1">
        <f>MONTH(orders[[#This Row],[OrderDate]])</f>
        <v>2</v>
      </c>
    </row>
    <row r="155" spans="1:15" x14ac:dyDescent="0.35">
      <c r="A155">
        <v>10401</v>
      </c>
      <c r="B155" s="1" t="s">
        <v>541</v>
      </c>
      <c r="C155">
        <v>1</v>
      </c>
      <c r="D155" s="2">
        <v>34731</v>
      </c>
      <c r="E155" s="2">
        <v>34759</v>
      </c>
      <c r="F155" s="2">
        <v>34740</v>
      </c>
      <c r="G155">
        <v>1</v>
      </c>
      <c r="H155">
        <v>12.51</v>
      </c>
      <c r="I155" s="1" t="s">
        <v>542</v>
      </c>
      <c r="J155" s="1" t="s">
        <v>545</v>
      </c>
      <c r="K155" s="1" t="s">
        <v>546</v>
      </c>
      <c r="L155" s="1" t="s">
        <v>547</v>
      </c>
      <c r="M155" s="1" t="s">
        <v>548</v>
      </c>
      <c r="N155" s="1" t="s">
        <v>292</v>
      </c>
      <c r="O155" s="1">
        <f>MONTH(orders[[#This Row],[OrderDate]])</f>
        <v>2</v>
      </c>
    </row>
    <row r="156" spans="1:15" x14ac:dyDescent="0.35">
      <c r="A156">
        <v>10402</v>
      </c>
      <c r="B156" s="1" t="s">
        <v>192</v>
      </c>
      <c r="C156">
        <v>8</v>
      </c>
      <c r="D156" s="2">
        <v>34732</v>
      </c>
      <c r="E156" s="2">
        <v>34774</v>
      </c>
      <c r="F156" s="2">
        <v>34740</v>
      </c>
      <c r="G156">
        <v>2</v>
      </c>
      <c r="H156">
        <v>67.88</v>
      </c>
      <c r="I156" s="1" t="s">
        <v>193</v>
      </c>
      <c r="J156" s="1" t="s">
        <v>196</v>
      </c>
      <c r="K156" s="1" t="s">
        <v>197</v>
      </c>
      <c r="L156" s="1" t="s">
        <v>1195</v>
      </c>
      <c r="M156" s="1" t="s">
        <v>198</v>
      </c>
      <c r="N156" s="1" t="s">
        <v>199</v>
      </c>
      <c r="O156" s="1">
        <f>MONTH(orders[[#This Row],[OrderDate]])</f>
        <v>2</v>
      </c>
    </row>
    <row r="157" spans="1:15" x14ac:dyDescent="0.35">
      <c r="A157">
        <v>10403</v>
      </c>
      <c r="B157" s="1" t="s">
        <v>192</v>
      </c>
      <c r="C157">
        <v>4</v>
      </c>
      <c r="D157" s="2">
        <v>34733</v>
      </c>
      <c r="E157" s="2">
        <v>34761</v>
      </c>
      <c r="F157" s="2">
        <v>34739</v>
      </c>
      <c r="G157">
        <v>3</v>
      </c>
      <c r="H157">
        <v>73.790000000000006</v>
      </c>
      <c r="I157" s="1" t="s">
        <v>193</v>
      </c>
      <c r="J157" s="1" t="s">
        <v>196</v>
      </c>
      <c r="K157" s="1" t="s">
        <v>197</v>
      </c>
      <c r="L157" s="1" t="s">
        <v>1195</v>
      </c>
      <c r="M157" s="1" t="s">
        <v>198</v>
      </c>
      <c r="N157" s="1" t="s">
        <v>199</v>
      </c>
      <c r="O157" s="1">
        <f>MONTH(orders[[#This Row],[OrderDate]])</f>
        <v>2</v>
      </c>
    </row>
    <row r="158" spans="1:15" x14ac:dyDescent="0.35">
      <c r="A158">
        <v>10404</v>
      </c>
      <c r="B158" s="1" t="s">
        <v>425</v>
      </c>
      <c r="C158">
        <v>2</v>
      </c>
      <c r="D158" s="2">
        <v>34733</v>
      </c>
      <c r="E158" s="2">
        <v>34761</v>
      </c>
      <c r="F158" s="2">
        <v>34738</v>
      </c>
      <c r="G158">
        <v>1</v>
      </c>
      <c r="H158">
        <v>155.97</v>
      </c>
      <c r="I158" s="1" t="s">
        <v>426</v>
      </c>
      <c r="J158" s="1" t="s">
        <v>428</v>
      </c>
      <c r="K158" s="1" t="s">
        <v>429</v>
      </c>
      <c r="L158" s="1" t="s">
        <v>1195</v>
      </c>
      <c r="M158" s="1" t="s">
        <v>430</v>
      </c>
      <c r="N158" s="1" t="s">
        <v>252</v>
      </c>
      <c r="O158" s="1">
        <f>MONTH(orders[[#This Row],[OrderDate]])</f>
        <v>2</v>
      </c>
    </row>
    <row r="159" spans="1:15" x14ac:dyDescent="0.35">
      <c r="A159">
        <v>10405</v>
      </c>
      <c r="B159" s="1" t="s">
        <v>408</v>
      </c>
      <c r="C159">
        <v>1</v>
      </c>
      <c r="D159" s="2">
        <v>34736</v>
      </c>
      <c r="E159" s="2">
        <v>34764</v>
      </c>
      <c r="F159" s="2">
        <v>34752</v>
      </c>
      <c r="G159">
        <v>1</v>
      </c>
      <c r="H159">
        <v>34.82</v>
      </c>
      <c r="I159" s="1" t="s">
        <v>409</v>
      </c>
      <c r="J159" s="1" t="s">
        <v>411</v>
      </c>
      <c r="K159" s="1" t="s">
        <v>412</v>
      </c>
      <c r="L159" s="1" t="s">
        <v>413</v>
      </c>
      <c r="M159" s="1" t="s">
        <v>414</v>
      </c>
      <c r="N159" s="1" t="s">
        <v>301</v>
      </c>
      <c r="O159" s="1">
        <f>MONTH(orders[[#This Row],[OrderDate]])</f>
        <v>2</v>
      </c>
    </row>
    <row r="160" spans="1:15" x14ac:dyDescent="0.35">
      <c r="A160">
        <v>10406</v>
      </c>
      <c r="B160" s="1" t="s">
        <v>522</v>
      </c>
      <c r="C160">
        <v>7</v>
      </c>
      <c r="D160" s="2">
        <v>34737</v>
      </c>
      <c r="E160" s="2">
        <v>34779</v>
      </c>
      <c r="F160" s="2">
        <v>34743</v>
      </c>
      <c r="G160">
        <v>1</v>
      </c>
      <c r="H160">
        <v>108.04</v>
      </c>
      <c r="I160" s="1" t="s">
        <v>523</v>
      </c>
      <c r="J160" s="1" t="s">
        <v>525</v>
      </c>
      <c r="K160" s="1" t="s">
        <v>158</v>
      </c>
      <c r="L160" s="1" t="s">
        <v>159</v>
      </c>
      <c r="M160" s="1" t="s">
        <v>526</v>
      </c>
      <c r="N160" s="1" t="s">
        <v>161</v>
      </c>
      <c r="O160" s="1">
        <f>MONTH(orders[[#This Row],[OrderDate]])</f>
        <v>2</v>
      </c>
    </row>
    <row r="161" spans="1:15" x14ac:dyDescent="0.35">
      <c r="A161">
        <v>10407</v>
      </c>
      <c r="B161" s="1" t="s">
        <v>478</v>
      </c>
      <c r="C161">
        <v>2</v>
      </c>
      <c r="D161" s="2">
        <v>34737</v>
      </c>
      <c r="E161" s="2">
        <v>34765</v>
      </c>
      <c r="F161" s="2">
        <v>34760</v>
      </c>
      <c r="G161">
        <v>2</v>
      </c>
      <c r="H161">
        <v>91.48</v>
      </c>
      <c r="I161" s="1" t="s">
        <v>479</v>
      </c>
      <c r="J161" s="1" t="s">
        <v>481</v>
      </c>
      <c r="K161" s="1" t="s">
        <v>482</v>
      </c>
      <c r="L161" s="1" t="s">
        <v>1195</v>
      </c>
      <c r="M161" s="1" t="s">
        <v>483</v>
      </c>
      <c r="N161" s="1" t="s">
        <v>38</v>
      </c>
      <c r="O161" s="1">
        <f>MONTH(orders[[#This Row],[OrderDate]])</f>
        <v>2</v>
      </c>
    </row>
    <row r="162" spans="1:15" x14ac:dyDescent="0.35">
      <c r="A162">
        <v>10408</v>
      </c>
      <c r="B162" s="1" t="s">
        <v>216</v>
      </c>
      <c r="C162">
        <v>8</v>
      </c>
      <c r="D162" s="2">
        <v>34738</v>
      </c>
      <c r="E162" s="2">
        <v>34766</v>
      </c>
      <c r="F162" s="2">
        <v>34744</v>
      </c>
      <c r="G162">
        <v>1</v>
      </c>
      <c r="H162">
        <v>11.26</v>
      </c>
      <c r="I162" s="1" t="s">
        <v>217</v>
      </c>
      <c r="J162" s="1" t="s">
        <v>220</v>
      </c>
      <c r="K162" s="1" t="s">
        <v>221</v>
      </c>
      <c r="L162" s="1" t="s">
        <v>1195</v>
      </c>
      <c r="M162" s="1" t="s">
        <v>222</v>
      </c>
      <c r="N162" s="1" t="s">
        <v>91</v>
      </c>
      <c r="O162" s="1">
        <f>MONTH(orders[[#This Row],[OrderDate]])</f>
        <v>2</v>
      </c>
    </row>
    <row r="163" spans="1:15" x14ac:dyDescent="0.35">
      <c r="A163">
        <v>10409</v>
      </c>
      <c r="B163" s="1" t="s">
        <v>464</v>
      </c>
      <c r="C163">
        <v>3</v>
      </c>
      <c r="D163" s="2">
        <v>34739</v>
      </c>
      <c r="E163" s="2">
        <v>34767</v>
      </c>
      <c r="F163" s="2">
        <v>34744</v>
      </c>
      <c r="G163">
        <v>1</v>
      </c>
      <c r="H163">
        <v>29.83</v>
      </c>
      <c r="I163" s="1" t="s">
        <v>465</v>
      </c>
      <c r="J163" s="1" t="s">
        <v>1204</v>
      </c>
      <c r="K163" s="1" t="s">
        <v>133</v>
      </c>
      <c r="L163" s="1" t="s">
        <v>1195</v>
      </c>
      <c r="M163" s="1" t="s">
        <v>134</v>
      </c>
      <c r="N163" s="1" t="s">
        <v>135</v>
      </c>
      <c r="O163" s="1">
        <f>MONTH(orders[[#This Row],[OrderDate]])</f>
        <v>2</v>
      </c>
    </row>
    <row r="164" spans="1:15" x14ac:dyDescent="0.35">
      <c r="A164">
        <v>10410</v>
      </c>
      <c r="B164" s="1" t="s">
        <v>111</v>
      </c>
      <c r="C164">
        <v>3</v>
      </c>
      <c r="D164" s="2">
        <v>34740</v>
      </c>
      <c r="E164" s="2">
        <v>34768</v>
      </c>
      <c r="F164" s="2">
        <v>34745</v>
      </c>
      <c r="G164">
        <v>3</v>
      </c>
      <c r="H164">
        <v>2.4</v>
      </c>
      <c r="I164" s="1" t="s">
        <v>112</v>
      </c>
      <c r="J164" s="1" t="s">
        <v>115</v>
      </c>
      <c r="K164" s="1" t="s">
        <v>116</v>
      </c>
      <c r="L164" s="1" t="s">
        <v>117</v>
      </c>
      <c r="M164" s="1" t="s">
        <v>118</v>
      </c>
      <c r="N164" s="1" t="s">
        <v>119</v>
      </c>
      <c r="O164" s="1">
        <f>MONTH(orders[[#This Row],[OrderDate]])</f>
        <v>2</v>
      </c>
    </row>
    <row r="165" spans="1:15" x14ac:dyDescent="0.35">
      <c r="A165">
        <v>10411</v>
      </c>
      <c r="B165" s="1" t="s">
        <v>111</v>
      </c>
      <c r="C165">
        <v>9</v>
      </c>
      <c r="D165" s="2">
        <v>34740</v>
      </c>
      <c r="E165" s="2">
        <v>34768</v>
      </c>
      <c r="F165" s="2">
        <v>34751</v>
      </c>
      <c r="G165">
        <v>3</v>
      </c>
      <c r="H165">
        <v>23.65</v>
      </c>
      <c r="I165" s="1" t="s">
        <v>112</v>
      </c>
      <c r="J165" s="1" t="s">
        <v>115</v>
      </c>
      <c r="K165" s="1" t="s">
        <v>116</v>
      </c>
      <c r="L165" s="1" t="s">
        <v>117</v>
      </c>
      <c r="M165" s="1" t="s">
        <v>118</v>
      </c>
      <c r="N165" s="1" t="s">
        <v>119</v>
      </c>
      <c r="O165" s="1">
        <f>MONTH(orders[[#This Row],[OrderDate]])</f>
        <v>2</v>
      </c>
    </row>
    <row r="166" spans="1:15" x14ac:dyDescent="0.35">
      <c r="A166">
        <v>10412</v>
      </c>
      <c r="B166" s="1" t="s">
        <v>710</v>
      </c>
      <c r="C166">
        <v>8</v>
      </c>
      <c r="D166" s="2">
        <v>34743</v>
      </c>
      <c r="E166" s="2">
        <v>34771</v>
      </c>
      <c r="F166" s="2">
        <v>34745</v>
      </c>
      <c r="G166">
        <v>2</v>
      </c>
      <c r="H166">
        <v>3.77</v>
      </c>
      <c r="I166" s="1" t="s">
        <v>711</v>
      </c>
      <c r="J166" s="1" t="s">
        <v>713</v>
      </c>
      <c r="K166" s="1" t="s">
        <v>714</v>
      </c>
      <c r="L166" s="1" t="s">
        <v>1195</v>
      </c>
      <c r="M166" s="1" t="s">
        <v>715</v>
      </c>
      <c r="N166" s="1" t="s">
        <v>716</v>
      </c>
      <c r="O166" s="1">
        <f>MONTH(orders[[#This Row],[OrderDate]])</f>
        <v>2</v>
      </c>
    </row>
    <row r="167" spans="1:15" x14ac:dyDescent="0.35">
      <c r="A167">
        <v>10413</v>
      </c>
      <c r="B167" s="1" t="s">
        <v>360</v>
      </c>
      <c r="C167">
        <v>3</v>
      </c>
      <c r="D167" s="2">
        <v>34744</v>
      </c>
      <c r="E167" s="2">
        <v>34772</v>
      </c>
      <c r="F167" s="2">
        <v>34746</v>
      </c>
      <c r="G167">
        <v>2</v>
      </c>
      <c r="H167">
        <v>95.66</v>
      </c>
      <c r="I167" s="1" t="s">
        <v>361</v>
      </c>
      <c r="J167" s="1" t="s">
        <v>363</v>
      </c>
      <c r="K167" s="1" t="s">
        <v>364</v>
      </c>
      <c r="L167" s="1" t="s">
        <v>1195</v>
      </c>
      <c r="M167" s="1" t="s">
        <v>365</v>
      </c>
      <c r="N167" s="1" t="s">
        <v>91</v>
      </c>
      <c r="O167" s="1">
        <f>MONTH(orders[[#This Row],[OrderDate]])</f>
        <v>2</v>
      </c>
    </row>
    <row r="168" spans="1:15" x14ac:dyDescent="0.35">
      <c r="A168">
        <v>10414</v>
      </c>
      <c r="B168" s="1" t="s">
        <v>202</v>
      </c>
      <c r="C168">
        <v>2</v>
      </c>
      <c r="D168" s="2">
        <v>34744</v>
      </c>
      <c r="E168" s="2">
        <v>34772</v>
      </c>
      <c r="F168" s="2">
        <v>34747</v>
      </c>
      <c r="G168">
        <v>3</v>
      </c>
      <c r="H168">
        <v>21.48</v>
      </c>
      <c r="I168" s="1" t="s">
        <v>203</v>
      </c>
      <c r="J168" s="1" t="s">
        <v>206</v>
      </c>
      <c r="K168" s="1" t="s">
        <v>158</v>
      </c>
      <c r="L168" s="1" t="s">
        <v>159</v>
      </c>
      <c r="M168" s="1" t="s">
        <v>207</v>
      </c>
      <c r="N168" s="1" t="s">
        <v>161</v>
      </c>
      <c r="O168" s="1">
        <f>MONTH(orders[[#This Row],[OrderDate]])</f>
        <v>2</v>
      </c>
    </row>
    <row r="169" spans="1:15" x14ac:dyDescent="0.35">
      <c r="A169">
        <v>10415</v>
      </c>
      <c r="B169" s="1" t="s">
        <v>322</v>
      </c>
      <c r="C169">
        <v>3</v>
      </c>
      <c r="D169" s="2">
        <v>34745</v>
      </c>
      <c r="E169" s="2">
        <v>34773</v>
      </c>
      <c r="F169" s="2">
        <v>34754</v>
      </c>
      <c r="G169">
        <v>1</v>
      </c>
      <c r="H169">
        <v>0.2</v>
      </c>
      <c r="I169" s="1" t="s">
        <v>323</v>
      </c>
      <c r="J169" s="1" t="s">
        <v>1199</v>
      </c>
      <c r="K169" s="1" t="s">
        <v>325</v>
      </c>
      <c r="L169" s="1" t="s">
        <v>290</v>
      </c>
      <c r="M169" s="1" t="s">
        <v>326</v>
      </c>
      <c r="N169" s="1" t="s">
        <v>292</v>
      </c>
      <c r="O169" s="1">
        <f>MONTH(orders[[#This Row],[OrderDate]])</f>
        <v>2</v>
      </c>
    </row>
    <row r="170" spans="1:15" x14ac:dyDescent="0.35">
      <c r="A170">
        <v>10416</v>
      </c>
      <c r="B170" s="1" t="s">
        <v>710</v>
      </c>
      <c r="C170">
        <v>8</v>
      </c>
      <c r="D170" s="2">
        <v>34746</v>
      </c>
      <c r="E170" s="2">
        <v>34774</v>
      </c>
      <c r="F170" s="2">
        <v>34757</v>
      </c>
      <c r="G170">
        <v>3</v>
      </c>
      <c r="H170">
        <v>22.72</v>
      </c>
      <c r="I170" s="1" t="s">
        <v>711</v>
      </c>
      <c r="J170" s="1" t="s">
        <v>713</v>
      </c>
      <c r="K170" s="1" t="s">
        <v>714</v>
      </c>
      <c r="L170" s="1" t="s">
        <v>1195</v>
      </c>
      <c r="M170" s="1" t="s">
        <v>715</v>
      </c>
      <c r="N170" s="1" t="s">
        <v>716</v>
      </c>
      <c r="O170" s="1">
        <f>MONTH(orders[[#This Row],[OrderDate]])</f>
        <v>2</v>
      </c>
    </row>
    <row r="171" spans="1:15" x14ac:dyDescent="0.35">
      <c r="A171">
        <v>10417</v>
      </c>
      <c r="B171" s="1" t="s">
        <v>603</v>
      </c>
      <c r="C171">
        <v>4</v>
      </c>
      <c r="D171" s="2">
        <v>34746</v>
      </c>
      <c r="E171" s="2">
        <v>34774</v>
      </c>
      <c r="F171" s="2">
        <v>34758</v>
      </c>
      <c r="G171">
        <v>3</v>
      </c>
      <c r="H171">
        <v>70.290000000000006</v>
      </c>
      <c r="I171" s="1" t="s">
        <v>604</v>
      </c>
      <c r="J171" s="1" t="s">
        <v>606</v>
      </c>
      <c r="K171" s="1" t="s">
        <v>607</v>
      </c>
      <c r="L171" s="1" t="s">
        <v>1195</v>
      </c>
      <c r="M171" s="1" t="s">
        <v>608</v>
      </c>
      <c r="N171" s="1" t="s">
        <v>609</v>
      </c>
      <c r="O171" s="1">
        <f>MONTH(orders[[#This Row],[OrderDate]])</f>
        <v>2</v>
      </c>
    </row>
    <row r="172" spans="1:15" x14ac:dyDescent="0.35">
      <c r="A172">
        <v>10418</v>
      </c>
      <c r="B172" s="1" t="s">
        <v>528</v>
      </c>
      <c r="C172">
        <v>4</v>
      </c>
      <c r="D172" s="2">
        <v>34747</v>
      </c>
      <c r="E172" s="2">
        <v>34775</v>
      </c>
      <c r="F172" s="2">
        <v>34754</v>
      </c>
      <c r="G172">
        <v>1</v>
      </c>
      <c r="H172">
        <v>17.55</v>
      </c>
      <c r="I172" s="1" t="s">
        <v>529</v>
      </c>
      <c r="J172" s="1" t="s">
        <v>531</v>
      </c>
      <c r="K172" s="1" t="s">
        <v>532</v>
      </c>
      <c r="L172" s="1" t="s">
        <v>1195</v>
      </c>
      <c r="M172" s="1" t="s">
        <v>533</v>
      </c>
      <c r="N172" s="1" t="s">
        <v>38</v>
      </c>
      <c r="O172" s="1">
        <f>MONTH(orders[[#This Row],[OrderDate]])</f>
        <v>2</v>
      </c>
    </row>
    <row r="173" spans="1:15" x14ac:dyDescent="0.35">
      <c r="A173">
        <v>10419</v>
      </c>
      <c r="B173" s="1" t="s">
        <v>565</v>
      </c>
      <c r="C173">
        <v>4</v>
      </c>
      <c r="D173" s="2">
        <v>34750</v>
      </c>
      <c r="E173" s="2">
        <v>34778</v>
      </c>
      <c r="F173" s="2">
        <v>34760</v>
      </c>
      <c r="G173">
        <v>2</v>
      </c>
      <c r="H173">
        <v>137.35</v>
      </c>
      <c r="I173" s="1" t="s">
        <v>566</v>
      </c>
      <c r="J173" s="1" t="s">
        <v>835</v>
      </c>
      <c r="K173" s="1" t="s">
        <v>569</v>
      </c>
      <c r="L173" s="1" t="s">
        <v>1195</v>
      </c>
      <c r="M173" s="1" t="s">
        <v>836</v>
      </c>
      <c r="N173" s="1" t="s">
        <v>151</v>
      </c>
      <c r="O173" s="1">
        <f>MONTH(orders[[#This Row],[OrderDate]])</f>
        <v>2</v>
      </c>
    </row>
    <row r="174" spans="1:15" x14ac:dyDescent="0.35">
      <c r="A174">
        <v>10420</v>
      </c>
      <c r="B174" s="1" t="s">
        <v>718</v>
      </c>
      <c r="C174">
        <v>3</v>
      </c>
      <c r="D174" s="2">
        <v>34751</v>
      </c>
      <c r="E174" s="2">
        <v>34779</v>
      </c>
      <c r="F174" s="2">
        <v>34757</v>
      </c>
      <c r="G174">
        <v>1</v>
      </c>
      <c r="H174">
        <v>44.12</v>
      </c>
      <c r="I174" s="1" t="s">
        <v>719</v>
      </c>
      <c r="J174" s="1" t="s">
        <v>721</v>
      </c>
      <c r="K174" s="1" t="s">
        <v>722</v>
      </c>
      <c r="L174" s="1" t="s">
        <v>159</v>
      </c>
      <c r="M174" s="1" t="s">
        <v>723</v>
      </c>
      <c r="N174" s="1" t="s">
        <v>161</v>
      </c>
      <c r="O174" s="1">
        <f>MONTH(orders[[#This Row],[OrderDate]])</f>
        <v>2</v>
      </c>
    </row>
    <row r="175" spans="1:15" x14ac:dyDescent="0.35">
      <c r="A175">
        <v>10421</v>
      </c>
      <c r="B175" s="1" t="s">
        <v>515</v>
      </c>
      <c r="C175">
        <v>8</v>
      </c>
      <c r="D175" s="2">
        <v>34751</v>
      </c>
      <c r="E175" s="2">
        <v>34793</v>
      </c>
      <c r="F175" s="2">
        <v>34757</v>
      </c>
      <c r="G175">
        <v>1</v>
      </c>
      <c r="H175">
        <v>99.23</v>
      </c>
      <c r="I175" s="1" t="s">
        <v>516</v>
      </c>
      <c r="J175" s="1" t="s">
        <v>518</v>
      </c>
      <c r="K175" s="1" t="s">
        <v>308</v>
      </c>
      <c r="L175" s="1" t="s">
        <v>309</v>
      </c>
      <c r="M175" s="1" t="s">
        <v>519</v>
      </c>
      <c r="N175" s="1" t="s">
        <v>161</v>
      </c>
      <c r="O175" s="1">
        <f>MONTH(orders[[#This Row],[OrderDate]])</f>
        <v>2</v>
      </c>
    </row>
    <row r="176" spans="1:15" x14ac:dyDescent="0.35">
      <c r="A176">
        <v>10422</v>
      </c>
      <c r="B176" s="1" t="s">
        <v>246</v>
      </c>
      <c r="C176">
        <v>2</v>
      </c>
      <c r="D176" s="2">
        <v>34752</v>
      </c>
      <c r="E176" s="2">
        <v>34780</v>
      </c>
      <c r="F176" s="2">
        <v>34761</v>
      </c>
      <c r="G176">
        <v>1</v>
      </c>
      <c r="H176">
        <v>3.02</v>
      </c>
      <c r="I176" s="1" t="s">
        <v>247</v>
      </c>
      <c r="J176" s="1" t="s">
        <v>249</v>
      </c>
      <c r="K176" s="1" t="s">
        <v>250</v>
      </c>
      <c r="L176" s="1" t="s">
        <v>1195</v>
      </c>
      <c r="M176" s="1" t="s">
        <v>251</v>
      </c>
      <c r="N176" s="1" t="s">
        <v>252</v>
      </c>
      <c r="O176" s="1">
        <f>MONTH(orders[[#This Row],[OrderDate]])</f>
        <v>2</v>
      </c>
    </row>
    <row r="177" spans="1:15" x14ac:dyDescent="0.35">
      <c r="A177">
        <v>10423</v>
      </c>
      <c r="B177" s="1" t="s">
        <v>278</v>
      </c>
      <c r="C177">
        <v>6</v>
      </c>
      <c r="D177" s="2">
        <v>34753</v>
      </c>
      <c r="E177" s="2">
        <v>34767</v>
      </c>
      <c r="F177" s="2">
        <v>34785</v>
      </c>
      <c r="G177">
        <v>3</v>
      </c>
      <c r="H177">
        <v>24.5</v>
      </c>
      <c r="I177" s="1" t="s">
        <v>279</v>
      </c>
      <c r="J177" s="1" t="s">
        <v>281</v>
      </c>
      <c r="K177" s="1" t="s">
        <v>282</v>
      </c>
      <c r="L177" s="1" t="s">
        <v>159</v>
      </c>
      <c r="M177" s="1" t="s">
        <v>283</v>
      </c>
      <c r="N177" s="1" t="s">
        <v>161</v>
      </c>
      <c r="O177" s="1">
        <f>MONTH(orders[[#This Row],[OrderDate]])</f>
        <v>2</v>
      </c>
    </row>
    <row r="178" spans="1:15" x14ac:dyDescent="0.35">
      <c r="A178">
        <v>10424</v>
      </c>
      <c r="B178" s="1" t="s">
        <v>442</v>
      </c>
      <c r="C178">
        <v>7</v>
      </c>
      <c r="D178" s="2">
        <v>34753</v>
      </c>
      <c r="E178" s="2">
        <v>34781</v>
      </c>
      <c r="F178" s="2">
        <v>34757</v>
      </c>
      <c r="G178">
        <v>2</v>
      </c>
      <c r="H178">
        <v>370.61</v>
      </c>
      <c r="I178" s="1" t="s">
        <v>443</v>
      </c>
      <c r="J178" s="1" t="s">
        <v>445</v>
      </c>
      <c r="K178" s="1" t="s">
        <v>446</v>
      </c>
      <c r="L178" s="1" t="s">
        <v>447</v>
      </c>
      <c r="M178" s="1" t="s">
        <v>448</v>
      </c>
      <c r="N178" s="1" t="s">
        <v>119</v>
      </c>
      <c r="O178" s="1">
        <f>MONTH(orders[[#This Row],[OrderDate]])</f>
        <v>2</v>
      </c>
    </row>
    <row r="179" spans="1:15" x14ac:dyDescent="0.35">
      <c r="A179">
        <v>10425</v>
      </c>
      <c r="B179" s="1" t="s">
        <v>360</v>
      </c>
      <c r="C179">
        <v>6</v>
      </c>
      <c r="D179" s="2">
        <v>34754</v>
      </c>
      <c r="E179" s="2">
        <v>34782</v>
      </c>
      <c r="F179" s="2">
        <v>34775</v>
      </c>
      <c r="G179">
        <v>2</v>
      </c>
      <c r="H179">
        <v>7.93</v>
      </c>
      <c r="I179" s="1" t="s">
        <v>361</v>
      </c>
      <c r="J179" s="1" t="s">
        <v>363</v>
      </c>
      <c r="K179" s="1" t="s">
        <v>364</v>
      </c>
      <c r="L179" s="1" t="s">
        <v>1195</v>
      </c>
      <c r="M179" s="1" t="s">
        <v>365</v>
      </c>
      <c r="N179" s="1" t="s">
        <v>91</v>
      </c>
      <c r="O179" s="1">
        <f>MONTH(orders[[#This Row],[OrderDate]])</f>
        <v>2</v>
      </c>
    </row>
    <row r="180" spans="1:15" x14ac:dyDescent="0.35">
      <c r="A180">
        <v>10426</v>
      </c>
      <c r="B180" s="1" t="s">
        <v>263</v>
      </c>
      <c r="C180">
        <v>4</v>
      </c>
      <c r="D180" s="2">
        <v>34757</v>
      </c>
      <c r="E180" s="2">
        <v>34785</v>
      </c>
      <c r="F180" s="2">
        <v>34767</v>
      </c>
      <c r="G180">
        <v>1</v>
      </c>
      <c r="H180">
        <v>18.690000000000001</v>
      </c>
      <c r="I180" s="1" t="s">
        <v>842</v>
      </c>
      <c r="J180" s="1" t="s">
        <v>266</v>
      </c>
      <c r="K180" s="1" t="s">
        <v>267</v>
      </c>
      <c r="L180" s="1" t="s">
        <v>1195</v>
      </c>
      <c r="M180" s="1" t="s">
        <v>843</v>
      </c>
      <c r="N180" s="1" t="s">
        <v>100</v>
      </c>
      <c r="O180" s="1">
        <f>MONTH(orders[[#This Row],[OrderDate]])</f>
        <v>2</v>
      </c>
    </row>
    <row r="181" spans="1:15" x14ac:dyDescent="0.35">
      <c r="A181">
        <v>10427</v>
      </c>
      <c r="B181" s="1" t="s">
        <v>501</v>
      </c>
      <c r="C181">
        <v>4</v>
      </c>
      <c r="D181" s="2">
        <v>34757</v>
      </c>
      <c r="E181" s="2">
        <v>34785</v>
      </c>
      <c r="F181" s="2">
        <v>34792</v>
      </c>
      <c r="G181">
        <v>2</v>
      </c>
      <c r="H181">
        <v>31.29</v>
      </c>
      <c r="I181" s="1" t="s">
        <v>502</v>
      </c>
      <c r="J181" s="1" t="s">
        <v>504</v>
      </c>
      <c r="K181" s="1" t="s">
        <v>505</v>
      </c>
      <c r="L181" s="1" t="s">
        <v>1195</v>
      </c>
      <c r="M181" s="1" t="s">
        <v>506</v>
      </c>
      <c r="N181" s="1" t="s">
        <v>199</v>
      </c>
      <c r="O181" s="1">
        <f>MONTH(orders[[#This Row],[OrderDate]])</f>
        <v>2</v>
      </c>
    </row>
    <row r="182" spans="1:15" x14ac:dyDescent="0.35">
      <c r="A182">
        <v>10428</v>
      </c>
      <c r="B182" s="1" t="s">
        <v>551</v>
      </c>
      <c r="C182">
        <v>7</v>
      </c>
      <c r="D182" s="2">
        <v>34758</v>
      </c>
      <c r="E182" s="2">
        <v>34786</v>
      </c>
      <c r="F182" s="2">
        <v>34765</v>
      </c>
      <c r="G182">
        <v>1</v>
      </c>
      <c r="H182">
        <v>11.09</v>
      </c>
      <c r="I182" s="1" t="s">
        <v>552</v>
      </c>
      <c r="J182" s="1" t="s">
        <v>554</v>
      </c>
      <c r="K182" s="1" t="s">
        <v>555</v>
      </c>
      <c r="L182" s="1" t="s">
        <v>1195</v>
      </c>
      <c r="M182" s="1" t="s">
        <v>556</v>
      </c>
      <c r="N182" s="1" t="s">
        <v>252</v>
      </c>
      <c r="O182" s="1">
        <f>MONTH(orders[[#This Row],[OrderDate]])</f>
        <v>2</v>
      </c>
    </row>
    <row r="183" spans="1:15" x14ac:dyDescent="0.35">
      <c r="A183">
        <v>10429</v>
      </c>
      <c r="B183" s="1" t="s">
        <v>329</v>
      </c>
      <c r="C183">
        <v>3</v>
      </c>
      <c r="D183" s="2">
        <v>34759</v>
      </c>
      <c r="E183" s="2">
        <v>34801</v>
      </c>
      <c r="F183" s="2">
        <v>34768</v>
      </c>
      <c r="G183">
        <v>2</v>
      </c>
      <c r="H183">
        <v>56.63</v>
      </c>
      <c r="I183" s="1" t="s">
        <v>330</v>
      </c>
      <c r="J183" s="1" t="s">
        <v>332</v>
      </c>
      <c r="K183" s="1" t="s">
        <v>333</v>
      </c>
      <c r="L183" s="1" t="s">
        <v>334</v>
      </c>
      <c r="M183" s="1" t="s">
        <v>1195</v>
      </c>
      <c r="N183" s="1" t="s">
        <v>335</v>
      </c>
      <c r="O183" s="1">
        <f>MONTH(orders[[#This Row],[OrderDate]])</f>
        <v>3</v>
      </c>
    </row>
    <row r="184" spans="1:15" x14ac:dyDescent="0.35">
      <c r="A184">
        <v>10430</v>
      </c>
      <c r="B184" s="1" t="s">
        <v>192</v>
      </c>
      <c r="C184">
        <v>4</v>
      </c>
      <c r="D184" s="2">
        <v>34760</v>
      </c>
      <c r="E184" s="2">
        <v>34774</v>
      </c>
      <c r="F184" s="2">
        <v>34764</v>
      </c>
      <c r="G184">
        <v>1</v>
      </c>
      <c r="H184">
        <v>458.78</v>
      </c>
      <c r="I184" s="1" t="s">
        <v>193</v>
      </c>
      <c r="J184" s="1" t="s">
        <v>196</v>
      </c>
      <c r="K184" s="1" t="s">
        <v>197</v>
      </c>
      <c r="L184" s="1" t="s">
        <v>1195</v>
      </c>
      <c r="M184" s="1" t="s">
        <v>198</v>
      </c>
      <c r="N184" s="1" t="s">
        <v>199</v>
      </c>
      <c r="O184" s="1">
        <f>MONTH(orders[[#This Row],[OrderDate]])</f>
        <v>3</v>
      </c>
    </row>
    <row r="185" spans="1:15" x14ac:dyDescent="0.35">
      <c r="A185">
        <v>10431</v>
      </c>
      <c r="B185" s="1" t="s">
        <v>111</v>
      </c>
      <c r="C185">
        <v>4</v>
      </c>
      <c r="D185" s="2">
        <v>34760</v>
      </c>
      <c r="E185" s="2">
        <v>34774</v>
      </c>
      <c r="F185" s="2">
        <v>34768</v>
      </c>
      <c r="G185">
        <v>2</v>
      </c>
      <c r="H185">
        <v>44.17</v>
      </c>
      <c r="I185" s="1" t="s">
        <v>112</v>
      </c>
      <c r="J185" s="1" t="s">
        <v>115</v>
      </c>
      <c r="K185" s="1" t="s">
        <v>116</v>
      </c>
      <c r="L185" s="1" t="s">
        <v>117</v>
      </c>
      <c r="M185" s="1" t="s">
        <v>118</v>
      </c>
      <c r="N185" s="1" t="s">
        <v>119</v>
      </c>
      <c r="O185" s="1">
        <f>MONTH(orders[[#This Row],[OrderDate]])</f>
        <v>3</v>
      </c>
    </row>
    <row r="186" spans="1:15" x14ac:dyDescent="0.35">
      <c r="A186">
        <v>10432</v>
      </c>
      <c r="B186" s="1" t="s">
        <v>619</v>
      </c>
      <c r="C186">
        <v>3</v>
      </c>
      <c r="D186" s="2">
        <v>34761</v>
      </c>
      <c r="E186" s="2">
        <v>34775</v>
      </c>
      <c r="F186" s="2">
        <v>34768</v>
      </c>
      <c r="G186">
        <v>2</v>
      </c>
      <c r="H186">
        <v>4.34</v>
      </c>
      <c r="I186" s="1" t="s">
        <v>620</v>
      </c>
      <c r="J186" s="1" t="s">
        <v>622</v>
      </c>
      <c r="K186" s="1" t="s">
        <v>623</v>
      </c>
      <c r="L186" s="1" t="s">
        <v>624</v>
      </c>
      <c r="M186" s="1" t="s">
        <v>625</v>
      </c>
      <c r="N186" s="1" t="s">
        <v>292</v>
      </c>
      <c r="O186" s="1">
        <f>MONTH(orders[[#This Row],[OrderDate]])</f>
        <v>3</v>
      </c>
    </row>
    <row r="187" spans="1:15" x14ac:dyDescent="0.35">
      <c r="A187">
        <v>10433</v>
      </c>
      <c r="B187" s="1" t="s">
        <v>509</v>
      </c>
      <c r="C187">
        <v>3</v>
      </c>
      <c r="D187" s="2">
        <v>34764</v>
      </c>
      <c r="E187" s="2">
        <v>34792</v>
      </c>
      <c r="F187" s="2">
        <v>34793</v>
      </c>
      <c r="G187">
        <v>3</v>
      </c>
      <c r="H187">
        <v>73.83</v>
      </c>
      <c r="I187" s="1" t="s">
        <v>510</v>
      </c>
      <c r="J187" s="1" t="s">
        <v>512</v>
      </c>
      <c r="K187" s="1" t="s">
        <v>258</v>
      </c>
      <c r="L187" s="1" t="s">
        <v>1195</v>
      </c>
      <c r="M187" s="1" t="s">
        <v>513</v>
      </c>
      <c r="N187" s="1" t="s">
        <v>260</v>
      </c>
      <c r="O187" s="1">
        <f>MONTH(orders[[#This Row],[OrderDate]])</f>
        <v>3</v>
      </c>
    </row>
    <row r="188" spans="1:15" x14ac:dyDescent="0.35">
      <c r="A188">
        <v>10434</v>
      </c>
      <c r="B188" s="1" t="s">
        <v>225</v>
      </c>
      <c r="C188">
        <v>3</v>
      </c>
      <c r="D188" s="2">
        <v>34764</v>
      </c>
      <c r="E188" s="2">
        <v>34792</v>
      </c>
      <c r="F188" s="2">
        <v>34774</v>
      </c>
      <c r="G188">
        <v>2</v>
      </c>
      <c r="H188">
        <v>17.920000000000002</v>
      </c>
      <c r="I188" s="1" t="s">
        <v>226</v>
      </c>
      <c r="J188" s="1" t="s">
        <v>228</v>
      </c>
      <c r="K188" s="1" t="s">
        <v>229</v>
      </c>
      <c r="L188" s="1" t="s">
        <v>1195</v>
      </c>
      <c r="M188" s="1" t="s">
        <v>230</v>
      </c>
      <c r="N188" s="1" t="s">
        <v>73</v>
      </c>
      <c r="O188" s="1">
        <f>MONTH(orders[[#This Row],[OrderDate]])</f>
        <v>3</v>
      </c>
    </row>
    <row r="189" spans="1:15" x14ac:dyDescent="0.35">
      <c r="A189">
        <v>10435</v>
      </c>
      <c r="B189" s="1" t="s">
        <v>163</v>
      </c>
      <c r="C189">
        <v>8</v>
      </c>
      <c r="D189" s="2">
        <v>34765</v>
      </c>
      <c r="E189" s="2">
        <v>34807</v>
      </c>
      <c r="F189" s="2">
        <v>34768</v>
      </c>
      <c r="G189">
        <v>2</v>
      </c>
      <c r="H189">
        <v>9.2100000000000009</v>
      </c>
      <c r="I189" s="1" t="s">
        <v>164</v>
      </c>
      <c r="J189" s="1" t="s">
        <v>1197</v>
      </c>
      <c r="K189" s="1" t="s">
        <v>61</v>
      </c>
      <c r="L189" s="1" t="s">
        <v>1195</v>
      </c>
      <c r="M189" s="1" t="s">
        <v>166</v>
      </c>
      <c r="N189" s="1" t="s">
        <v>63</v>
      </c>
      <c r="O189" s="1">
        <f>MONTH(orders[[#This Row],[OrderDate]])</f>
        <v>3</v>
      </c>
    </row>
    <row r="190" spans="1:15" x14ac:dyDescent="0.35">
      <c r="A190">
        <v>10436</v>
      </c>
      <c r="B190" s="1" t="s">
        <v>84</v>
      </c>
      <c r="C190">
        <v>3</v>
      </c>
      <c r="D190" s="2">
        <v>34766</v>
      </c>
      <c r="E190" s="2">
        <v>34794</v>
      </c>
      <c r="F190" s="2">
        <v>34772</v>
      </c>
      <c r="G190">
        <v>2</v>
      </c>
      <c r="H190">
        <v>156.66</v>
      </c>
      <c r="I190" s="1" t="s">
        <v>85</v>
      </c>
      <c r="J190" s="1" t="s">
        <v>88</v>
      </c>
      <c r="K190" s="1" t="s">
        <v>89</v>
      </c>
      <c r="L190" s="1" t="s">
        <v>1195</v>
      </c>
      <c r="M190" s="1" t="s">
        <v>90</v>
      </c>
      <c r="N190" s="1" t="s">
        <v>91</v>
      </c>
      <c r="O190" s="1">
        <f>MONTH(orders[[#This Row],[OrderDate]])</f>
        <v>3</v>
      </c>
    </row>
    <row r="191" spans="1:15" x14ac:dyDescent="0.35">
      <c r="A191">
        <v>10437</v>
      </c>
      <c r="B191" s="1" t="s">
        <v>710</v>
      </c>
      <c r="C191">
        <v>8</v>
      </c>
      <c r="D191" s="2">
        <v>34766</v>
      </c>
      <c r="E191" s="2">
        <v>34794</v>
      </c>
      <c r="F191" s="2">
        <v>34773</v>
      </c>
      <c r="G191">
        <v>1</v>
      </c>
      <c r="H191">
        <v>19.97</v>
      </c>
      <c r="I191" s="1" t="s">
        <v>711</v>
      </c>
      <c r="J191" s="1" t="s">
        <v>713</v>
      </c>
      <c r="K191" s="1" t="s">
        <v>714</v>
      </c>
      <c r="L191" s="1" t="s">
        <v>1195</v>
      </c>
      <c r="M191" s="1" t="s">
        <v>715</v>
      </c>
      <c r="N191" s="1" t="s">
        <v>716</v>
      </c>
      <c r="O191" s="1">
        <f>MONTH(orders[[#This Row],[OrderDate]])</f>
        <v>3</v>
      </c>
    </row>
    <row r="192" spans="1:15" x14ac:dyDescent="0.35">
      <c r="A192">
        <v>10438</v>
      </c>
      <c r="B192" s="1" t="s">
        <v>650</v>
      </c>
      <c r="C192">
        <v>3</v>
      </c>
      <c r="D192" s="2">
        <v>34767</v>
      </c>
      <c r="E192" s="2">
        <v>34795</v>
      </c>
      <c r="F192" s="2">
        <v>34775</v>
      </c>
      <c r="G192">
        <v>2</v>
      </c>
      <c r="H192">
        <v>8.24</v>
      </c>
      <c r="I192" s="1" t="s">
        <v>651</v>
      </c>
      <c r="J192" s="1" t="s">
        <v>653</v>
      </c>
      <c r="K192" s="1" t="s">
        <v>654</v>
      </c>
      <c r="L192" s="1" t="s">
        <v>1195</v>
      </c>
      <c r="M192" s="1" t="s">
        <v>655</v>
      </c>
      <c r="N192" s="1" t="s">
        <v>38</v>
      </c>
      <c r="O192" s="1">
        <f>MONTH(orders[[#This Row],[OrderDate]])</f>
        <v>3</v>
      </c>
    </row>
    <row r="193" spans="1:15" x14ac:dyDescent="0.35">
      <c r="A193">
        <v>10439</v>
      </c>
      <c r="B193" s="1" t="s">
        <v>442</v>
      </c>
      <c r="C193">
        <v>6</v>
      </c>
      <c r="D193" s="2">
        <v>34768</v>
      </c>
      <c r="E193" s="2">
        <v>34796</v>
      </c>
      <c r="F193" s="2">
        <v>34771</v>
      </c>
      <c r="G193">
        <v>3</v>
      </c>
      <c r="H193">
        <v>4.07</v>
      </c>
      <c r="I193" s="1" t="s">
        <v>443</v>
      </c>
      <c r="J193" s="1" t="s">
        <v>445</v>
      </c>
      <c r="K193" s="1" t="s">
        <v>446</v>
      </c>
      <c r="L193" s="1" t="s">
        <v>447</v>
      </c>
      <c r="M193" s="1" t="s">
        <v>448</v>
      </c>
      <c r="N193" s="1" t="s">
        <v>119</v>
      </c>
      <c r="O193" s="1">
        <f>MONTH(orders[[#This Row],[OrderDate]])</f>
        <v>3</v>
      </c>
    </row>
    <row r="194" spans="1:15" x14ac:dyDescent="0.35">
      <c r="A194">
        <v>10440</v>
      </c>
      <c r="B194" s="1" t="s">
        <v>588</v>
      </c>
      <c r="C194">
        <v>4</v>
      </c>
      <c r="D194" s="2">
        <v>34771</v>
      </c>
      <c r="E194" s="2">
        <v>34799</v>
      </c>
      <c r="F194" s="2">
        <v>34789</v>
      </c>
      <c r="G194">
        <v>2</v>
      </c>
      <c r="H194">
        <v>86.53</v>
      </c>
      <c r="I194" s="1" t="s">
        <v>589</v>
      </c>
      <c r="J194" s="1" t="s">
        <v>591</v>
      </c>
      <c r="K194" s="1" t="s">
        <v>592</v>
      </c>
      <c r="L194" s="1" t="s">
        <v>593</v>
      </c>
      <c r="M194" s="1" t="s">
        <v>594</v>
      </c>
      <c r="N194" s="1" t="s">
        <v>292</v>
      </c>
      <c r="O194" s="1">
        <f>MONTH(orders[[#This Row],[OrderDate]])</f>
        <v>3</v>
      </c>
    </row>
    <row r="195" spans="1:15" x14ac:dyDescent="0.35">
      <c r="A195">
        <v>10441</v>
      </c>
      <c r="B195" s="1" t="s">
        <v>469</v>
      </c>
      <c r="C195">
        <v>3</v>
      </c>
      <c r="D195" s="2">
        <v>34771</v>
      </c>
      <c r="E195" s="2">
        <v>34813</v>
      </c>
      <c r="F195" s="2">
        <v>34803</v>
      </c>
      <c r="G195">
        <v>2</v>
      </c>
      <c r="H195">
        <v>73.02</v>
      </c>
      <c r="I195" s="1" t="s">
        <v>470</v>
      </c>
      <c r="J195" s="1" t="s">
        <v>472</v>
      </c>
      <c r="K195" s="1" t="s">
        <v>473</v>
      </c>
      <c r="L195" s="1" t="s">
        <v>474</v>
      </c>
      <c r="M195" s="1" t="s">
        <v>475</v>
      </c>
      <c r="N195" s="1" t="s">
        <v>292</v>
      </c>
      <c r="O195" s="1">
        <f>MONTH(orders[[#This Row],[OrderDate]])</f>
        <v>3</v>
      </c>
    </row>
    <row r="196" spans="1:15" x14ac:dyDescent="0.35">
      <c r="A196">
        <v>10442</v>
      </c>
      <c r="B196" s="1" t="s">
        <v>192</v>
      </c>
      <c r="C196">
        <v>3</v>
      </c>
      <c r="D196" s="2">
        <v>34772</v>
      </c>
      <c r="E196" s="2">
        <v>34800</v>
      </c>
      <c r="F196" s="2">
        <v>34779</v>
      </c>
      <c r="G196">
        <v>2</v>
      </c>
      <c r="H196">
        <v>47.94</v>
      </c>
      <c r="I196" s="1" t="s">
        <v>193</v>
      </c>
      <c r="J196" s="1" t="s">
        <v>196</v>
      </c>
      <c r="K196" s="1" t="s">
        <v>197</v>
      </c>
      <c r="L196" s="1" t="s">
        <v>1195</v>
      </c>
      <c r="M196" s="1" t="s">
        <v>198</v>
      </c>
      <c r="N196" s="1" t="s">
        <v>199</v>
      </c>
      <c r="O196" s="1">
        <f>MONTH(orders[[#This Row],[OrderDate]])</f>
        <v>3</v>
      </c>
    </row>
    <row r="197" spans="1:15" x14ac:dyDescent="0.35">
      <c r="A197">
        <v>10443</v>
      </c>
      <c r="B197" s="1" t="s">
        <v>551</v>
      </c>
      <c r="C197">
        <v>8</v>
      </c>
      <c r="D197" s="2">
        <v>34773</v>
      </c>
      <c r="E197" s="2">
        <v>34801</v>
      </c>
      <c r="F197" s="2">
        <v>34775</v>
      </c>
      <c r="G197">
        <v>1</v>
      </c>
      <c r="H197">
        <v>13.95</v>
      </c>
      <c r="I197" s="1" t="s">
        <v>552</v>
      </c>
      <c r="J197" s="1" t="s">
        <v>554</v>
      </c>
      <c r="K197" s="1" t="s">
        <v>555</v>
      </c>
      <c r="L197" s="1" t="s">
        <v>1195</v>
      </c>
      <c r="M197" s="1" t="s">
        <v>556</v>
      </c>
      <c r="N197" s="1" t="s">
        <v>252</v>
      </c>
      <c r="O197" s="1">
        <f>MONTH(orders[[#This Row],[OrderDate]])</f>
        <v>3</v>
      </c>
    </row>
    <row r="198" spans="1:15" x14ac:dyDescent="0.35">
      <c r="A198">
        <v>10444</v>
      </c>
      <c r="B198" s="1" t="s">
        <v>66</v>
      </c>
      <c r="C198">
        <v>3</v>
      </c>
      <c r="D198" s="2">
        <v>34773</v>
      </c>
      <c r="E198" s="2">
        <v>34801</v>
      </c>
      <c r="F198" s="2">
        <v>34782</v>
      </c>
      <c r="G198">
        <v>3</v>
      </c>
      <c r="H198">
        <v>3.5</v>
      </c>
      <c r="I198" s="1" t="s">
        <v>67</v>
      </c>
      <c r="J198" s="1" t="s">
        <v>70</v>
      </c>
      <c r="K198" s="1" t="s">
        <v>71</v>
      </c>
      <c r="L198" s="1" t="s">
        <v>1195</v>
      </c>
      <c r="M198" s="1" t="s">
        <v>72</v>
      </c>
      <c r="N198" s="1" t="s">
        <v>73</v>
      </c>
      <c r="O198" s="1">
        <f>MONTH(orders[[#This Row],[OrderDate]])</f>
        <v>3</v>
      </c>
    </row>
    <row r="199" spans="1:15" x14ac:dyDescent="0.35">
      <c r="A199">
        <v>10445</v>
      </c>
      <c r="B199" s="1" t="s">
        <v>66</v>
      </c>
      <c r="C199">
        <v>3</v>
      </c>
      <c r="D199" s="2">
        <v>34774</v>
      </c>
      <c r="E199" s="2">
        <v>34802</v>
      </c>
      <c r="F199" s="2">
        <v>34781</v>
      </c>
      <c r="G199">
        <v>1</v>
      </c>
      <c r="H199">
        <v>9.3000000000000007</v>
      </c>
      <c r="I199" s="1" t="s">
        <v>67</v>
      </c>
      <c r="J199" s="1" t="s">
        <v>70</v>
      </c>
      <c r="K199" s="1" t="s">
        <v>71</v>
      </c>
      <c r="L199" s="1" t="s">
        <v>1195</v>
      </c>
      <c r="M199" s="1" t="s">
        <v>72</v>
      </c>
      <c r="N199" s="1" t="s">
        <v>73</v>
      </c>
      <c r="O199" s="1">
        <f>MONTH(orders[[#This Row],[OrderDate]])</f>
        <v>3</v>
      </c>
    </row>
    <row r="200" spans="1:15" x14ac:dyDescent="0.35">
      <c r="A200">
        <v>10446</v>
      </c>
      <c r="B200" s="1" t="s">
        <v>650</v>
      </c>
      <c r="C200">
        <v>6</v>
      </c>
      <c r="D200" s="2">
        <v>34775</v>
      </c>
      <c r="E200" s="2">
        <v>34803</v>
      </c>
      <c r="F200" s="2">
        <v>34780</v>
      </c>
      <c r="G200">
        <v>1</v>
      </c>
      <c r="H200">
        <v>14.68</v>
      </c>
      <c r="I200" s="1" t="s">
        <v>651</v>
      </c>
      <c r="J200" s="1" t="s">
        <v>653</v>
      </c>
      <c r="K200" s="1" t="s">
        <v>654</v>
      </c>
      <c r="L200" s="1" t="s">
        <v>1195</v>
      </c>
      <c r="M200" s="1" t="s">
        <v>655</v>
      </c>
      <c r="N200" s="1" t="s">
        <v>38</v>
      </c>
      <c r="O200" s="1">
        <f>MONTH(orders[[#This Row],[OrderDate]])</f>
        <v>3</v>
      </c>
    </row>
    <row r="201" spans="1:15" x14ac:dyDescent="0.35">
      <c r="A201">
        <v>10447</v>
      </c>
      <c r="B201" s="1" t="s">
        <v>559</v>
      </c>
      <c r="C201">
        <v>4</v>
      </c>
      <c r="D201" s="2">
        <v>34775</v>
      </c>
      <c r="E201" s="2">
        <v>34803</v>
      </c>
      <c r="F201" s="2">
        <v>34796</v>
      </c>
      <c r="G201">
        <v>2</v>
      </c>
      <c r="H201">
        <v>68.66</v>
      </c>
      <c r="I201" s="1" t="s">
        <v>560</v>
      </c>
      <c r="J201" s="1" t="s">
        <v>562</v>
      </c>
      <c r="K201" s="1" t="s">
        <v>308</v>
      </c>
      <c r="L201" s="1" t="s">
        <v>309</v>
      </c>
      <c r="M201" s="1" t="s">
        <v>563</v>
      </c>
      <c r="N201" s="1" t="s">
        <v>161</v>
      </c>
      <c r="O201" s="1">
        <f>MONTH(orders[[#This Row],[OrderDate]])</f>
        <v>3</v>
      </c>
    </row>
    <row r="202" spans="1:15" x14ac:dyDescent="0.35">
      <c r="A202">
        <v>10448</v>
      </c>
      <c r="B202" s="1" t="s">
        <v>535</v>
      </c>
      <c r="C202">
        <v>4</v>
      </c>
      <c r="D202" s="2">
        <v>34778</v>
      </c>
      <c r="E202" s="2">
        <v>34806</v>
      </c>
      <c r="F202" s="2">
        <v>34785</v>
      </c>
      <c r="G202">
        <v>2</v>
      </c>
      <c r="H202">
        <v>38.82</v>
      </c>
      <c r="I202" s="1" t="s">
        <v>536</v>
      </c>
      <c r="J202" s="1" t="s">
        <v>538</v>
      </c>
      <c r="K202" s="1" t="s">
        <v>133</v>
      </c>
      <c r="L202" s="1" t="s">
        <v>1195</v>
      </c>
      <c r="M202" s="1" t="s">
        <v>134</v>
      </c>
      <c r="N202" s="1" t="s">
        <v>135</v>
      </c>
      <c r="O202" s="1">
        <f>MONTH(orders[[#This Row],[OrderDate]])</f>
        <v>3</v>
      </c>
    </row>
    <row r="203" spans="1:15" x14ac:dyDescent="0.35">
      <c r="A203">
        <v>10449</v>
      </c>
      <c r="B203" s="1" t="s">
        <v>84</v>
      </c>
      <c r="C203">
        <v>3</v>
      </c>
      <c r="D203" s="2">
        <v>34779</v>
      </c>
      <c r="E203" s="2">
        <v>34807</v>
      </c>
      <c r="F203" s="2">
        <v>34788</v>
      </c>
      <c r="G203">
        <v>2</v>
      </c>
      <c r="H203">
        <v>53.3</v>
      </c>
      <c r="I203" s="1" t="s">
        <v>85</v>
      </c>
      <c r="J203" s="1" t="s">
        <v>88</v>
      </c>
      <c r="K203" s="1" t="s">
        <v>89</v>
      </c>
      <c r="L203" s="1" t="s">
        <v>1195</v>
      </c>
      <c r="M203" s="1" t="s">
        <v>90</v>
      </c>
      <c r="N203" s="1" t="s">
        <v>91</v>
      </c>
      <c r="O203" s="1">
        <f>MONTH(orders[[#This Row],[OrderDate]])</f>
        <v>3</v>
      </c>
    </row>
    <row r="204" spans="1:15" x14ac:dyDescent="0.35">
      <c r="A204">
        <v>10450</v>
      </c>
      <c r="B204" s="1" t="s">
        <v>686</v>
      </c>
      <c r="C204">
        <v>8</v>
      </c>
      <c r="D204" s="2">
        <v>34780</v>
      </c>
      <c r="E204" s="2">
        <v>34808</v>
      </c>
      <c r="F204" s="2">
        <v>34800</v>
      </c>
      <c r="G204">
        <v>2</v>
      </c>
      <c r="H204">
        <v>7.23</v>
      </c>
      <c r="I204" s="1" t="s">
        <v>687</v>
      </c>
      <c r="J204" s="1" t="s">
        <v>689</v>
      </c>
      <c r="K204" s="1" t="s">
        <v>690</v>
      </c>
      <c r="L204" s="1" t="s">
        <v>1195</v>
      </c>
      <c r="M204" s="1" t="s">
        <v>691</v>
      </c>
      <c r="N204" s="1" t="s">
        <v>91</v>
      </c>
      <c r="O204" s="1">
        <f>MONTH(orders[[#This Row],[OrderDate]])</f>
        <v>3</v>
      </c>
    </row>
    <row r="205" spans="1:15" x14ac:dyDescent="0.35">
      <c r="A205">
        <v>10451</v>
      </c>
      <c r="B205" s="1" t="s">
        <v>528</v>
      </c>
      <c r="C205">
        <v>4</v>
      </c>
      <c r="D205" s="2">
        <v>34780</v>
      </c>
      <c r="E205" s="2">
        <v>34794</v>
      </c>
      <c r="F205" s="2">
        <v>34801</v>
      </c>
      <c r="G205">
        <v>3</v>
      </c>
      <c r="H205">
        <v>189.09</v>
      </c>
      <c r="I205" s="1" t="s">
        <v>529</v>
      </c>
      <c r="J205" s="1" t="s">
        <v>531</v>
      </c>
      <c r="K205" s="1" t="s">
        <v>532</v>
      </c>
      <c r="L205" s="1" t="s">
        <v>1195</v>
      </c>
      <c r="M205" s="1" t="s">
        <v>533</v>
      </c>
      <c r="N205" s="1" t="s">
        <v>38</v>
      </c>
      <c r="O205" s="1">
        <f>MONTH(orders[[#This Row],[OrderDate]])</f>
        <v>3</v>
      </c>
    </row>
    <row r="206" spans="1:15" x14ac:dyDescent="0.35">
      <c r="A206">
        <v>10452</v>
      </c>
      <c r="B206" s="1" t="s">
        <v>588</v>
      </c>
      <c r="C206">
        <v>8</v>
      </c>
      <c r="D206" s="2">
        <v>34781</v>
      </c>
      <c r="E206" s="2">
        <v>34809</v>
      </c>
      <c r="F206" s="2">
        <v>34787</v>
      </c>
      <c r="G206">
        <v>1</v>
      </c>
      <c r="H206">
        <v>140.26</v>
      </c>
      <c r="I206" s="1" t="s">
        <v>589</v>
      </c>
      <c r="J206" s="1" t="s">
        <v>591</v>
      </c>
      <c r="K206" s="1" t="s">
        <v>592</v>
      </c>
      <c r="L206" s="1" t="s">
        <v>593</v>
      </c>
      <c r="M206" s="1" t="s">
        <v>594</v>
      </c>
      <c r="N206" s="1" t="s">
        <v>292</v>
      </c>
      <c r="O206" s="1">
        <f>MONTH(orders[[#This Row],[OrderDate]])</f>
        <v>3</v>
      </c>
    </row>
    <row r="207" spans="1:15" x14ac:dyDescent="0.35">
      <c r="A207">
        <v>10453</v>
      </c>
      <c r="B207" s="1" t="s">
        <v>57</v>
      </c>
      <c r="C207">
        <v>1</v>
      </c>
      <c r="D207" s="2">
        <v>34782</v>
      </c>
      <c r="E207" s="2">
        <v>34810</v>
      </c>
      <c r="F207" s="2">
        <v>34787</v>
      </c>
      <c r="G207">
        <v>2</v>
      </c>
      <c r="H207">
        <v>25.36</v>
      </c>
      <c r="I207" s="1" t="s">
        <v>58</v>
      </c>
      <c r="J207" s="1" t="s">
        <v>1210</v>
      </c>
      <c r="K207" s="1" t="s">
        <v>839</v>
      </c>
      <c r="L207" s="1" t="s">
        <v>840</v>
      </c>
      <c r="M207" s="1" t="s">
        <v>841</v>
      </c>
      <c r="N207" s="1" t="s">
        <v>63</v>
      </c>
      <c r="O207" s="1">
        <f>MONTH(orders[[#This Row],[OrderDate]])</f>
        <v>3</v>
      </c>
    </row>
    <row r="208" spans="1:15" x14ac:dyDescent="0.35">
      <c r="A208">
        <v>10454</v>
      </c>
      <c r="B208" s="1" t="s">
        <v>360</v>
      </c>
      <c r="C208">
        <v>4</v>
      </c>
      <c r="D208" s="2">
        <v>34782</v>
      </c>
      <c r="E208" s="2">
        <v>34810</v>
      </c>
      <c r="F208" s="2">
        <v>34786</v>
      </c>
      <c r="G208">
        <v>3</v>
      </c>
      <c r="H208">
        <v>2.74</v>
      </c>
      <c r="I208" s="1" t="s">
        <v>361</v>
      </c>
      <c r="J208" s="1" t="s">
        <v>363</v>
      </c>
      <c r="K208" s="1" t="s">
        <v>364</v>
      </c>
      <c r="L208" s="1" t="s">
        <v>1195</v>
      </c>
      <c r="M208" s="1" t="s">
        <v>365</v>
      </c>
      <c r="N208" s="1" t="s">
        <v>91</v>
      </c>
      <c r="O208" s="1">
        <f>MONTH(orders[[#This Row],[OrderDate]])</f>
        <v>3</v>
      </c>
    </row>
    <row r="209" spans="1:15" x14ac:dyDescent="0.35">
      <c r="A209">
        <v>10455</v>
      </c>
      <c r="B209" s="1" t="s">
        <v>710</v>
      </c>
      <c r="C209">
        <v>8</v>
      </c>
      <c r="D209" s="2">
        <v>34785</v>
      </c>
      <c r="E209" s="2">
        <v>34827</v>
      </c>
      <c r="F209" s="2">
        <v>34792</v>
      </c>
      <c r="G209">
        <v>2</v>
      </c>
      <c r="H209">
        <v>180.45</v>
      </c>
      <c r="I209" s="1" t="s">
        <v>711</v>
      </c>
      <c r="J209" s="1" t="s">
        <v>713</v>
      </c>
      <c r="K209" s="1" t="s">
        <v>714</v>
      </c>
      <c r="L209" s="1" t="s">
        <v>1195</v>
      </c>
      <c r="M209" s="1" t="s">
        <v>715</v>
      </c>
      <c r="N209" s="1" t="s">
        <v>716</v>
      </c>
      <c r="O209" s="1">
        <f>MONTH(orders[[#This Row],[OrderDate]])</f>
        <v>3</v>
      </c>
    </row>
    <row r="210" spans="1:15" x14ac:dyDescent="0.35">
      <c r="A210">
        <v>10456</v>
      </c>
      <c r="B210" s="1" t="s">
        <v>345</v>
      </c>
      <c r="C210">
        <v>8</v>
      </c>
      <c r="D210" s="2">
        <v>34786</v>
      </c>
      <c r="E210" s="2">
        <v>34828</v>
      </c>
      <c r="F210" s="2">
        <v>34789</v>
      </c>
      <c r="G210">
        <v>2</v>
      </c>
      <c r="H210">
        <v>8.1199999999999992</v>
      </c>
      <c r="I210" s="1" t="s">
        <v>346</v>
      </c>
      <c r="J210" s="1" t="s">
        <v>348</v>
      </c>
      <c r="K210" s="1" t="s">
        <v>349</v>
      </c>
      <c r="L210" s="1" t="s">
        <v>1195</v>
      </c>
      <c r="M210" s="1" t="s">
        <v>350</v>
      </c>
      <c r="N210" s="1" t="s">
        <v>38</v>
      </c>
      <c r="O210" s="1">
        <f>MONTH(orders[[#This Row],[OrderDate]])</f>
        <v>3</v>
      </c>
    </row>
    <row r="211" spans="1:15" x14ac:dyDescent="0.35">
      <c r="A211">
        <v>10457</v>
      </c>
      <c r="B211" s="1" t="s">
        <v>345</v>
      </c>
      <c r="C211">
        <v>2</v>
      </c>
      <c r="D211" s="2">
        <v>34786</v>
      </c>
      <c r="E211" s="2">
        <v>34814</v>
      </c>
      <c r="F211" s="2">
        <v>34792</v>
      </c>
      <c r="G211">
        <v>1</v>
      </c>
      <c r="H211">
        <v>11.57</v>
      </c>
      <c r="I211" s="1" t="s">
        <v>346</v>
      </c>
      <c r="J211" s="1" t="s">
        <v>348</v>
      </c>
      <c r="K211" s="1" t="s">
        <v>349</v>
      </c>
      <c r="L211" s="1" t="s">
        <v>1195</v>
      </c>
      <c r="M211" s="1" t="s">
        <v>350</v>
      </c>
      <c r="N211" s="1" t="s">
        <v>38</v>
      </c>
      <c r="O211" s="1">
        <f>MONTH(orders[[#This Row],[OrderDate]])</f>
        <v>3</v>
      </c>
    </row>
    <row r="212" spans="1:15" x14ac:dyDescent="0.35">
      <c r="A212">
        <v>10458</v>
      </c>
      <c r="B212" s="1" t="s">
        <v>628</v>
      </c>
      <c r="C212">
        <v>7</v>
      </c>
      <c r="D212" s="2">
        <v>34787</v>
      </c>
      <c r="E212" s="2">
        <v>34815</v>
      </c>
      <c r="F212" s="2">
        <v>34793</v>
      </c>
      <c r="G212">
        <v>3</v>
      </c>
      <c r="H212">
        <v>147.06</v>
      </c>
      <c r="I212" s="1" t="s">
        <v>629</v>
      </c>
      <c r="J212" s="1" t="s">
        <v>631</v>
      </c>
      <c r="K212" s="1" t="s">
        <v>632</v>
      </c>
      <c r="L212" s="1" t="s">
        <v>1195</v>
      </c>
      <c r="M212" s="1" t="s">
        <v>633</v>
      </c>
      <c r="N212" s="1" t="s">
        <v>439</v>
      </c>
      <c r="O212" s="1">
        <f>MONTH(orders[[#This Row],[OrderDate]])</f>
        <v>3</v>
      </c>
    </row>
    <row r="213" spans="1:15" x14ac:dyDescent="0.35">
      <c r="A213">
        <v>10459</v>
      </c>
      <c r="B213" s="1" t="s">
        <v>686</v>
      </c>
      <c r="C213">
        <v>4</v>
      </c>
      <c r="D213" s="2">
        <v>34788</v>
      </c>
      <c r="E213" s="2">
        <v>34816</v>
      </c>
      <c r="F213" s="2">
        <v>34789</v>
      </c>
      <c r="G213">
        <v>2</v>
      </c>
      <c r="H213">
        <v>25.09</v>
      </c>
      <c r="I213" s="1" t="s">
        <v>687</v>
      </c>
      <c r="J213" s="1" t="s">
        <v>689</v>
      </c>
      <c r="K213" s="1" t="s">
        <v>690</v>
      </c>
      <c r="L213" s="1" t="s">
        <v>1195</v>
      </c>
      <c r="M213" s="1" t="s">
        <v>691</v>
      </c>
      <c r="N213" s="1" t="s">
        <v>91</v>
      </c>
      <c r="O213" s="1">
        <f>MONTH(orders[[#This Row],[OrderDate]])</f>
        <v>3</v>
      </c>
    </row>
    <row r="214" spans="1:15" x14ac:dyDescent="0.35">
      <c r="A214">
        <v>10460</v>
      </c>
      <c r="B214" s="1" t="s">
        <v>225</v>
      </c>
      <c r="C214">
        <v>8</v>
      </c>
      <c r="D214" s="2">
        <v>34789</v>
      </c>
      <c r="E214" s="2">
        <v>34817</v>
      </c>
      <c r="F214" s="2">
        <v>34792</v>
      </c>
      <c r="G214">
        <v>1</v>
      </c>
      <c r="H214">
        <v>16.27</v>
      </c>
      <c r="I214" s="1" t="s">
        <v>226</v>
      </c>
      <c r="J214" s="1" t="s">
        <v>228</v>
      </c>
      <c r="K214" s="1" t="s">
        <v>229</v>
      </c>
      <c r="L214" s="1" t="s">
        <v>1195</v>
      </c>
      <c r="M214" s="1" t="s">
        <v>230</v>
      </c>
      <c r="N214" s="1" t="s">
        <v>73</v>
      </c>
      <c r="O214" s="1">
        <f>MONTH(orders[[#This Row],[OrderDate]])</f>
        <v>3</v>
      </c>
    </row>
    <row r="215" spans="1:15" x14ac:dyDescent="0.35">
      <c r="A215">
        <v>10461</v>
      </c>
      <c r="B215" s="1" t="s">
        <v>399</v>
      </c>
      <c r="C215">
        <v>1</v>
      </c>
      <c r="D215" s="2">
        <v>34789</v>
      </c>
      <c r="E215" s="2">
        <v>34817</v>
      </c>
      <c r="F215" s="2">
        <v>34794</v>
      </c>
      <c r="G215">
        <v>3</v>
      </c>
      <c r="H215">
        <v>148.61000000000001</v>
      </c>
      <c r="I215" s="1" t="s">
        <v>400</v>
      </c>
      <c r="J215" s="1" t="s">
        <v>402</v>
      </c>
      <c r="K215" s="1" t="s">
        <v>403</v>
      </c>
      <c r="L215" s="1" t="s">
        <v>404</v>
      </c>
      <c r="M215" s="1" t="s">
        <v>405</v>
      </c>
      <c r="N215" s="1" t="s">
        <v>301</v>
      </c>
      <c r="O215" s="1">
        <f>MONTH(orders[[#This Row],[OrderDate]])</f>
        <v>3</v>
      </c>
    </row>
    <row r="216" spans="1:15" x14ac:dyDescent="0.35">
      <c r="A216">
        <v>10462</v>
      </c>
      <c r="B216" s="1" t="s">
        <v>163</v>
      </c>
      <c r="C216">
        <v>2</v>
      </c>
      <c r="D216" s="2">
        <v>34792</v>
      </c>
      <c r="E216" s="2">
        <v>34820</v>
      </c>
      <c r="F216" s="2">
        <v>34807</v>
      </c>
      <c r="G216">
        <v>1</v>
      </c>
      <c r="H216">
        <v>6.17</v>
      </c>
      <c r="I216" s="1" t="s">
        <v>164</v>
      </c>
      <c r="J216" s="1" t="s">
        <v>1197</v>
      </c>
      <c r="K216" s="1" t="s">
        <v>61</v>
      </c>
      <c r="L216" s="1" t="s">
        <v>1195</v>
      </c>
      <c r="M216" s="1" t="s">
        <v>166</v>
      </c>
      <c r="N216" s="1" t="s">
        <v>63</v>
      </c>
      <c r="O216" s="1">
        <f>MONTH(orders[[#This Row],[OrderDate]])</f>
        <v>4</v>
      </c>
    </row>
    <row r="217" spans="1:15" x14ac:dyDescent="0.35">
      <c r="A217">
        <v>10463</v>
      </c>
      <c r="B217" s="1" t="s">
        <v>628</v>
      </c>
      <c r="C217">
        <v>5</v>
      </c>
      <c r="D217" s="2">
        <v>34793</v>
      </c>
      <c r="E217" s="2">
        <v>34821</v>
      </c>
      <c r="F217" s="2">
        <v>34795</v>
      </c>
      <c r="G217">
        <v>3</v>
      </c>
      <c r="H217">
        <v>14.78</v>
      </c>
      <c r="I217" s="1" t="s">
        <v>629</v>
      </c>
      <c r="J217" s="1" t="s">
        <v>631</v>
      </c>
      <c r="K217" s="1" t="s">
        <v>632</v>
      </c>
      <c r="L217" s="1" t="s">
        <v>1195</v>
      </c>
      <c r="M217" s="1" t="s">
        <v>633</v>
      </c>
      <c r="N217" s="1" t="s">
        <v>439</v>
      </c>
      <c r="O217" s="1">
        <f>MONTH(orders[[#This Row],[OrderDate]])</f>
        <v>4</v>
      </c>
    </row>
    <row r="218" spans="1:15" x14ac:dyDescent="0.35">
      <c r="A218">
        <v>10464</v>
      </c>
      <c r="B218" s="1" t="s">
        <v>255</v>
      </c>
      <c r="C218">
        <v>4</v>
      </c>
      <c r="D218" s="2">
        <v>34793</v>
      </c>
      <c r="E218" s="2">
        <v>34821</v>
      </c>
      <c r="F218" s="2">
        <v>34803</v>
      </c>
      <c r="G218">
        <v>2</v>
      </c>
      <c r="H218">
        <v>89</v>
      </c>
      <c r="I218" s="1" t="s">
        <v>256</v>
      </c>
      <c r="J218" s="1" t="s">
        <v>257</v>
      </c>
      <c r="K218" s="1" t="s">
        <v>258</v>
      </c>
      <c r="L218" s="1" t="s">
        <v>1195</v>
      </c>
      <c r="M218" s="1" t="s">
        <v>259</v>
      </c>
      <c r="N218" s="1" t="s">
        <v>260</v>
      </c>
      <c r="O218" s="1">
        <f>MONTH(orders[[#This Row],[OrderDate]])</f>
        <v>4</v>
      </c>
    </row>
    <row r="219" spans="1:15" x14ac:dyDescent="0.35">
      <c r="A219">
        <v>10465</v>
      </c>
      <c r="B219" s="1" t="s">
        <v>678</v>
      </c>
      <c r="C219">
        <v>1</v>
      </c>
      <c r="D219" s="2">
        <v>34794</v>
      </c>
      <c r="E219" s="2">
        <v>34822</v>
      </c>
      <c r="F219" s="2">
        <v>34803</v>
      </c>
      <c r="G219">
        <v>3</v>
      </c>
      <c r="H219">
        <v>145.04</v>
      </c>
      <c r="I219" s="1" t="s">
        <v>679</v>
      </c>
      <c r="J219" s="1" t="s">
        <v>681</v>
      </c>
      <c r="K219" s="1" t="s">
        <v>682</v>
      </c>
      <c r="L219" s="1" t="s">
        <v>1195</v>
      </c>
      <c r="M219" s="1" t="s">
        <v>683</v>
      </c>
      <c r="N219" s="1" t="s">
        <v>609</v>
      </c>
      <c r="O219" s="1">
        <f>MONTH(orders[[#This Row],[OrderDate]])</f>
        <v>4</v>
      </c>
    </row>
    <row r="220" spans="1:15" x14ac:dyDescent="0.35">
      <c r="A220">
        <v>10466</v>
      </c>
      <c r="B220" s="1" t="s">
        <v>153</v>
      </c>
      <c r="C220">
        <v>4</v>
      </c>
      <c r="D220" s="2">
        <v>34795</v>
      </c>
      <c r="E220" s="2">
        <v>34823</v>
      </c>
      <c r="F220" s="2">
        <v>34802</v>
      </c>
      <c r="G220">
        <v>1</v>
      </c>
      <c r="H220">
        <v>11.93</v>
      </c>
      <c r="I220" s="1" t="s">
        <v>154</v>
      </c>
      <c r="J220" s="1" t="s">
        <v>157</v>
      </c>
      <c r="K220" s="1" t="s">
        <v>158</v>
      </c>
      <c r="L220" s="1" t="s">
        <v>159</v>
      </c>
      <c r="M220" s="1" t="s">
        <v>160</v>
      </c>
      <c r="N220" s="1" t="s">
        <v>161</v>
      </c>
      <c r="O220" s="1">
        <f>MONTH(orders[[#This Row],[OrderDate]])</f>
        <v>4</v>
      </c>
    </row>
    <row r="221" spans="1:15" x14ac:dyDescent="0.35">
      <c r="A221">
        <v>10467</v>
      </c>
      <c r="B221" s="1" t="s">
        <v>425</v>
      </c>
      <c r="C221">
        <v>8</v>
      </c>
      <c r="D221" s="2">
        <v>34795</v>
      </c>
      <c r="E221" s="2">
        <v>34823</v>
      </c>
      <c r="F221" s="2">
        <v>34800</v>
      </c>
      <c r="G221">
        <v>2</v>
      </c>
      <c r="H221">
        <v>4.93</v>
      </c>
      <c r="I221" s="1" t="s">
        <v>426</v>
      </c>
      <c r="J221" s="1" t="s">
        <v>428</v>
      </c>
      <c r="K221" s="1" t="s">
        <v>429</v>
      </c>
      <c r="L221" s="1" t="s">
        <v>1195</v>
      </c>
      <c r="M221" s="1" t="s">
        <v>430</v>
      </c>
      <c r="N221" s="1" t="s">
        <v>252</v>
      </c>
      <c r="O221" s="1">
        <f>MONTH(orders[[#This Row],[OrderDate]])</f>
        <v>4</v>
      </c>
    </row>
    <row r="222" spans="1:15" x14ac:dyDescent="0.35">
      <c r="A222">
        <v>10468</v>
      </c>
      <c r="B222" s="1" t="s">
        <v>345</v>
      </c>
      <c r="C222">
        <v>3</v>
      </c>
      <c r="D222" s="2">
        <v>34796</v>
      </c>
      <c r="E222" s="2">
        <v>34824</v>
      </c>
      <c r="F222" s="2">
        <v>34801</v>
      </c>
      <c r="G222">
        <v>3</v>
      </c>
      <c r="H222">
        <v>44.12</v>
      </c>
      <c r="I222" s="1" t="s">
        <v>346</v>
      </c>
      <c r="J222" s="1" t="s">
        <v>348</v>
      </c>
      <c r="K222" s="1" t="s">
        <v>349</v>
      </c>
      <c r="L222" s="1" t="s">
        <v>1195</v>
      </c>
      <c r="M222" s="1" t="s">
        <v>350</v>
      </c>
      <c r="N222" s="1" t="s">
        <v>38</v>
      </c>
      <c r="O222" s="1">
        <f>MONTH(orders[[#This Row],[OrderDate]])</f>
        <v>4</v>
      </c>
    </row>
    <row r="223" spans="1:15" x14ac:dyDescent="0.35">
      <c r="A223">
        <v>10469</v>
      </c>
      <c r="B223" s="1" t="s">
        <v>725</v>
      </c>
      <c r="C223">
        <v>1</v>
      </c>
      <c r="D223" s="2">
        <v>34799</v>
      </c>
      <c r="E223" s="2">
        <v>34827</v>
      </c>
      <c r="F223" s="2">
        <v>34803</v>
      </c>
      <c r="G223">
        <v>1</v>
      </c>
      <c r="H223">
        <v>60.18</v>
      </c>
      <c r="I223" s="1" t="s">
        <v>726</v>
      </c>
      <c r="J223" s="1" t="s">
        <v>837</v>
      </c>
      <c r="K223" s="1" t="s">
        <v>728</v>
      </c>
      <c r="L223" s="1" t="s">
        <v>381</v>
      </c>
      <c r="M223" s="1" t="s">
        <v>838</v>
      </c>
      <c r="N223" s="1" t="s">
        <v>292</v>
      </c>
      <c r="O223" s="1">
        <f>MONTH(orders[[#This Row],[OrderDate]])</f>
        <v>4</v>
      </c>
    </row>
    <row r="224" spans="1:15" x14ac:dyDescent="0.35">
      <c r="A224">
        <v>10470</v>
      </c>
      <c r="B224" s="1" t="s">
        <v>103</v>
      </c>
      <c r="C224">
        <v>4</v>
      </c>
      <c r="D224" s="2">
        <v>34800</v>
      </c>
      <c r="E224" s="2">
        <v>34828</v>
      </c>
      <c r="F224" s="2">
        <v>34803</v>
      </c>
      <c r="G224">
        <v>2</v>
      </c>
      <c r="H224">
        <v>64.56</v>
      </c>
      <c r="I224" s="1" t="s">
        <v>104</v>
      </c>
      <c r="J224" s="1" t="s">
        <v>106</v>
      </c>
      <c r="K224" s="1" t="s">
        <v>107</v>
      </c>
      <c r="L224" s="1" t="s">
        <v>1195</v>
      </c>
      <c r="M224" s="1" t="s">
        <v>108</v>
      </c>
      <c r="N224" s="1" t="s">
        <v>91</v>
      </c>
      <c r="O224" s="1">
        <f>MONTH(orders[[#This Row],[OrderDate]])</f>
        <v>4</v>
      </c>
    </row>
    <row r="225" spans="1:15" x14ac:dyDescent="0.35">
      <c r="A225">
        <v>10471</v>
      </c>
      <c r="B225" s="1" t="s">
        <v>122</v>
      </c>
      <c r="C225">
        <v>2</v>
      </c>
      <c r="D225" s="2">
        <v>34800</v>
      </c>
      <c r="E225" s="2">
        <v>34828</v>
      </c>
      <c r="F225" s="2">
        <v>34807</v>
      </c>
      <c r="G225">
        <v>3</v>
      </c>
      <c r="H225">
        <v>45.59</v>
      </c>
      <c r="I225" s="1" t="s">
        <v>123</v>
      </c>
      <c r="J225" s="1" t="s">
        <v>125</v>
      </c>
      <c r="K225" s="1" t="s">
        <v>61</v>
      </c>
      <c r="L225" s="1" t="s">
        <v>1195</v>
      </c>
      <c r="M225" s="1" t="s">
        <v>126</v>
      </c>
      <c r="N225" s="1" t="s">
        <v>63</v>
      </c>
      <c r="O225" s="1">
        <f>MONTH(orders[[#This Row],[OrderDate]])</f>
        <v>4</v>
      </c>
    </row>
    <row r="226" spans="1:15" x14ac:dyDescent="0.35">
      <c r="A226">
        <v>10472</v>
      </c>
      <c r="B226" s="1" t="s">
        <v>596</v>
      </c>
      <c r="C226">
        <v>8</v>
      </c>
      <c r="D226" s="2">
        <v>34801</v>
      </c>
      <c r="E226" s="2">
        <v>34829</v>
      </c>
      <c r="F226" s="2">
        <v>34808</v>
      </c>
      <c r="G226">
        <v>1</v>
      </c>
      <c r="H226">
        <v>4.2</v>
      </c>
      <c r="I226" s="1" t="s">
        <v>597</v>
      </c>
      <c r="J226" s="1" t="s">
        <v>599</v>
      </c>
      <c r="K226" s="1" t="s">
        <v>61</v>
      </c>
      <c r="L226" s="1" t="s">
        <v>1195</v>
      </c>
      <c r="M226" s="1" t="s">
        <v>600</v>
      </c>
      <c r="N226" s="1" t="s">
        <v>63</v>
      </c>
      <c r="O226" s="1">
        <f>MONTH(orders[[#This Row],[OrderDate]])</f>
        <v>4</v>
      </c>
    </row>
    <row r="227" spans="1:15" x14ac:dyDescent="0.35">
      <c r="A227">
        <v>10473</v>
      </c>
      <c r="B227" s="1" t="s">
        <v>338</v>
      </c>
      <c r="C227">
        <v>1</v>
      </c>
      <c r="D227" s="2">
        <v>34802</v>
      </c>
      <c r="E227" s="2">
        <v>34816</v>
      </c>
      <c r="F227" s="2">
        <v>34810</v>
      </c>
      <c r="G227">
        <v>3</v>
      </c>
      <c r="H227">
        <v>16.37</v>
      </c>
      <c r="I227" s="1" t="s">
        <v>339</v>
      </c>
      <c r="J227" s="1" t="s">
        <v>1200</v>
      </c>
      <c r="K227" s="1" t="s">
        <v>341</v>
      </c>
      <c r="L227" s="1" t="s">
        <v>342</v>
      </c>
      <c r="M227" s="1" t="s">
        <v>343</v>
      </c>
      <c r="N227" s="1" t="s">
        <v>63</v>
      </c>
      <c r="O227" s="1">
        <f>MONTH(orders[[#This Row],[OrderDate]])</f>
        <v>4</v>
      </c>
    </row>
    <row r="228" spans="1:15" x14ac:dyDescent="0.35">
      <c r="A228">
        <v>10474</v>
      </c>
      <c r="B228" s="1" t="s">
        <v>494</v>
      </c>
      <c r="C228">
        <v>5</v>
      </c>
      <c r="D228" s="2">
        <v>34802</v>
      </c>
      <c r="E228" s="2">
        <v>34830</v>
      </c>
      <c r="F228" s="2">
        <v>34810</v>
      </c>
      <c r="G228">
        <v>2</v>
      </c>
      <c r="H228">
        <v>83.49</v>
      </c>
      <c r="I228" s="1" t="s">
        <v>495</v>
      </c>
      <c r="J228" s="1" t="s">
        <v>497</v>
      </c>
      <c r="K228" s="1" t="s">
        <v>46</v>
      </c>
      <c r="L228" s="1" t="s">
        <v>1195</v>
      </c>
      <c r="M228" s="1" t="s">
        <v>498</v>
      </c>
      <c r="N228" s="1" t="s">
        <v>48</v>
      </c>
      <c r="O228" s="1">
        <f>MONTH(orders[[#This Row],[OrderDate]])</f>
        <v>4</v>
      </c>
    </row>
    <row r="229" spans="1:15" x14ac:dyDescent="0.35">
      <c r="A229">
        <v>10475</v>
      </c>
      <c r="B229" s="1" t="s">
        <v>628</v>
      </c>
      <c r="C229">
        <v>9</v>
      </c>
      <c r="D229" s="2">
        <v>34803</v>
      </c>
      <c r="E229" s="2">
        <v>34831</v>
      </c>
      <c r="F229" s="2">
        <v>34824</v>
      </c>
      <c r="G229">
        <v>1</v>
      </c>
      <c r="H229">
        <v>68.52</v>
      </c>
      <c r="I229" s="1" t="s">
        <v>629</v>
      </c>
      <c r="J229" s="1" t="s">
        <v>631</v>
      </c>
      <c r="K229" s="1" t="s">
        <v>632</v>
      </c>
      <c r="L229" s="1" t="s">
        <v>1195</v>
      </c>
      <c r="M229" s="1" t="s">
        <v>633</v>
      </c>
      <c r="N229" s="1" t="s">
        <v>439</v>
      </c>
      <c r="O229" s="1">
        <f>MONTH(orders[[#This Row],[OrderDate]])</f>
        <v>4</v>
      </c>
    </row>
    <row r="230" spans="1:15" x14ac:dyDescent="0.35">
      <c r="A230">
        <v>10476</v>
      </c>
      <c r="B230" s="1" t="s">
        <v>313</v>
      </c>
      <c r="C230">
        <v>8</v>
      </c>
      <c r="D230" s="2">
        <v>34806</v>
      </c>
      <c r="E230" s="2">
        <v>34834</v>
      </c>
      <c r="F230" s="2">
        <v>34813</v>
      </c>
      <c r="G230">
        <v>3</v>
      </c>
      <c r="H230">
        <v>4.41</v>
      </c>
      <c r="I230" s="1" t="s">
        <v>314</v>
      </c>
      <c r="J230" s="1" t="s">
        <v>316</v>
      </c>
      <c r="K230" s="1" t="s">
        <v>317</v>
      </c>
      <c r="L230" s="1" t="s">
        <v>318</v>
      </c>
      <c r="M230" s="1" t="s">
        <v>319</v>
      </c>
      <c r="N230" s="1" t="s">
        <v>301</v>
      </c>
      <c r="O230" s="1">
        <f>MONTH(orders[[#This Row],[OrderDate]])</f>
        <v>4</v>
      </c>
    </row>
    <row r="231" spans="1:15" x14ac:dyDescent="0.35">
      <c r="A231">
        <v>10477</v>
      </c>
      <c r="B231" s="1" t="s">
        <v>509</v>
      </c>
      <c r="C231">
        <v>5</v>
      </c>
      <c r="D231" s="2">
        <v>34806</v>
      </c>
      <c r="E231" s="2">
        <v>34834</v>
      </c>
      <c r="F231" s="2">
        <v>34814</v>
      </c>
      <c r="G231">
        <v>2</v>
      </c>
      <c r="H231">
        <v>13.02</v>
      </c>
      <c r="I231" s="1" t="s">
        <v>510</v>
      </c>
      <c r="J231" s="1" t="s">
        <v>512</v>
      </c>
      <c r="K231" s="1" t="s">
        <v>258</v>
      </c>
      <c r="L231" s="1" t="s">
        <v>1195</v>
      </c>
      <c r="M231" s="1" t="s">
        <v>513</v>
      </c>
      <c r="N231" s="1" t="s">
        <v>260</v>
      </c>
      <c r="O231" s="1">
        <f>MONTH(orders[[#This Row],[OrderDate]])</f>
        <v>4</v>
      </c>
    </row>
    <row r="232" spans="1:15" x14ac:dyDescent="0.35">
      <c r="A232">
        <v>10478</v>
      </c>
      <c r="B232" s="1" t="s">
        <v>686</v>
      </c>
      <c r="C232">
        <v>2</v>
      </c>
      <c r="D232" s="2">
        <v>34807</v>
      </c>
      <c r="E232" s="2">
        <v>34821</v>
      </c>
      <c r="F232" s="2">
        <v>34815</v>
      </c>
      <c r="G232">
        <v>3</v>
      </c>
      <c r="H232">
        <v>4.8099999999999996</v>
      </c>
      <c r="I232" s="1" t="s">
        <v>687</v>
      </c>
      <c r="J232" s="1" t="s">
        <v>689</v>
      </c>
      <c r="K232" s="1" t="s">
        <v>690</v>
      </c>
      <c r="L232" s="1" t="s">
        <v>1195</v>
      </c>
      <c r="M232" s="1" t="s">
        <v>691</v>
      </c>
      <c r="N232" s="1" t="s">
        <v>91</v>
      </c>
      <c r="O232" s="1">
        <f>MONTH(orders[[#This Row],[OrderDate]])</f>
        <v>4</v>
      </c>
    </row>
    <row r="233" spans="1:15" x14ac:dyDescent="0.35">
      <c r="A233">
        <v>10479</v>
      </c>
      <c r="B233" s="1" t="s">
        <v>541</v>
      </c>
      <c r="C233">
        <v>3</v>
      </c>
      <c r="D233" s="2">
        <v>34808</v>
      </c>
      <c r="E233" s="2">
        <v>34836</v>
      </c>
      <c r="F233" s="2">
        <v>34810</v>
      </c>
      <c r="G233">
        <v>3</v>
      </c>
      <c r="H233">
        <v>708.95</v>
      </c>
      <c r="I233" s="1" t="s">
        <v>542</v>
      </c>
      <c r="J233" s="1" t="s">
        <v>545</v>
      </c>
      <c r="K233" s="1" t="s">
        <v>546</v>
      </c>
      <c r="L233" s="1" t="s">
        <v>547</v>
      </c>
      <c r="M233" s="1" t="s">
        <v>548</v>
      </c>
      <c r="N233" s="1" t="s">
        <v>292</v>
      </c>
      <c r="O233" s="1">
        <f>MONTH(orders[[#This Row],[OrderDate]])</f>
        <v>4</v>
      </c>
    </row>
    <row r="234" spans="1:15" x14ac:dyDescent="0.35">
      <c r="A234">
        <v>10480</v>
      </c>
      <c r="B234" s="1" t="s">
        <v>216</v>
      </c>
      <c r="C234">
        <v>6</v>
      </c>
      <c r="D234" s="2">
        <v>34809</v>
      </c>
      <c r="E234" s="2">
        <v>34837</v>
      </c>
      <c r="F234" s="2">
        <v>34813</v>
      </c>
      <c r="G234">
        <v>2</v>
      </c>
      <c r="H234">
        <v>1.35</v>
      </c>
      <c r="I234" s="1" t="s">
        <v>217</v>
      </c>
      <c r="J234" s="1" t="s">
        <v>220</v>
      </c>
      <c r="K234" s="1" t="s">
        <v>221</v>
      </c>
      <c r="L234" s="1" t="s">
        <v>1195</v>
      </c>
      <c r="M234" s="1" t="s">
        <v>222</v>
      </c>
      <c r="N234" s="1" t="s">
        <v>91</v>
      </c>
      <c r="O234" s="1">
        <f>MONTH(orders[[#This Row],[OrderDate]])</f>
        <v>4</v>
      </c>
    </row>
    <row r="235" spans="1:15" x14ac:dyDescent="0.35">
      <c r="A235">
        <v>10481</v>
      </c>
      <c r="B235" s="1" t="s">
        <v>559</v>
      </c>
      <c r="C235">
        <v>8</v>
      </c>
      <c r="D235" s="2">
        <v>34809</v>
      </c>
      <c r="E235" s="2">
        <v>34837</v>
      </c>
      <c r="F235" s="2">
        <v>34814</v>
      </c>
      <c r="G235">
        <v>2</v>
      </c>
      <c r="H235">
        <v>64.33</v>
      </c>
      <c r="I235" s="1" t="s">
        <v>560</v>
      </c>
      <c r="J235" s="1" t="s">
        <v>562</v>
      </c>
      <c r="K235" s="1" t="s">
        <v>308</v>
      </c>
      <c r="L235" s="1" t="s">
        <v>309</v>
      </c>
      <c r="M235" s="1" t="s">
        <v>563</v>
      </c>
      <c r="N235" s="1" t="s">
        <v>161</v>
      </c>
      <c r="O235" s="1">
        <f>MONTH(orders[[#This Row],[OrderDate]])</f>
        <v>4</v>
      </c>
    </row>
    <row r="236" spans="1:15" x14ac:dyDescent="0.35">
      <c r="A236">
        <v>10482</v>
      </c>
      <c r="B236" s="1" t="s">
        <v>376</v>
      </c>
      <c r="C236">
        <v>1</v>
      </c>
      <c r="D236" s="2">
        <v>34810</v>
      </c>
      <c r="E236" s="2">
        <v>34838</v>
      </c>
      <c r="F236" s="2">
        <v>34830</v>
      </c>
      <c r="G236">
        <v>3</v>
      </c>
      <c r="H236">
        <v>7.48</v>
      </c>
      <c r="I236" s="1" t="s">
        <v>377</v>
      </c>
      <c r="J236" s="1" t="s">
        <v>379</v>
      </c>
      <c r="K236" s="1" t="s">
        <v>380</v>
      </c>
      <c r="L236" s="1" t="s">
        <v>381</v>
      </c>
      <c r="M236" s="1" t="s">
        <v>382</v>
      </c>
      <c r="N236" s="1" t="s">
        <v>292</v>
      </c>
      <c r="O236" s="1">
        <f>MONTH(orders[[#This Row],[OrderDate]])</f>
        <v>4</v>
      </c>
    </row>
    <row r="237" spans="1:15" x14ac:dyDescent="0.35">
      <c r="A237">
        <v>10483</v>
      </c>
      <c r="B237" s="1" t="s">
        <v>725</v>
      </c>
      <c r="C237">
        <v>7</v>
      </c>
      <c r="D237" s="2">
        <v>34813</v>
      </c>
      <c r="E237" s="2">
        <v>34841</v>
      </c>
      <c r="F237" s="2">
        <v>34845</v>
      </c>
      <c r="G237">
        <v>2</v>
      </c>
      <c r="H237">
        <v>15.28</v>
      </c>
      <c r="I237" s="1" t="s">
        <v>726</v>
      </c>
      <c r="J237" s="1" t="s">
        <v>837</v>
      </c>
      <c r="K237" s="1" t="s">
        <v>728</v>
      </c>
      <c r="L237" s="1" t="s">
        <v>381</v>
      </c>
      <c r="M237" s="1" t="s">
        <v>838</v>
      </c>
      <c r="N237" s="1" t="s">
        <v>292</v>
      </c>
      <c r="O237" s="1">
        <f>MONTH(orders[[#This Row],[OrderDate]])</f>
        <v>4</v>
      </c>
    </row>
    <row r="238" spans="1:15" x14ac:dyDescent="0.35">
      <c r="A238">
        <v>10484</v>
      </c>
      <c r="B238" s="1" t="s">
        <v>122</v>
      </c>
      <c r="C238">
        <v>3</v>
      </c>
      <c r="D238" s="2">
        <v>34813</v>
      </c>
      <c r="E238" s="2">
        <v>34841</v>
      </c>
      <c r="F238" s="2">
        <v>34821</v>
      </c>
      <c r="G238">
        <v>3</v>
      </c>
      <c r="H238">
        <v>6.88</v>
      </c>
      <c r="I238" s="1" t="s">
        <v>123</v>
      </c>
      <c r="J238" s="1" t="s">
        <v>125</v>
      </c>
      <c r="K238" s="1" t="s">
        <v>61</v>
      </c>
      <c r="L238" s="1" t="s">
        <v>1195</v>
      </c>
      <c r="M238" s="1" t="s">
        <v>126</v>
      </c>
      <c r="N238" s="1" t="s">
        <v>63</v>
      </c>
      <c r="O238" s="1">
        <f>MONTH(orders[[#This Row],[OrderDate]])</f>
        <v>4</v>
      </c>
    </row>
    <row r="239" spans="1:15" x14ac:dyDescent="0.35">
      <c r="A239">
        <v>10485</v>
      </c>
      <c r="B239" s="1" t="s">
        <v>408</v>
      </c>
      <c r="C239">
        <v>4</v>
      </c>
      <c r="D239" s="2">
        <v>34814</v>
      </c>
      <c r="E239" s="2">
        <v>34828</v>
      </c>
      <c r="F239" s="2">
        <v>34820</v>
      </c>
      <c r="G239">
        <v>2</v>
      </c>
      <c r="H239">
        <v>64.45</v>
      </c>
      <c r="I239" s="1" t="s">
        <v>409</v>
      </c>
      <c r="J239" s="1" t="s">
        <v>411</v>
      </c>
      <c r="K239" s="1" t="s">
        <v>412</v>
      </c>
      <c r="L239" s="1" t="s">
        <v>413</v>
      </c>
      <c r="M239" s="1" t="s">
        <v>414</v>
      </c>
      <c r="N239" s="1" t="s">
        <v>301</v>
      </c>
      <c r="O239" s="1">
        <f>MONTH(orders[[#This Row],[OrderDate]])</f>
        <v>4</v>
      </c>
    </row>
    <row r="240" spans="1:15" x14ac:dyDescent="0.35">
      <c r="A240">
        <v>10486</v>
      </c>
      <c r="B240" s="1" t="s">
        <v>313</v>
      </c>
      <c r="C240">
        <v>1</v>
      </c>
      <c r="D240" s="2">
        <v>34815</v>
      </c>
      <c r="E240" s="2">
        <v>34843</v>
      </c>
      <c r="F240" s="2">
        <v>34822</v>
      </c>
      <c r="G240">
        <v>2</v>
      </c>
      <c r="H240">
        <v>30.53</v>
      </c>
      <c r="I240" s="1" t="s">
        <v>314</v>
      </c>
      <c r="J240" s="1" t="s">
        <v>316</v>
      </c>
      <c r="K240" s="1" t="s">
        <v>317</v>
      </c>
      <c r="L240" s="1" t="s">
        <v>318</v>
      </c>
      <c r="M240" s="1" t="s">
        <v>319</v>
      </c>
      <c r="N240" s="1" t="s">
        <v>301</v>
      </c>
      <c r="O240" s="1">
        <f>MONTH(orders[[#This Row],[OrderDate]])</f>
        <v>4</v>
      </c>
    </row>
    <row r="241" spans="1:15" x14ac:dyDescent="0.35">
      <c r="A241">
        <v>10487</v>
      </c>
      <c r="B241" s="1" t="s">
        <v>522</v>
      </c>
      <c r="C241">
        <v>2</v>
      </c>
      <c r="D241" s="2">
        <v>34815</v>
      </c>
      <c r="E241" s="2">
        <v>34843</v>
      </c>
      <c r="F241" s="2">
        <v>34817</v>
      </c>
      <c r="G241">
        <v>2</v>
      </c>
      <c r="H241">
        <v>71.069999999999993</v>
      </c>
      <c r="I241" s="1" t="s">
        <v>523</v>
      </c>
      <c r="J241" s="1" t="s">
        <v>525</v>
      </c>
      <c r="K241" s="1" t="s">
        <v>158</v>
      </c>
      <c r="L241" s="1" t="s">
        <v>159</v>
      </c>
      <c r="M241" s="1" t="s">
        <v>526</v>
      </c>
      <c r="N241" s="1" t="s">
        <v>161</v>
      </c>
      <c r="O241" s="1">
        <f>MONTH(orders[[#This Row],[OrderDate]])</f>
        <v>4</v>
      </c>
    </row>
    <row r="242" spans="1:15" x14ac:dyDescent="0.35">
      <c r="A242">
        <v>10488</v>
      </c>
      <c r="B242" s="1" t="s">
        <v>232</v>
      </c>
      <c r="C242">
        <v>8</v>
      </c>
      <c r="D242" s="2">
        <v>34816</v>
      </c>
      <c r="E242" s="2">
        <v>34844</v>
      </c>
      <c r="F242" s="2">
        <v>34822</v>
      </c>
      <c r="G242">
        <v>2</v>
      </c>
      <c r="H242">
        <v>4.93</v>
      </c>
      <c r="I242" s="1" t="s">
        <v>233</v>
      </c>
      <c r="J242" s="1" t="s">
        <v>235</v>
      </c>
      <c r="K242" s="1" t="s">
        <v>236</v>
      </c>
      <c r="L242" s="1" t="s">
        <v>1195</v>
      </c>
      <c r="M242" s="1" t="s">
        <v>237</v>
      </c>
      <c r="N242" s="1" t="s">
        <v>38</v>
      </c>
      <c r="O242" s="1">
        <f>MONTH(orders[[#This Row],[OrderDate]])</f>
        <v>4</v>
      </c>
    </row>
    <row r="243" spans="1:15" x14ac:dyDescent="0.35">
      <c r="A243">
        <v>10489</v>
      </c>
      <c r="B243" s="1" t="s">
        <v>501</v>
      </c>
      <c r="C243">
        <v>6</v>
      </c>
      <c r="D243" s="2">
        <v>34817</v>
      </c>
      <c r="E243" s="2">
        <v>34845</v>
      </c>
      <c r="F243" s="2">
        <v>34829</v>
      </c>
      <c r="G243">
        <v>2</v>
      </c>
      <c r="H243">
        <v>5.29</v>
      </c>
      <c r="I243" s="1" t="s">
        <v>502</v>
      </c>
      <c r="J243" s="1" t="s">
        <v>504</v>
      </c>
      <c r="K243" s="1" t="s">
        <v>505</v>
      </c>
      <c r="L243" s="1" t="s">
        <v>1195</v>
      </c>
      <c r="M243" s="1" t="s">
        <v>506</v>
      </c>
      <c r="N243" s="1" t="s">
        <v>199</v>
      </c>
      <c r="O243" s="1">
        <f>MONTH(orders[[#This Row],[OrderDate]])</f>
        <v>4</v>
      </c>
    </row>
    <row r="244" spans="1:15" x14ac:dyDescent="0.35">
      <c r="A244">
        <v>10490</v>
      </c>
      <c r="B244" s="1" t="s">
        <v>313</v>
      </c>
      <c r="C244">
        <v>7</v>
      </c>
      <c r="D244" s="2">
        <v>34820</v>
      </c>
      <c r="E244" s="2">
        <v>34848</v>
      </c>
      <c r="F244" s="2">
        <v>34823</v>
      </c>
      <c r="G244">
        <v>2</v>
      </c>
      <c r="H244">
        <v>210.19</v>
      </c>
      <c r="I244" s="1" t="s">
        <v>314</v>
      </c>
      <c r="J244" s="1" t="s">
        <v>316</v>
      </c>
      <c r="K244" s="1" t="s">
        <v>317</v>
      </c>
      <c r="L244" s="1" t="s">
        <v>318</v>
      </c>
      <c r="M244" s="1" t="s">
        <v>319</v>
      </c>
      <c r="N244" s="1" t="s">
        <v>301</v>
      </c>
      <c r="O244" s="1">
        <f>MONTH(orders[[#This Row],[OrderDate]])</f>
        <v>5</v>
      </c>
    </row>
    <row r="245" spans="1:15" x14ac:dyDescent="0.35">
      <c r="A245">
        <v>10491</v>
      </c>
      <c r="B245" s="1" t="s">
        <v>255</v>
      </c>
      <c r="C245">
        <v>8</v>
      </c>
      <c r="D245" s="2">
        <v>34820</v>
      </c>
      <c r="E245" s="2">
        <v>34848</v>
      </c>
      <c r="F245" s="2">
        <v>34828</v>
      </c>
      <c r="G245">
        <v>3</v>
      </c>
      <c r="H245">
        <v>16.96</v>
      </c>
      <c r="I245" s="1" t="s">
        <v>256</v>
      </c>
      <c r="J245" s="1" t="s">
        <v>257</v>
      </c>
      <c r="K245" s="1" t="s">
        <v>258</v>
      </c>
      <c r="L245" s="1" t="s">
        <v>1195</v>
      </c>
      <c r="M245" s="1" t="s">
        <v>259</v>
      </c>
      <c r="N245" s="1" t="s">
        <v>260</v>
      </c>
      <c r="O245" s="1">
        <f>MONTH(orders[[#This Row],[OrderDate]])</f>
        <v>5</v>
      </c>
    </row>
    <row r="246" spans="1:15" x14ac:dyDescent="0.35">
      <c r="A246">
        <v>10492</v>
      </c>
      <c r="B246" s="1" t="s">
        <v>111</v>
      </c>
      <c r="C246">
        <v>3</v>
      </c>
      <c r="D246" s="2">
        <v>34821</v>
      </c>
      <c r="E246" s="2">
        <v>34849</v>
      </c>
      <c r="F246" s="2">
        <v>34831</v>
      </c>
      <c r="G246">
        <v>1</v>
      </c>
      <c r="H246">
        <v>62.89</v>
      </c>
      <c r="I246" s="1" t="s">
        <v>112</v>
      </c>
      <c r="J246" s="1" t="s">
        <v>115</v>
      </c>
      <c r="K246" s="1" t="s">
        <v>116</v>
      </c>
      <c r="L246" s="1" t="s">
        <v>117</v>
      </c>
      <c r="M246" s="1" t="s">
        <v>118</v>
      </c>
      <c r="N246" s="1" t="s">
        <v>119</v>
      </c>
      <c r="O246" s="1">
        <f>MONTH(orders[[#This Row],[OrderDate]])</f>
        <v>5</v>
      </c>
    </row>
    <row r="247" spans="1:15" x14ac:dyDescent="0.35">
      <c r="A247">
        <v>10493</v>
      </c>
      <c r="B247" s="1" t="s">
        <v>360</v>
      </c>
      <c r="C247">
        <v>4</v>
      </c>
      <c r="D247" s="2">
        <v>34822</v>
      </c>
      <c r="E247" s="2">
        <v>34850</v>
      </c>
      <c r="F247" s="2">
        <v>34830</v>
      </c>
      <c r="G247">
        <v>3</v>
      </c>
      <c r="H247">
        <v>10.64</v>
      </c>
      <c r="I247" s="1" t="s">
        <v>361</v>
      </c>
      <c r="J247" s="1" t="s">
        <v>363</v>
      </c>
      <c r="K247" s="1" t="s">
        <v>364</v>
      </c>
      <c r="L247" s="1" t="s">
        <v>1195</v>
      </c>
      <c r="M247" s="1" t="s">
        <v>365</v>
      </c>
      <c r="N247" s="1" t="s">
        <v>91</v>
      </c>
      <c r="O247" s="1">
        <f>MONTH(orders[[#This Row],[OrderDate]])</f>
        <v>5</v>
      </c>
    </row>
    <row r="248" spans="1:15" x14ac:dyDescent="0.35">
      <c r="A248">
        <v>10494</v>
      </c>
      <c r="B248" s="1" t="s">
        <v>153</v>
      </c>
      <c r="C248">
        <v>4</v>
      </c>
      <c r="D248" s="2">
        <v>34822</v>
      </c>
      <c r="E248" s="2">
        <v>34850</v>
      </c>
      <c r="F248" s="2">
        <v>34829</v>
      </c>
      <c r="G248">
        <v>2</v>
      </c>
      <c r="H248">
        <v>65.989999999999995</v>
      </c>
      <c r="I248" s="1" t="s">
        <v>154</v>
      </c>
      <c r="J248" s="1" t="s">
        <v>157</v>
      </c>
      <c r="K248" s="1" t="s">
        <v>158</v>
      </c>
      <c r="L248" s="1" t="s">
        <v>159</v>
      </c>
      <c r="M248" s="1" t="s">
        <v>160</v>
      </c>
      <c r="N248" s="1" t="s">
        <v>161</v>
      </c>
      <c r="O248" s="1">
        <f>MONTH(orders[[#This Row],[OrderDate]])</f>
        <v>5</v>
      </c>
    </row>
    <row r="249" spans="1:15" x14ac:dyDescent="0.35">
      <c r="A249">
        <v>10495</v>
      </c>
      <c r="B249" s="1" t="s">
        <v>368</v>
      </c>
      <c r="C249">
        <v>3</v>
      </c>
      <c r="D249" s="2">
        <v>34823</v>
      </c>
      <c r="E249" s="2">
        <v>34851</v>
      </c>
      <c r="F249" s="2">
        <v>34831</v>
      </c>
      <c r="G249">
        <v>3</v>
      </c>
      <c r="H249">
        <v>4.6500000000000004</v>
      </c>
      <c r="I249" s="1" t="s">
        <v>369</v>
      </c>
      <c r="J249" s="1" t="s">
        <v>845</v>
      </c>
      <c r="K249" s="1" t="s">
        <v>372</v>
      </c>
      <c r="L249" s="1" t="s">
        <v>117</v>
      </c>
      <c r="M249" s="1" t="s">
        <v>373</v>
      </c>
      <c r="N249" s="1" t="s">
        <v>119</v>
      </c>
      <c r="O249" s="1">
        <f>MONTH(orders[[#This Row],[OrderDate]])</f>
        <v>5</v>
      </c>
    </row>
    <row r="250" spans="1:15" x14ac:dyDescent="0.35">
      <c r="A250">
        <v>10496</v>
      </c>
      <c r="B250" s="1" t="s">
        <v>663</v>
      </c>
      <c r="C250">
        <v>7</v>
      </c>
      <c r="D250" s="2">
        <v>34824</v>
      </c>
      <c r="E250" s="2">
        <v>34852</v>
      </c>
      <c r="F250" s="2">
        <v>34827</v>
      </c>
      <c r="G250">
        <v>2</v>
      </c>
      <c r="H250">
        <v>46.77</v>
      </c>
      <c r="I250" s="1" t="s">
        <v>664</v>
      </c>
      <c r="J250" s="1" t="s">
        <v>666</v>
      </c>
      <c r="K250" s="1" t="s">
        <v>158</v>
      </c>
      <c r="L250" s="1" t="s">
        <v>159</v>
      </c>
      <c r="M250" s="1" t="s">
        <v>667</v>
      </c>
      <c r="N250" s="1" t="s">
        <v>161</v>
      </c>
      <c r="O250" s="1">
        <f>MONTH(orders[[#This Row],[OrderDate]])</f>
        <v>5</v>
      </c>
    </row>
    <row r="251" spans="1:15" x14ac:dyDescent="0.35">
      <c r="A251">
        <v>10497</v>
      </c>
      <c r="B251" s="1" t="s">
        <v>385</v>
      </c>
      <c r="C251">
        <v>7</v>
      </c>
      <c r="D251" s="2">
        <v>34824</v>
      </c>
      <c r="E251" s="2">
        <v>34852</v>
      </c>
      <c r="F251" s="2">
        <v>34827</v>
      </c>
      <c r="G251">
        <v>1</v>
      </c>
      <c r="H251">
        <v>36.21</v>
      </c>
      <c r="I251" s="1" t="s">
        <v>386</v>
      </c>
      <c r="J251" s="1" t="s">
        <v>388</v>
      </c>
      <c r="K251" s="1" t="s">
        <v>1201</v>
      </c>
      <c r="L251" s="1" t="s">
        <v>1195</v>
      </c>
      <c r="M251" s="1" t="s">
        <v>389</v>
      </c>
      <c r="N251" s="1" t="s">
        <v>38</v>
      </c>
      <c r="O251" s="1">
        <f>MONTH(orders[[#This Row],[OrderDate]])</f>
        <v>5</v>
      </c>
    </row>
    <row r="252" spans="1:15" x14ac:dyDescent="0.35">
      <c r="A252">
        <v>10498</v>
      </c>
      <c r="B252" s="1" t="s">
        <v>313</v>
      </c>
      <c r="C252">
        <v>8</v>
      </c>
      <c r="D252" s="2">
        <v>34827</v>
      </c>
      <c r="E252" s="2">
        <v>34855</v>
      </c>
      <c r="F252" s="2">
        <v>34831</v>
      </c>
      <c r="G252">
        <v>2</v>
      </c>
      <c r="H252">
        <v>29.75</v>
      </c>
      <c r="I252" s="1" t="s">
        <v>314</v>
      </c>
      <c r="J252" s="1" t="s">
        <v>316</v>
      </c>
      <c r="K252" s="1" t="s">
        <v>317</v>
      </c>
      <c r="L252" s="1" t="s">
        <v>318</v>
      </c>
      <c r="M252" s="1" t="s">
        <v>319</v>
      </c>
      <c r="N252" s="1" t="s">
        <v>301</v>
      </c>
      <c r="O252" s="1">
        <f>MONTH(orders[[#This Row],[OrderDate]])</f>
        <v>5</v>
      </c>
    </row>
    <row r="253" spans="1:15" x14ac:dyDescent="0.35">
      <c r="A253">
        <v>10499</v>
      </c>
      <c r="B253" s="1" t="s">
        <v>399</v>
      </c>
      <c r="C253">
        <v>4</v>
      </c>
      <c r="D253" s="2">
        <v>34828</v>
      </c>
      <c r="E253" s="2">
        <v>34856</v>
      </c>
      <c r="F253" s="2">
        <v>34836</v>
      </c>
      <c r="G253">
        <v>2</v>
      </c>
      <c r="H253">
        <v>102.02</v>
      </c>
      <c r="I253" s="1" t="s">
        <v>400</v>
      </c>
      <c r="J253" s="1" t="s">
        <v>402</v>
      </c>
      <c r="K253" s="1" t="s">
        <v>403</v>
      </c>
      <c r="L253" s="1" t="s">
        <v>404</v>
      </c>
      <c r="M253" s="1" t="s">
        <v>405</v>
      </c>
      <c r="N253" s="1" t="s">
        <v>301</v>
      </c>
      <c r="O253" s="1">
        <f>MONTH(orders[[#This Row],[OrderDate]])</f>
        <v>5</v>
      </c>
    </row>
    <row r="254" spans="1:15" x14ac:dyDescent="0.35">
      <c r="A254">
        <v>10500</v>
      </c>
      <c r="B254" s="1" t="s">
        <v>360</v>
      </c>
      <c r="C254">
        <v>6</v>
      </c>
      <c r="D254" s="2">
        <v>34829</v>
      </c>
      <c r="E254" s="2">
        <v>34857</v>
      </c>
      <c r="F254" s="2">
        <v>34837</v>
      </c>
      <c r="G254">
        <v>1</v>
      </c>
      <c r="H254">
        <v>42.68</v>
      </c>
      <c r="I254" s="1" t="s">
        <v>361</v>
      </c>
      <c r="J254" s="1" t="s">
        <v>363</v>
      </c>
      <c r="K254" s="1" t="s">
        <v>364</v>
      </c>
      <c r="L254" s="1" t="s">
        <v>1195</v>
      </c>
      <c r="M254" s="1" t="s">
        <v>365</v>
      </c>
      <c r="N254" s="1" t="s">
        <v>91</v>
      </c>
      <c r="O254" s="1">
        <f>MONTH(orders[[#This Row],[OrderDate]])</f>
        <v>5</v>
      </c>
    </row>
    <row r="255" spans="1:15" x14ac:dyDescent="0.35">
      <c r="A255">
        <v>10501</v>
      </c>
      <c r="B255" s="1" t="s">
        <v>76</v>
      </c>
      <c r="C255">
        <v>9</v>
      </c>
      <c r="D255" s="2">
        <v>34829</v>
      </c>
      <c r="E255" s="2">
        <v>34857</v>
      </c>
      <c r="F255" s="2">
        <v>34836</v>
      </c>
      <c r="G255">
        <v>3</v>
      </c>
      <c r="H255">
        <v>8.85</v>
      </c>
      <c r="I255" s="1" t="s">
        <v>77</v>
      </c>
      <c r="J255" s="1" t="s">
        <v>79</v>
      </c>
      <c r="K255" s="1" t="s">
        <v>80</v>
      </c>
      <c r="L255" s="1" t="s">
        <v>1195</v>
      </c>
      <c r="M255" s="1" t="s">
        <v>81</v>
      </c>
      <c r="N255" s="1" t="s">
        <v>38</v>
      </c>
      <c r="O255" s="1">
        <f>MONTH(orders[[#This Row],[OrderDate]])</f>
        <v>5</v>
      </c>
    </row>
    <row r="256" spans="1:15" x14ac:dyDescent="0.35">
      <c r="A256">
        <v>10502</v>
      </c>
      <c r="B256" s="1" t="s">
        <v>494</v>
      </c>
      <c r="C256">
        <v>2</v>
      </c>
      <c r="D256" s="2">
        <v>34830</v>
      </c>
      <c r="E256" s="2">
        <v>34858</v>
      </c>
      <c r="F256" s="2">
        <v>34849</v>
      </c>
      <c r="G256">
        <v>1</v>
      </c>
      <c r="H256">
        <v>69.319999999999993</v>
      </c>
      <c r="I256" s="1" t="s">
        <v>495</v>
      </c>
      <c r="J256" s="1" t="s">
        <v>497</v>
      </c>
      <c r="K256" s="1" t="s">
        <v>46</v>
      </c>
      <c r="L256" s="1" t="s">
        <v>1195</v>
      </c>
      <c r="M256" s="1" t="s">
        <v>498</v>
      </c>
      <c r="N256" s="1" t="s">
        <v>48</v>
      </c>
      <c r="O256" s="1">
        <f>MONTH(orders[[#This Row],[OrderDate]])</f>
        <v>5</v>
      </c>
    </row>
    <row r="257" spans="1:15" x14ac:dyDescent="0.35">
      <c r="A257">
        <v>10503</v>
      </c>
      <c r="B257" s="1" t="s">
        <v>329</v>
      </c>
      <c r="C257">
        <v>6</v>
      </c>
      <c r="D257" s="2">
        <v>34831</v>
      </c>
      <c r="E257" s="2">
        <v>34859</v>
      </c>
      <c r="F257" s="2">
        <v>34836</v>
      </c>
      <c r="G257">
        <v>2</v>
      </c>
      <c r="H257">
        <v>16.739999999999998</v>
      </c>
      <c r="I257" s="1" t="s">
        <v>330</v>
      </c>
      <c r="J257" s="1" t="s">
        <v>332</v>
      </c>
      <c r="K257" s="1" t="s">
        <v>333</v>
      </c>
      <c r="L257" s="1" t="s">
        <v>334</v>
      </c>
      <c r="M257" s="1" t="s">
        <v>1195</v>
      </c>
      <c r="N257" s="1" t="s">
        <v>335</v>
      </c>
      <c r="O257" s="1">
        <f>MONTH(orders[[#This Row],[OrderDate]])</f>
        <v>5</v>
      </c>
    </row>
    <row r="258" spans="1:15" x14ac:dyDescent="0.35">
      <c r="A258">
        <v>10504</v>
      </c>
      <c r="B258" s="1" t="s">
        <v>725</v>
      </c>
      <c r="C258">
        <v>4</v>
      </c>
      <c r="D258" s="2">
        <v>34831</v>
      </c>
      <c r="E258" s="2">
        <v>34859</v>
      </c>
      <c r="F258" s="2">
        <v>34838</v>
      </c>
      <c r="G258">
        <v>3</v>
      </c>
      <c r="H258">
        <v>59.13</v>
      </c>
      <c r="I258" s="1" t="s">
        <v>726</v>
      </c>
      <c r="J258" s="1" t="s">
        <v>837</v>
      </c>
      <c r="K258" s="1" t="s">
        <v>728</v>
      </c>
      <c r="L258" s="1" t="s">
        <v>381</v>
      </c>
      <c r="M258" s="1" t="s">
        <v>838</v>
      </c>
      <c r="N258" s="1" t="s">
        <v>292</v>
      </c>
      <c r="O258" s="1">
        <f>MONTH(orders[[#This Row],[OrderDate]])</f>
        <v>5</v>
      </c>
    </row>
    <row r="259" spans="1:15" x14ac:dyDescent="0.35">
      <c r="A259">
        <v>10505</v>
      </c>
      <c r="B259" s="1" t="s">
        <v>442</v>
      </c>
      <c r="C259">
        <v>3</v>
      </c>
      <c r="D259" s="2">
        <v>34834</v>
      </c>
      <c r="E259" s="2">
        <v>34862</v>
      </c>
      <c r="F259" s="2">
        <v>34841</v>
      </c>
      <c r="G259">
        <v>3</v>
      </c>
      <c r="H259">
        <v>7.13</v>
      </c>
      <c r="I259" s="1" t="s">
        <v>443</v>
      </c>
      <c r="J259" s="1" t="s">
        <v>445</v>
      </c>
      <c r="K259" s="1" t="s">
        <v>446</v>
      </c>
      <c r="L259" s="1" t="s">
        <v>447</v>
      </c>
      <c r="M259" s="1" t="s">
        <v>448</v>
      </c>
      <c r="N259" s="1" t="s">
        <v>119</v>
      </c>
      <c r="O259" s="1">
        <f>MONTH(orders[[#This Row],[OrderDate]])</f>
        <v>5</v>
      </c>
    </row>
    <row r="260" spans="1:15" x14ac:dyDescent="0.35">
      <c r="A260">
        <v>10506</v>
      </c>
      <c r="B260" s="1" t="s">
        <v>345</v>
      </c>
      <c r="C260">
        <v>9</v>
      </c>
      <c r="D260" s="2">
        <v>34835</v>
      </c>
      <c r="E260" s="2">
        <v>34863</v>
      </c>
      <c r="F260" s="2">
        <v>34852</v>
      </c>
      <c r="G260">
        <v>2</v>
      </c>
      <c r="H260">
        <v>21.19</v>
      </c>
      <c r="I260" s="1" t="s">
        <v>346</v>
      </c>
      <c r="J260" s="1" t="s">
        <v>348</v>
      </c>
      <c r="K260" s="1" t="s">
        <v>349</v>
      </c>
      <c r="L260" s="1" t="s">
        <v>1195</v>
      </c>
      <c r="M260" s="1" t="s">
        <v>350</v>
      </c>
      <c r="N260" s="1" t="s">
        <v>38</v>
      </c>
      <c r="O260" s="1">
        <f>MONTH(orders[[#This Row],[OrderDate]])</f>
        <v>5</v>
      </c>
    </row>
    <row r="261" spans="1:15" x14ac:dyDescent="0.35">
      <c r="A261">
        <v>10507</v>
      </c>
      <c r="B261" s="1" t="s">
        <v>51</v>
      </c>
      <c r="C261">
        <v>7</v>
      </c>
      <c r="D261" s="2">
        <v>34835</v>
      </c>
      <c r="E261" s="2">
        <v>34863</v>
      </c>
      <c r="F261" s="2">
        <v>34842</v>
      </c>
      <c r="G261">
        <v>1</v>
      </c>
      <c r="H261">
        <v>47.45</v>
      </c>
      <c r="I261" s="1" t="s">
        <v>52</v>
      </c>
      <c r="J261" s="1" t="s">
        <v>54</v>
      </c>
      <c r="K261" s="1" t="s">
        <v>46</v>
      </c>
      <c r="L261" s="1" t="s">
        <v>1195</v>
      </c>
      <c r="M261" s="1" t="s">
        <v>55</v>
      </c>
      <c r="N261" s="1" t="s">
        <v>48</v>
      </c>
      <c r="O261" s="1">
        <f>MONTH(orders[[#This Row],[OrderDate]])</f>
        <v>5</v>
      </c>
    </row>
    <row r="262" spans="1:15" x14ac:dyDescent="0.35">
      <c r="A262">
        <v>10508</v>
      </c>
      <c r="B262" s="1" t="s">
        <v>478</v>
      </c>
      <c r="C262">
        <v>1</v>
      </c>
      <c r="D262" s="2">
        <v>34836</v>
      </c>
      <c r="E262" s="2">
        <v>34864</v>
      </c>
      <c r="F262" s="2">
        <v>34863</v>
      </c>
      <c r="G262">
        <v>2</v>
      </c>
      <c r="H262">
        <v>4.99</v>
      </c>
      <c r="I262" s="1" t="s">
        <v>479</v>
      </c>
      <c r="J262" s="1" t="s">
        <v>481</v>
      </c>
      <c r="K262" s="1" t="s">
        <v>482</v>
      </c>
      <c r="L262" s="1" t="s">
        <v>1195</v>
      </c>
      <c r="M262" s="1" t="s">
        <v>483</v>
      </c>
      <c r="N262" s="1" t="s">
        <v>38</v>
      </c>
      <c r="O262" s="1">
        <f>MONTH(orders[[#This Row],[OrderDate]])</f>
        <v>5</v>
      </c>
    </row>
    <row r="263" spans="1:15" x14ac:dyDescent="0.35">
      <c r="A263">
        <v>10509</v>
      </c>
      <c r="B263" s="1" t="s">
        <v>76</v>
      </c>
      <c r="C263">
        <v>4</v>
      </c>
      <c r="D263" s="2">
        <v>34837</v>
      </c>
      <c r="E263" s="2">
        <v>34865</v>
      </c>
      <c r="F263" s="2">
        <v>34849</v>
      </c>
      <c r="G263">
        <v>1</v>
      </c>
      <c r="H263">
        <v>0.15</v>
      </c>
      <c r="I263" s="1" t="s">
        <v>77</v>
      </c>
      <c r="J263" s="1" t="s">
        <v>79</v>
      </c>
      <c r="K263" s="1" t="s">
        <v>80</v>
      </c>
      <c r="L263" s="1" t="s">
        <v>1195</v>
      </c>
      <c r="M263" s="1" t="s">
        <v>81</v>
      </c>
      <c r="N263" s="1" t="s">
        <v>38</v>
      </c>
      <c r="O263" s="1">
        <f>MONTH(orders[[#This Row],[OrderDate]])</f>
        <v>5</v>
      </c>
    </row>
    <row r="264" spans="1:15" x14ac:dyDescent="0.35">
      <c r="A264">
        <v>10510</v>
      </c>
      <c r="B264" s="1" t="s">
        <v>588</v>
      </c>
      <c r="C264">
        <v>6</v>
      </c>
      <c r="D264" s="2">
        <v>34838</v>
      </c>
      <c r="E264" s="2">
        <v>34866</v>
      </c>
      <c r="F264" s="2">
        <v>34848</v>
      </c>
      <c r="G264">
        <v>3</v>
      </c>
      <c r="H264">
        <v>367.63</v>
      </c>
      <c r="I264" s="1" t="s">
        <v>589</v>
      </c>
      <c r="J264" s="1" t="s">
        <v>591</v>
      </c>
      <c r="K264" s="1" t="s">
        <v>592</v>
      </c>
      <c r="L264" s="1" t="s">
        <v>593</v>
      </c>
      <c r="M264" s="1" t="s">
        <v>594</v>
      </c>
      <c r="N264" s="1" t="s">
        <v>292</v>
      </c>
      <c r="O264" s="1">
        <f>MONTH(orders[[#This Row],[OrderDate]])</f>
        <v>5</v>
      </c>
    </row>
    <row r="265" spans="1:15" x14ac:dyDescent="0.35">
      <c r="A265">
        <v>10511</v>
      </c>
      <c r="B265" s="1" t="s">
        <v>103</v>
      </c>
      <c r="C265">
        <v>4</v>
      </c>
      <c r="D265" s="2">
        <v>34838</v>
      </c>
      <c r="E265" s="2">
        <v>34866</v>
      </c>
      <c r="F265" s="2">
        <v>34841</v>
      </c>
      <c r="G265">
        <v>3</v>
      </c>
      <c r="H265">
        <v>350.64</v>
      </c>
      <c r="I265" s="1" t="s">
        <v>104</v>
      </c>
      <c r="J265" s="1" t="s">
        <v>106</v>
      </c>
      <c r="K265" s="1" t="s">
        <v>107</v>
      </c>
      <c r="L265" s="1" t="s">
        <v>1195</v>
      </c>
      <c r="M265" s="1" t="s">
        <v>108</v>
      </c>
      <c r="N265" s="1" t="s">
        <v>91</v>
      </c>
      <c r="O265" s="1">
        <f>MONTH(orders[[#This Row],[OrderDate]])</f>
        <v>5</v>
      </c>
    </row>
    <row r="266" spans="1:15" x14ac:dyDescent="0.35">
      <c r="A266">
        <v>10512</v>
      </c>
      <c r="B266" s="1" t="s">
        <v>202</v>
      </c>
      <c r="C266">
        <v>7</v>
      </c>
      <c r="D266" s="2">
        <v>34841</v>
      </c>
      <c r="E266" s="2">
        <v>34869</v>
      </c>
      <c r="F266" s="2">
        <v>34844</v>
      </c>
      <c r="G266">
        <v>2</v>
      </c>
      <c r="H266">
        <v>3.53</v>
      </c>
      <c r="I266" s="1" t="s">
        <v>203</v>
      </c>
      <c r="J266" s="1" t="s">
        <v>206</v>
      </c>
      <c r="K266" s="1" t="s">
        <v>158</v>
      </c>
      <c r="L266" s="1" t="s">
        <v>159</v>
      </c>
      <c r="M266" s="1" t="s">
        <v>207</v>
      </c>
      <c r="N266" s="1" t="s">
        <v>161</v>
      </c>
      <c r="O266" s="1">
        <f>MONTH(orders[[#This Row],[OrderDate]])</f>
        <v>5</v>
      </c>
    </row>
    <row r="267" spans="1:15" x14ac:dyDescent="0.35">
      <c r="A267">
        <v>10513</v>
      </c>
      <c r="B267" s="1" t="s">
        <v>702</v>
      </c>
      <c r="C267">
        <v>7</v>
      </c>
      <c r="D267" s="2">
        <v>34842</v>
      </c>
      <c r="E267" s="2">
        <v>34884</v>
      </c>
      <c r="F267" s="2">
        <v>34848</v>
      </c>
      <c r="G267">
        <v>1</v>
      </c>
      <c r="H267">
        <v>105.65</v>
      </c>
      <c r="I267" s="1" t="s">
        <v>703</v>
      </c>
      <c r="J267" s="1" t="s">
        <v>705</v>
      </c>
      <c r="K267" s="1" t="s">
        <v>706</v>
      </c>
      <c r="L267" s="1" t="s">
        <v>1195</v>
      </c>
      <c r="M267" s="1" t="s">
        <v>707</v>
      </c>
      <c r="N267" s="1" t="s">
        <v>38</v>
      </c>
      <c r="O267" s="1">
        <f>MONTH(orders[[#This Row],[OrderDate]])</f>
        <v>5</v>
      </c>
    </row>
    <row r="268" spans="1:15" x14ac:dyDescent="0.35">
      <c r="A268">
        <v>10514</v>
      </c>
      <c r="B268" s="1" t="s">
        <v>192</v>
      </c>
      <c r="C268">
        <v>3</v>
      </c>
      <c r="D268" s="2">
        <v>34842</v>
      </c>
      <c r="E268" s="2">
        <v>34870</v>
      </c>
      <c r="F268" s="2">
        <v>34866</v>
      </c>
      <c r="G268">
        <v>2</v>
      </c>
      <c r="H268">
        <v>789.95</v>
      </c>
      <c r="I268" s="1" t="s">
        <v>193</v>
      </c>
      <c r="J268" s="1" t="s">
        <v>196</v>
      </c>
      <c r="K268" s="1" t="s">
        <v>197</v>
      </c>
      <c r="L268" s="1" t="s">
        <v>1195</v>
      </c>
      <c r="M268" s="1" t="s">
        <v>198</v>
      </c>
      <c r="N268" s="1" t="s">
        <v>199</v>
      </c>
      <c r="O268" s="1">
        <f>MONTH(orders[[#This Row],[OrderDate]])</f>
        <v>5</v>
      </c>
    </row>
    <row r="269" spans="1:15" x14ac:dyDescent="0.35">
      <c r="A269">
        <v>10515</v>
      </c>
      <c r="B269" s="1" t="s">
        <v>528</v>
      </c>
      <c r="C269">
        <v>2</v>
      </c>
      <c r="D269" s="2">
        <v>34843</v>
      </c>
      <c r="E269" s="2">
        <v>34857</v>
      </c>
      <c r="F269" s="2">
        <v>34873</v>
      </c>
      <c r="G269">
        <v>1</v>
      </c>
      <c r="H269">
        <v>204.47</v>
      </c>
      <c r="I269" s="1" t="s">
        <v>529</v>
      </c>
      <c r="J269" s="1" t="s">
        <v>531</v>
      </c>
      <c r="K269" s="1" t="s">
        <v>532</v>
      </c>
      <c r="L269" s="1" t="s">
        <v>1195</v>
      </c>
      <c r="M269" s="1" t="s">
        <v>533</v>
      </c>
      <c r="N269" s="1" t="s">
        <v>38</v>
      </c>
      <c r="O269" s="1">
        <f>MONTH(orders[[#This Row],[OrderDate]])</f>
        <v>5</v>
      </c>
    </row>
    <row r="270" spans="1:15" x14ac:dyDescent="0.35">
      <c r="A270">
        <v>10516</v>
      </c>
      <c r="B270" s="1" t="s">
        <v>329</v>
      </c>
      <c r="C270">
        <v>2</v>
      </c>
      <c r="D270" s="2">
        <v>34844</v>
      </c>
      <c r="E270" s="2">
        <v>34872</v>
      </c>
      <c r="F270" s="2">
        <v>34851</v>
      </c>
      <c r="G270">
        <v>3</v>
      </c>
      <c r="H270">
        <v>62.78</v>
      </c>
      <c r="I270" s="1" t="s">
        <v>330</v>
      </c>
      <c r="J270" s="1" t="s">
        <v>332</v>
      </c>
      <c r="K270" s="1" t="s">
        <v>333</v>
      </c>
      <c r="L270" s="1" t="s">
        <v>334</v>
      </c>
      <c r="M270" s="1" t="s">
        <v>1195</v>
      </c>
      <c r="N270" s="1" t="s">
        <v>335</v>
      </c>
      <c r="O270" s="1">
        <f>MONTH(orders[[#This Row],[OrderDate]])</f>
        <v>5</v>
      </c>
    </row>
    <row r="271" spans="1:15" x14ac:dyDescent="0.35">
      <c r="A271">
        <v>10517</v>
      </c>
      <c r="B271" s="1" t="s">
        <v>458</v>
      </c>
      <c r="C271">
        <v>3</v>
      </c>
      <c r="D271" s="2">
        <v>34844</v>
      </c>
      <c r="E271" s="2">
        <v>34872</v>
      </c>
      <c r="F271" s="2">
        <v>34849</v>
      </c>
      <c r="G271">
        <v>3</v>
      </c>
      <c r="H271">
        <v>32.07</v>
      </c>
      <c r="I271" s="1" t="s">
        <v>459</v>
      </c>
      <c r="J271" s="1" t="s">
        <v>1203</v>
      </c>
      <c r="K271" s="1" t="s">
        <v>61</v>
      </c>
      <c r="L271" s="1" t="s">
        <v>1195</v>
      </c>
      <c r="M271" s="1" t="s">
        <v>461</v>
      </c>
      <c r="N271" s="1" t="s">
        <v>63</v>
      </c>
      <c r="O271" s="1">
        <f>MONTH(orders[[#This Row],[OrderDate]])</f>
        <v>5</v>
      </c>
    </row>
    <row r="272" spans="1:15" x14ac:dyDescent="0.35">
      <c r="A272">
        <v>10518</v>
      </c>
      <c r="B272" s="1" t="s">
        <v>658</v>
      </c>
      <c r="C272">
        <v>4</v>
      </c>
      <c r="D272" s="2">
        <v>34845</v>
      </c>
      <c r="E272" s="2">
        <v>34859</v>
      </c>
      <c r="F272" s="2">
        <v>34855</v>
      </c>
      <c r="G272">
        <v>2</v>
      </c>
      <c r="H272">
        <v>218.15</v>
      </c>
      <c r="I272" s="1" t="s">
        <v>659</v>
      </c>
      <c r="J272" s="1" t="s">
        <v>661</v>
      </c>
      <c r="K272" s="1" t="s">
        <v>46</v>
      </c>
      <c r="L272" s="1" t="s">
        <v>1195</v>
      </c>
      <c r="M272" s="1" t="s">
        <v>498</v>
      </c>
      <c r="N272" s="1" t="s">
        <v>48</v>
      </c>
      <c r="O272" s="1">
        <f>MONTH(orders[[#This Row],[OrderDate]])</f>
        <v>5</v>
      </c>
    </row>
    <row r="273" spans="1:15" x14ac:dyDescent="0.35">
      <c r="A273">
        <v>10519</v>
      </c>
      <c r="B273" s="1" t="s">
        <v>145</v>
      </c>
      <c r="C273">
        <v>6</v>
      </c>
      <c r="D273" s="2">
        <v>34848</v>
      </c>
      <c r="E273" s="2">
        <v>34876</v>
      </c>
      <c r="F273" s="2">
        <v>34851</v>
      </c>
      <c r="G273">
        <v>3</v>
      </c>
      <c r="H273">
        <v>91.76</v>
      </c>
      <c r="I273" s="1" t="s">
        <v>146</v>
      </c>
      <c r="J273" s="1" t="s">
        <v>834</v>
      </c>
      <c r="K273" s="1" t="s">
        <v>149</v>
      </c>
      <c r="L273" s="1" t="s">
        <v>1195</v>
      </c>
      <c r="M273" s="1" t="s">
        <v>150</v>
      </c>
      <c r="N273" s="1" t="s">
        <v>151</v>
      </c>
      <c r="O273" s="1">
        <f>MONTH(orders[[#This Row],[OrderDate]])</f>
        <v>5</v>
      </c>
    </row>
    <row r="274" spans="1:15" x14ac:dyDescent="0.35">
      <c r="A274">
        <v>10520</v>
      </c>
      <c r="B274" s="1" t="s">
        <v>579</v>
      </c>
      <c r="C274">
        <v>7</v>
      </c>
      <c r="D274" s="2">
        <v>34849</v>
      </c>
      <c r="E274" s="2">
        <v>34877</v>
      </c>
      <c r="F274" s="2">
        <v>34851</v>
      </c>
      <c r="G274">
        <v>1</v>
      </c>
      <c r="H274">
        <v>13.37</v>
      </c>
      <c r="I274" s="1" t="s">
        <v>580</v>
      </c>
      <c r="J274" s="1" t="s">
        <v>582</v>
      </c>
      <c r="K274" s="1" t="s">
        <v>583</v>
      </c>
      <c r="L274" s="1" t="s">
        <v>1195</v>
      </c>
      <c r="M274" s="1" t="s">
        <v>584</v>
      </c>
      <c r="N274" s="1" t="s">
        <v>585</v>
      </c>
      <c r="O274" s="1">
        <f>MONTH(orders[[#This Row],[OrderDate]])</f>
        <v>5</v>
      </c>
    </row>
    <row r="275" spans="1:15" x14ac:dyDescent="0.35">
      <c r="A275">
        <v>10521</v>
      </c>
      <c r="B275" s="1" t="s">
        <v>128</v>
      </c>
      <c r="C275">
        <v>8</v>
      </c>
      <c r="D275" s="2">
        <v>34849</v>
      </c>
      <c r="E275" s="2">
        <v>34877</v>
      </c>
      <c r="F275" s="2">
        <v>34852</v>
      </c>
      <c r="G275">
        <v>2</v>
      </c>
      <c r="H275">
        <v>17.22</v>
      </c>
      <c r="I275" s="1" t="s">
        <v>129</v>
      </c>
      <c r="J275" s="1" t="s">
        <v>132</v>
      </c>
      <c r="K275" s="1" t="s">
        <v>133</v>
      </c>
      <c r="L275" s="1" t="s">
        <v>1195</v>
      </c>
      <c r="M275" s="1" t="s">
        <v>134</v>
      </c>
      <c r="N275" s="1" t="s">
        <v>135</v>
      </c>
      <c r="O275" s="1">
        <f>MONTH(orders[[#This Row],[OrderDate]])</f>
        <v>5</v>
      </c>
    </row>
    <row r="276" spans="1:15" x14ac:dyDescent="0.35">
      <c r="A276">
        <v>10522</v>
      </c>
      <c r="B276" s="1" t="s">
        <v>385</v>
      </c>
      <c r="C276">
        <v>4</v>
      </c>
      <c r="D276" s="2">
        <v>34850</v>
      </c>
      <c r="E276" s="2">
        <v>34878</v>
      </c>
      <c r="F276" s="2">
        <v>34856</v>
      </c>
      <c r="G276">
        <v>1</v>
      </c>
      <c r="H276">
        <v>45.33</v>
      </c>
      <c r="I276" s="1" t="s">
        <v>386</v>
      </c>
      <c r="J276" s="1" t="s">
        <v>388</v>
      </c>
      <c r="K276" s="1" t="s">
        <v>1201</v>
      </c>
      <c r="L276" s="1" t="s">
        <v>1195</v>
      </c>
      <c r="M276" s="1" t="s">
        <v>389</v>
      </c>
      <c r="N276" s="1" t="s">
        <v>38</v>
      </c>
      <c r="O276" s="1">
        <f>MONTH(orders[[#This Row],[OrderDate]])</f>
        <v>5</v>
      </c>
    </row>
    <row r="277" spans="1:15" x14ac:dyDescent="0.35">
      <c r="A277">
        <v>10523</v>
      </c>
      <c r="B277" s="1" t="s">
        <v>596</v>
      </c>
      <c r="C277">
        <v>7</v>
      </c>
      <c r="D277" s="2">
        <v>34851</v>
      </c>
      <c r="E277" s="2">
        <v>34879</v>
      </c>
      <c r="F277" s="2">
        <v>34880</v>
      </c>
      <c r="G277">
        <v>2</v>
      </c>
      <c r="H277">
        <v>77.63</v>
      </c>
      <c r="I277" s="1" t="s">
        <v>597</v>
      </c>
      <c r="J277" s="1" t="s">
        <v>599</v>
      </c>
      <c r="K277" s="1" t="s">
        <v>61</v>
      </c>
      <c r="L277" s="1" t="s">
        <v>1195</v>
      </c>
      <c r="M277" s="1" t="s">
        <v>600</v>
      </c>
      <c r="N277" s="1" t="s">
        <v>63</v>
      </c>
      <c r="O277" s="1">
        <f>MONTH(orders[[#This Row],[OrderDate]])</f>
        <v>6</v>
      </c>
    </row>
    <row r="278" spans="1:15" x14ac:dyDescent="0.35">
      <c r="A278">
        <v>10524</v>
      </c>
      <c r="B278" s="1" t="s">
        <v>66</v>
      </c>
      <c r="C278">
        <v>1</v>
      </c>
      <c r="D278" s="2">
        <v>34851</v>
      </c>
      <c r="E278" s="2">
        <v>34879</v>
      </c>
      <c r="F278" s="2">
        <v>34857</v>
      </c>
      <c r="G278">
        <v>2</v>
      </c>
      <c r="H278">
        <v>244.79</v>
      </c>
      <c r="I278" s="1" t="s">
        <v>67</v>
      </c>
      <c r="J278" s="1" t="s">
        <v>70</v>
      </c>
      <c r="K278" s="1" t="s">
        <v>71</v>
      </c>
      <c r="L278" s="1" t="s">
        <v>1195</v>
      </c>
      <c r="M278" s="1" t="s">
        <v>72</v>
      </c>
      <c r="N278" s="1" t="s">
        <v>73</v>
      </c>
      <c r="O278" s="1">
        <f>MONTH(orders[[#This Row],[OrderDate]])</f>
        <v>6</v>
      </c>
    </row>
    <row r="279" spans="1:15" x14ac:dyDescent="0.35">
      <c r="A279">
        <v>10525</v>
      </c>
      <c r="B279" s="1" t="s">
        <v>103</v>
      </c>
      <c r="C279">
        <v>1</v>
      </c>
      <c r="D279" s="2">
        <v>34852</v>
      </c>
      <c r="E279" s="2">
        <v>34880</v>
      </c>
      <c r="F279" s="2">
        <v>34873</v>
      </c>
      <c r="G279">
        <v>2</v>
      </c>
      <c r="H279">
        <v>11.06</v>
      </c>
      <c r="I279" s="1" t="s">
        <v>104</v>
      </c>
      <c r="J279" s="1" t="s">
        <v>106</v>
      </c>
      <c r="K279" s="1" t="s">
        <v>107</v>
      </c>
      <c r="L279" s="1" t="s">
        <v>1195</v>
      </c>
      <c r="M279" s="1" t="s">
        <v>108</v>
      </c>
      <c r="N279" s="1" t="s">
        <v>91</v>
      </c>
      <c r="O279" s="1">
        <f>MONTH(orders[[#This Row],[OrderDate]])</f>
        <v>6</v>
      </c>
    </row>
    <row r="280" spans="1:15" x14ac:dyDescent="0.35">
      <c r="A280">
        <v>10526</v>
      </c>
      <c r="B280" s="1" t="s">
        <v>710</v>
      </c>
      <c r="C280">
        <v>4</v>
      </c>
      <c r="D280" s="2">
        <v>34855</v>
      </c>
      <c r="E280" s="2">
        <v>34883</v>
      </c>
      <c r="F280" s="2">
        <v>34865</v>
      </c>
      <c r="G280">
        <v>2</v>
      </c>
      <c r="H280">
        <v>58.59</v>
      </c>
      <c r="I280" s="1" t="s">
        <v>711</v>
      </c>
      <c r="J280" s="1" t="s">
        <v>713</v>
      </c>
      <c r="K280" s="1" t="s">
        <v>714</v>
      </c>
      <c r="L280" s="1" t="s">
        <v>1195</v>
      </c>
      <c r="M280" s="1" t="s">
        <v>715</v>
      </c>
      <c r="N280" s="1" t="s">
        <v>716</v>
      </c>
      <c r="O280" s="1">
        <f>MONTH(orders[[#This Row],[OrderDate]])</f>
        <v>6</v>
      </c>
    </row>
    <row r="281" spans="1:15" x14ac:dyDescent="0.35">
      <c r="A281">
        <v>10527</v>
      </c>
      <c r="B281" s="1" t="s">
        <v>528</v>
      </c>
      <c r="C281">
        <v>7</v>
      </c>
      <c r="D281" s="2">
        <v>34855</v>
      </c>
      <c r="E281" s="2">
        <v>34883</v>
      </c>
      <c r="F281" s="2">
        <v>34857</v>
      </c>
      <c r="G281">
        <v>1</v>
      </c>
      <c r="H281">
        <v>41.9</v>
      </c>
      <c r="I281" s="1" t="s">
        <v>529</v>
      </c>
      <c r="J281" s="1" t="s">
        <v>531</v>
      </c>
      <c r="K281" s="1" t="s">
        <v>532</v>
      </c>
      <c r="L281" s="1" t="s">
        <v>1195</v>
      </c>
      <c r="M281" s="1" t="s">
        <v>533</v>
      </c>
      <c r="N281" s="1" t="s">
        <v>38</v>
      </c>
      <c r="O281" s="1">
        <f>MONTH(orders[[#This Row],[OrderDate]])</f>
        <v>6</v>
      </c>
    </row>
    <row r="282" spans="1:15" x14ac:dyDescent="0.35">
      <c r="A282">
        <v>10528</v>
      </c>
      <c r="B282" s="1" t="s">
        <v>285</v>
      </c>
      <c r="C282">
        <v>6</v>
      </c>
      <c r="D282" s="2">
        <v>34856</v>
      </c>
      <c r="E282" s="2">
        <v>34870</v>
      </c>
      <c r="F282" s="2">
        <v>34859</v>
      </c>
      <c r="G282">
        <v>2</v>
      </c>
      <c r="H282">
        <v>3.35</v>
      </c>
      <c r="I282" s="1" t="s">
        <v>286</v>
      </c>
      <c r="J282" s="1" t="s">
        <v>288</v>
      </c>
      <c r="K282" s="1" t="s">
        <v>289</v>
      </c>
      <c r="L282" s="1" t="s">
        <v>290</v>
      </c>
      <c r="M282" s="1" t="s">
        <v>291</v>
      </c>
      <c r="N282" s="1" t="s">
        <v>292</v>
      </c>
      <c r="O282" s="1">
        <f>MONTH(orders[[#This Row],[OrderDate]])</f>
        <v>6</v>
      </c>
    </row>
    <row r="283" spans="1:15" x14ac:dyDescent="0.35">
      <c r="A283">
        <v>10529</v>
      </c>
      <c r="B283" s="1" t="s">
        <v>433</v>
      </c>
      <c r="C283">
        <v>5</v>
      </c>
      <c r="D283" s="2">
        <v>34857</v>
      </c>
      <c r="E283" s="2">
        <v>34885</v>
      </c>
      <c r="F283" s="2">
        <v>34859</v>
      </c>
      <c r="G283">
        <v>2</v>
      </c>
      <c r="H283">
        <v>66.69</v>
      </c>
      <c r="I283" s="1" t="s">
        <v>434</v>
      </c>
      <c r="J283" s="1" t="s">
        <v>436</v>
      </c>
      <c r="K283" s="1" t="s">
        <v>437</v>
      </c>
      <c r="L283" s="1" t="s">
        <v>1195</v>
      </c>
      <c r="M283" s="1" t="s">
        <v>438</v>
      </c>
      <c r="N283" s="1" t="s">
        <v>439</v>
      </c>
      <c r="O283" s="1">
        <f>MONTH(orders[[#This Row],[OrderDate]])</f>
        <v>6</v>
      </c>
    </row>
    <row r="284" spans="1:15" x14ac:dyDescent="0.35">
      <c r="A284">
        <v>10530</v>
      </c>
      <c r="B284" s="1" t="s">
        <v>501</v>
      </c>
      <c r="C284">
        <v>3</v>
      </c>
      <c r="D284" s="2">
        <v>34858</v>
      </c>
      <c r="E284" s="2">
        <v>34886</v>
      </c>
      <c r="F284" s="2">
        <v>34862</v>
      </c>
      <c r="G284">
        <v>2</v>
      </c>
      <c r="H284">
        <v>339.22</v>
      </c>
      <c r="I284" s="1" t="s">
        <v>502</v>
      </c>
      <c r="J284" s="1" t="s">
        <v>504</v>
      </c>
      <c r="K284" s="1" t="s">
        <v>505</v>
      </c>
      <c r="L284" s="1" t="s">
        <v>1195</v>
      </c>
      <c r="M284" s="1" t="s">
        <v>506</v>
      </c>
      <c r="N284" s="1" t="s">
        <v>199</v>
      </c>
      <c r="O284" s="1">
        <f>MONTH(orders[[#This Row],[OrderDate]])</f>
        <v>6</v>
      </c>
    </row>
    <row r="285" spans="1:15" x14ac:dyDescent="0.35">
      <c r="A285">
        <v>10531</v>
      </c>
      <c r="B285" s="1" t="s">
        <v>464</v>
      </c>
      <c r="C285">
        <v>7</v>
      </c>
      <c r="D285" s="2">
        <v>34858</v>
      </c>
      <c r="E285" s="2">
        <v>34886</v>
      </c>
      <c r="F285" s="2">
        <v>34869</v>
      </c>
      <c r="G285">
        <v>1</v>
      </c>
      <c r="H285">
        <v>8.1199999999999992</v>
      </c>
      <c r="I285" s="1" t="s">
        <v>465</v>
      </c>
      <c r="J285" s="1" t="s">
        <v>1204</v>
      </c>
      <c r="K285" s="1" t="s">
        <v>133</v>
      </c>
      <c r="L285" s="1" t="s">
        <v>1195</v>
      </c>
      <c r="M285" s="1" t="s">
        <v>134</v>
      </c>
      <c r="N285" s="1" t="s">
        <v>135</v>
      </c>
      <c r="O285" s="1">
        <f>MONTH(orders[[#This Row],[OrderDate]])</f>
        <v>6</v>
      </c>
    </row>
    <row r="286" spans="1:15" x14ac:dyDescent="0.35">
      <c r="A286">
        <v>10532</v>
      </c>
      <c r="B286" s="1" t="s">
        <v>185</v>
      </c>
      <c r="C286">
        <v>7</v>
      </c>
      <c r="D286" s="2">
        <v>34859</v>
      </c>
      <c r="E286" s="2">
        <v>34887</v>
      </c>
      <c r="F286" s="2">
        <v>34862</v>
      </c>
      <c r="G286">
        <v>3</v>
      </c>
      <c r="H286">
        <v>74.459999999999994</v>
      </c>
      <c r="I286" s="1" t="s">
        <v>186</v>
      </c>
      <c r="J286" s="1" t="s">
        <v>188</v>
      </c>
      <c r="K286" s="1" t="s">
        <v>61</v>
      </c>
      <c r="L286" s="1" t="s">
        <v>1195</v>
      </c>
      <c r="M286" s="1" t="s">
        <v>189</v>
      </c>
      <c r="N286" s="1" t="s">
        <v>63</v>
      </c>
      <c r="O286" s="1">
        <f>MONTH(orders[[#This Row],[OrderDate]])</f>
        <v>6</v>
      </c>
    </row>
    <row r="287" spans="1:15" x14ac:dyDescent="0.35">
      <c r="A287">
        <v>10533</v>
      </c>
      <c r="B287" s="1" t="s">
        <v>225</v>
      </c>
      <c r="C287">
        <v>8</v>
      </c>
      <c r="D287" s="2">
        <v>34862</v>
      </c>
      <c r="E287" s="2">
        <v>34890</v>
      </c>
      <c r="F287" s="2">
        <v>34872</v>
      </c>
      <c r="G287">
        <v>1</v>
      </c>
      <c r="H287">
        <v>188.04</v>
      </c>
      <c r="I287" s="1" t="s">
        <v>226</v>
      </c>
      <c r="J287" s="1" t="s">
        <v>228</v>
      </c>
      <c r="K287" s="1" t="s">
        <v>229</v>
      </c>
      <c r="L287" s="1" t="s">
        <v>1195</v>
      </c>
      <c r="M287" s="1" t="s">
        <v>230</v>
      </c>
      <c r="N287" s="1" t="s">
        <v>73</v>
      </c>
      <c r="O287" s="1">
        <f>MONTH(orders[[#This Row],[OrderDate]])</f>
        <v>6</v>
      </c>
    </row>
    <row r="288" spans="1:15" x14ac:dyDescent="0.35">
      <c r="A288">
        <v>10534</v>
      </c>
      <c r="B288" s="1" t="s">
        <v>385</v>
      </c>
      <c r="C288">
        <v>8</v>
      </c>
      <c r="D288" s="2">
        <v>34862</v>
      </c>
      <c r="E288" s="2">
        <v>34890</v>
      </c>
      <c r="F288" s="2">
        <v>34864</v>
      </c>
      <c r="G288">
        <v>2</v>
      </c>
      <c r="H288">
        <v>27.94</v>
      </c>
      <c r="I288" s="1" t="s">
        <v>386</v>
      </c>
      <c r="J288" s="1" t="s">
        <v>388</v>
      </c>
      <c r="K288" s="1" t="s">
        <v>1201</v>
      </c>
      <c r="L288" s="1" t="s">
        <v>1195</v>
      </c>
      <c r="M288" s="1" t="s">
        <v>389</v>
      </c>
      <c r="N288" s="1" t="s">
        <v>38</v>
      </c>
      <c r="O288" s="1">
        <f>MONTH(orders[[#This Row],[OrderDate]])</f>
        <v>6</v>
      </c>
    </row>
    <row r="289" spans="1:15" x14ac:dyDescent="0.35">
      <c r="A289">
        <v>10535</v>
      </c>
      <c r="B289" s="1" t="s">
        <v>51</v>
      </c>
      <c r="C289">
        <v>4</v>
      </c>
      <c r="D289" s="2">
        <v>34863</v>
      </c>
      <c r="E289" s="2">
        <v>34891</v>
      </c>
      <c r="F289" s="2">
        <v>34871</v>
      </c>
      <c r="G289">
        <v>1</v>
      </c>
      <c r="H289">
        <v>15.64</v>
      </c>
      <c r="I289" s="1" t="s">
        <v>52</v>
      </c>
      <c r="J289" s="1" t="s">
        <v>54</v>
      </c>
      <c r="K289" s="1" t="s">
        <v>46</v>
      </c>
      <c r="L289" s="1" t="s">
        <v>1195</v>
      </c>
      <c r="M289" s="1" t="s">
        <v>55</v>
      </c>
      <c r="N289" s="1" t="s">
        <v>48</v>
      </c>
      <c r="O289" s="1">
        <f>MONTH(orders[[#This Row],[OrderDate]])</f>
        <v>6</v>
      </c>
    </row>
    <row r="290" spans="1:15" x14ac:dyDescent="0.35">
      <c r="A290">
        <v>10536</v>
      </c>
      <c r="B290" s="1" t="s">
        <v>385</v>
      </c>
      <c r="C290">
        <v>3</v>
      </c>
      <c r="D290" s="2">
        <v>34864</v>
      </c>
      <c r="E290" s="2">
        <v>34892</v>
      </c>
      <c r="F290" s="2">
        <v>34887</v>
      </c>
      <c r="G290">
        <v>2</v>
      </c>
      <c r="H290">
        <v>58.88</v>
      </c>
      <c r="I290" s="1" t="s">
        <v>386</v>
      </c>
      <c r="J290" s="1" t="s">
        <v>388</v>
      </c>
      <c r="K290" s="1" t="s">
        <v>1201</v>
      </c>
      <c r="L290" s="1" t="s">
        <v>1195</v>
      </c>
      <c r="M290" s="1" t="s">
        <v>389</v>
      </c>
      <c r="N290" s="1" t="s">
        <v>38</v>
      </c>
      <c r="O290" s="1">
        <f>MONTH(orders[[#This Row],[OrderDate]])</f>
        <v>6</v>
      </c>
    </row>
    <row r="291" spans="1:15" x14ac:dyDescent="0.35">
      <c r="A291">
        <v>10537</v>
      </c>
      <c r="B291" s="1" t="s">
        <v>565</v>
      </c>
      <c r="C291">
        <v>1</v>
      </c>
      <c r="D291" s="2">
        <v>34864</v>
      </c>
      <c r="E291" s="2">
        <v>34878</v>
      </c>
      <c r="F291" s="2">
        <v>34869</v>
      </c>
      <c r="G291">
        <v>1</v>
      </c>
      <c r="H291">
        <v>78.849999999999994</v>
      </c>
      <c r="I291" s="1" t="s">
        <v>566</v>
      </c>
      <c r="J291" s="1" t="s">
        <v>835</v>
      </c>
      <c r="K291" s="1" t="s">
        <v>569</v>
      </c>
      <c r="L291" s="1" t="s">
        <v>1195</v>
      </c>
      <c r="M291" s="1" t="s">
        <v>836</v>
      </c>
      <c r="N291" s="1" t="s">
        <v>151</v>
      </c>
      <c r="O291" s="1">
        <f>MONTH(orders[[#This Row],[OrderDate]])</f>
        <v>6</v>
      </c>
    </row>
    <row r="292" spans="1:15" x14ac:dyDescent="0.35">
      <c r="A292">
        <v>10538</v>
      </c>
      <c r="B292" s="1" t="s">
        <v>122</v>
      </c>
      <c r="C292">
        <v>9</v>
      </c>
      <c r="D292" s="2">
        <v>34865</v>
      </c>
      <c r="E292" s="2">
        <v>34893</v>
      </c>
      <c r="F292" s="2">
        <v>34866</v>
      </c>
      <c r="G292">
        <v>3</v>
      </c>
      <c r="H292">
        <v>4.87</v>
      </c>
      <c r="I292" s="1" t="s">
        <v>123</v>
      </c>
      <c r="J292" s="1" t="s">
        <v>125</v>
      </c>
      <c r="K292" s="1" t="s">
        <v>61</v>
      </c>
      <c r="L292" s="1" t="s">
        <v>1195</v>
      </c>
      <c r="M292" s="1" t="s">
        <v>126</v>
      </c>
      <c r="N292" s="1" t="s">
        <v>63</v>
      </c>
      <c r="O292" s="1">
        <f>MONTH(orders[[#This Row],[OrderDate]])</f>
        <v>6</v>
      </c>
    </row>
    <row r="293" spans="1:15" x14ac:dyDescent="0.35">
      <c r="A293">
        <v>10539</v>
      </c>
      <c r="B293" s="1" t="s">
        <v>122</v>
      </c>
      <c r="C293">
        <v>6</v>
      </c>
      <c r="D293" s="2">
        <v>34866</v>
      </c>
      <c r="E293" s="2">
        <v>34894</v>
      </c>
      <c r="F293" s="2">
        <v>34873</v>
      </c>
      <c r="G293">
        <v>3</v>
      </c>
      <c r="H293">
        <v>12.36</v>
      </c>
      <c r="I293" s="1" t="s">
        <v>123</v>
      </c>
      <c r="J293" s="1" t="s">
        <v>125</v>
      </c>
      <c r="K293" s="1" t="s">
        <v>61</v>
      </c>
      <c r="L293" s="1" t="s">
        <v>1195</v>
      </c>
      <c r="M293" s="1" t="s">
        <v>126</v>
      </c>
      <c r="N293" s="1" t="s">
        <v>63</v>
      </c>
      <c r="O293" s="1">
        <f>MONTH(orders[[#This Row],[OrderDate]])</f>
        <v>6</v>
      </c>
    </row>
    <row r="294" spans="1:15" x14ac:dyDescent="0.35">
      <c r="A294">
        <v>10540</v>
      </c>
      <c r="B294" s="1" t="s">
        <v>528</v>
      </c>
      <c r="C294">
        <v>3</v>
      </c>
      <c r="D294" s="2">
        <v>34869</v>
      </c>
      <c r="E294" s="2">
        <v>34897</v>
      </c>
      <c r="F294" s="2">
        <v>34894</v>
      </c>
      <c r="G294">
        <v>3</v>
      </c>
      <c r="H294">
        <v>1007.64</v>
      </c>
      <c r="I294" s="1" t="s">
        <v>529</v>
      </c>
      <c r="J294" s="1" t="s">
        <v>531</v>
      </c>
      <c r="K294" s="1" t="s">
        <v>532</v>
      </c>
      <c r="L294" s="1" t="s">
        <v>1195</v>
      </c>
      <c r="M294" s="1" t="s">
        <v>533</v>
      </c>
      <c r="N294" s="1" t="s">
        <v>38</v>
      </c>
      <c r="O294" s="1">
        <f>MONTH(orders[[#This Row],[OrderDate]])</f>
        <v>6</v>
      </c>
    </row>
    <row r="295" spans="1:15" x14ac:dyDescent="0.35">
      <c r="A295">
        <v>10541</v>
      </c>
      <c r="B295" s="1" t="s">
        <v>304</v>
      </c>
      <c r="C295">
        <v>2</v>
      </c>
      <c r="D295" s="2">
        <v>34869</v>
      </c>
      <c r="E295" s="2">
        <v>34897</v>
      </c>
      <c r="F295" s="2">
        <v>34879</v>
      </c>
      <c r="G295">
        <v>1</v>
      </c>
      <c r="H295">
        <v>68.650000000000006</v>
      </c>
      <c r="I295" s="1" t="s">
        <v>305</v>
      </c>
      <c r="J295" s="1" t="s">
        <v>307</v>
      </c>
      <c r="K295" s="1" t="s">
        <v>308</v>
      </c>
      <c r="L295" s="1" t="s">
        <v>309</v>
      </c>
      <c r="M295" s="1" t="s">
        <v>310</v>
      </c>
      <c r="N295" s="1" t="s">
        <v>161</v>
      </c>
      <c r="O295" s="1">
        <f>MONTH(orders[[#This Row],[OrderDate]])</f>
        <v>6</v>
      </c>
    </row>
    <row r="296" spans="1:15" x14ac:dyDescent="0.35">
      <c r="A296">
        <v>10542</v>
      </c>
      <c r="B296" s="1" t="s">
        <v>345</v>
      </c>
      <c r="C296">
        <v>1</v>
      </c>
      <c r="D296" s="2">
        <v>34870</v>
      </c>
      <c r="E296" s="2">
        <v>34898</v>
      </c>
      <c r="F296" s="2">
        <v>34876</v>
      </c>
      <c r="G296">
        <v>3</v>
      </c>
      <c r="H296">
        <v>10.95</v>
      </c>
      <c r="I296" s="1" t="s">
        <v>346</v>
      </c>
      <c r="J296" s="1" t="s">
        <v>348</v>
      </c>
      <c r="K296" s="1" t="s">
        <v>349</v>
      </c>
      <c r="L296" s="1" t="s">
        <v>1195</v>
      </c>
      <c r="M296" s="1" t="s">
        <v>350</v>
      </c>
      <c r="N296" s="1" t="s">
        <v>38</v>
      </c>
      <c r="O296" s="1">
        <f>MONTH(orders[[#This Row],[OrderDate]])</f>
        <v>6</v>
      </c>
    </row>
    <row r="297" spans="1:15" x14ac:dyDescent="0.35">
      <c r="A297">
        <v>10543</v>
      </c>
      <c r="B297" s="1" t="s">
        <v>399</v>
      </c>
      <c r="C297">
        <v>8</v>
      </c>
      <c r="D297" s="2">
        <v>34871</v>
      </c>
      <c r="E297" s="2">
        <v>34899</v>
      </c>
      <c r="F297" s="2">
        <v>34873</v>
      </c>
      <c r="G297">
        <v>2</v>
      </c>
      <c r="H297">
        <v>48.17</v>
      </c>
      <c r="I297" s="1" t="s">
        <v>400</v>
      </c>
      <c r="J297" s="1" t="s">
        <v>402</v>
      </c>
      <c r="K297" s="1" t="s">
        <v>403</v>
      </c>
      <c r="L297" s="1" t="s">
        <v>404</v>
      </c>
      <c r="M297" s="1" t="s">
        <v>405</v>
      </c>
      <c r="N297" s="1" t="s">
        <v>301</v>
      </c>
      <c r="O297" s="1">
        <f>MONTH(orders[[#This Row],[OrderDate]])</f>
        <v>6</v>
      </c>
    </row>
    <row r="298" spans="1:15" x14ac:dyDescent="0.35">
      <c r="A298">
        <v>10544</v>
      </c>
      <c r="B298" s="1" t="s">
        <v>417</v>
      </c>
      <c r="C298">
        <v>4</v>
      </c>
      <c r="D298" s="2">
        <v>34871</v>
      </c>
      <c r="E298" s="2">
        <v>34899</v>
      </c>
      <c r="F298" s="2">
        <v>34880</v>
      </c>
      <c r="G298">
        <v>1</v>
      </c>
      <c r="H298">
        <v>24.91</v>
      </c>
      <c r="I298" s="1" t="s">
        <v>418</v>
      </c>
      <c r="J298" s="1" t="s">
        <v>420</v>
      </c>
      <c r="K298" s="1" t="s">
        <v>421</v>
      </c>
      <c r="L298" s="1" t="s">
        <v>290</v>
      </c>
      <c r="M298" s="1" t="s">
        <v>422</v>
      </c>
      <c r="N298" s="1" t="s">
        <v>292</v>
      </c>
      <c r="O298" s="1">
        <f>MONTH(orders[[#This Row],[OrderDate]])</f>
        <v>6</v>
      </c>
    </row>
    <row r="299" spans="1:15" x14ac:dyDescent="0.35">
      <c r="A299">
        <v>10545</v>
      </c>
      <c r="B299" s="1" t="s">
        <v>376</v>
      </c>
      <c r="C299">
        <v>8</v>
      </c>
      <c r="D299" s="2">
        <v>34872</v>
      </c>
      <c r="E299" s="2">
        <v>34900</v>
      </c>
      <c r="F299" s="2">
        <v>34907</v>
      </c>
      <c r="G299">
        <v>2</v>
      </c>
      <c r="H299">
        <v>11.92</v>
      </c>
      <c r="I299" s="1" t="s">
        <v>377</v>
      </c>
      <c r="J299" s="1" t="s">
        <v>379</v>
      </c>
      <c r="K299" s="1" t="s">
        <v>380</v>
      </c>
      <c r="L299" s="1" t="s">
        <v>381</v>
      </c>
      <c r="M299" s="1" t="s">
        <v>382</v>
      </c>
      <c r="N299" s="1" t="s">
        <v>292</v>
      </c>
      <c r="O299" s="1">
        <f>MONTH(orders[[#This Row],[OrderDate]])</f>
        <v>6</v>
      </c>
    </row>
    <row r="300" spans="1:15" x14ac:dyDescent="0.35">
      <c r="A300">
        <v>10546</v>
      </c>
      <c r="B300" s="1" t="s">
        <v>686</v>
      </c>
      <c r="C300">
        <v>1</v>
      </c>
      <c r="D300" s="2">
        <v>34873</v>
      </c>
      <c r="E300" s="2">
        <v>34901</v>
      </c>
      <c r="F300" s="2">
        <v>34877</v>
      </c>
      <c r="G300">
        <v>3</v>
      </c>
      <c r="H300">
        <v>194.72</v>
      </c>
      <c r="I300" s="1" t="s">
        <v>687</v>
      </c>
      <c r="J300" s="1" t="s">
        <v>689</v>
      </c>
      <c r="K300" s="1" t="s">
        <v>690</v>
      </c>
      <c r="L300" s="1" t="s">
        <v>1195</v>
      </c>
      <c r="M300" s="1" t="s">
        <v>691</v>
      </c>
      <c r="N300" s="1" t="s">
        <v>91</v>
      </c>
      <c r="O300" s="1">
        <f>MONTH(orders[[#This Row],[OrderDate]])</f>
        <v>6</v>
      </c>
    </row>
    <row r="301" spans="1:15" x14ac:dyDescent="0.35">
      <c r="A301">
        <v>10547</v>
      </c>
      <c r="B301" s="1" t="s">
        <v>596</v>
      </c>
      <c r="C301">
        <v>3</v>
      </c>
      <c r="D301" s="2">
        <v>34873</v>
      </c>
      <c r="E301" s="2">
        <v>34901</v>
      </c>
      <c r="F301" s="2">
        <v>34883</v>
      </c>
      <c r="G301">
        <v>2</v>
      </c>
      <c r="H301">
        <v>178.43</v>
      </c>
      <c r="I301" s="1" t="s">
        <v>597</v>
      </c>
      <c r="J301" s="1" t="s">
        <v>599</v>
      </c>
      <c r="K301" s="1" t="s">
        <v>61</v>
      </c>
      <c r="L301" s="1" t="s">
        <v>1195</v>
      </c>
      <c r="M301" s="1" t="s">
        <v>600</v>
      </c>
      <c r="N301" s="1" t="s">
        <v>63</v>
      </c>
      <c r="O301" s="1">
        <f>MONTH(orders[[#This Row],[OrderDate]])</f>
        <v>6</v>
      </c>
    </row>
    <row r="302" spans="1:15" x14ac:dyDescent="0.35">
      <c r="A302">
        <v>10548</v>
      </c>
      <c r="B302" s="1" t="s">
        <v>650</v>
      </c>
      <c r="C302">
        <v>3</v>
      </c>
      <c r="D302" s="2">
        <v>34876</v>
      </c>
      <c r="E302" s="2">
        <v>34904</v>
      </c>
      <c r="F302" s="2">
        <v>34883</v>
      </c>
      <c r="G302">
        <v>2</v>
      </c>
      <c r="H302">
        <v>1.43</v>
      </c>
      <c r="I302" s="1" t="s">
        <v>651</v>
      </c>
      <c r="J302" s="1" t="s">
        <v>653</v>
      </c>
      <c r="K302" s="1" t="s">
        <v>654</v>
      </c>
      <c r="L302" s="1" t="s">
        <v>1195</v>
      </c>
      <c r="M302" s="1" t="s">
        <v>655</v>
      </c>
      <c r="N302" s="1" t="s">
        <v>38</v>
      </c>
      <c r="O302" s="1">
        <f>MONTH(orders[[#This Row],[OrderDate]])</f>
        <v>6</v>
      </c>
    </row>
    <row r="303" spans="1:15" x14ac:dyDescent="0.35">
      <c r="A303">
        <v>10549</v>
      </c>
      <c r="B303" s="1" t="s">
        <v>528</v>
      </c>
      <c r="C303">
        <v>5</v>
      </c>
      <c r="D303" s="2">
        <v>34877</v>
      </c>
      <c r="E303" s="2">
        <v>34891</v>
      </c>
      <c r="F303" s="2">
        <v>34880</v>
      </c>
      <c r="G303">
        <v>1</v>
      </c>
      <c r="H303">
        <v>171.24</v>
      </c>
      <c r="I303" s="1" t="s">
        <v>529</v>
      </c>
      <c r="J303" s="1" t="s">
        <v>531</v>
      </c>
      <c r="K303" s="1" t="s">
        <v>532</v>
      </c>
      <c r="L303" s="1" t="s">
        <v>1195</v>
      </c>
      <c r="M303" s="1" t="s">
        <v>533</v>
      </c>
      <c r="N303" s="1" t="s">
        <v>38</v>
      </c>
      <c r="O303" s="1">
        <f>MONTH(orders[[#This Row],[OrderDate]])</f>
        <v>6</v>
      </c>
    </row>
    <row r="304" spans="1:15" x14ac:dyDescent="0.35">
      <c r="A304">
        <v>10550</v>
      </c>
      <c r="B304" s="1" t="s">
        <v>271</v>
      </c>
      <c r="C304">
        <v>7</v>
      </c>
      <c r="D304" s="2">
        <v>34878</v>
      </c>
      <c r="E304" s="2">
        <v>34906</v>
      </c>
      <c r="F304" s="2">
        <v>34887</v>
      </c>
      <c r="G304">
        <v>3</v>
      </c>
      <c r="H304">
        <v>4.32</v>
      </c>
      <c r="I304" s="1" t="s">
        <v>272</v>
      </c>
      <c r="J304" s="1" t="s">
        <v>274</v>
      </c>
      <c r="K304" s="1" t="s">
        <v>275</v>
      </c>
      <c r="L304" s="1" t="s">
        <v>1195</v>
      </c>
      <c r="M304" s="1" t="s">
        <v>276</v>
      </c>
      <c r="N304" s="1" t="s">
        <v>100</v>
      </c>
      <c r="O304" s="1">
        <f>MONTH(orders[[#This Row],[OrderDate]])</f>
        <v>6</v>
      </c>
    </row>
    <row r="305" spans="1:15" x14ac:dyDescent="0.35">
      <c r="A305">
        <v>10551</v>
      </c>
      <c r="B305" s="1" t="s">
        <v>255</v>
      </c>
      <c r="C305">
        <v>4</v>
      </c>
      <c r="D305" s="2">
        <v>34878</v>
      </c>
      <c r="E305" s="2">
        <v>34920</v>
      </c>
      <c r="F305" s="2">
        <v>34887</v>
      </c>
      <c r="G305">
        <v>3</v>
      </c>
      <c r="H305">
        <v>72.95</v>
      </c>
      <c r="I305" s="1" t="s">
        <v>256</v>
      </c>
      <c r="J305" s="1" t="s">
        <v>257</v>
      </c>
      <c r="K305" s="1" t="s">
        <v>258</v>
      </c>
      <c r="L305" s="1" t="s">
        <v>1195</v>
      </c>
      <c r="M305" s="1" t="s">
        <v>259</v>
      </c>
      <c r="N305" s="1" t="s">
        <v>260</v>
      </c>
      <c r="O305" s="1">
        <f>MONTH(orders[[#This Row],[OrderDate]])</f>
        <v>6</v>
      </c>
    </row>
    <row r="306" spans="1:15" x14ac:dyDescent="0.35">
      <c r="A306">
        <v>10552</v>
      </c>
      <c r="B306" s="1" t="s">
        <v>313</v>
      </c>
      <c r="C306">
        <v>2</v>
      </c>
      <c r="D306" s="2">
        <v>34879</v>
      </c>
      <c r="E306" s="2">
        <v>34907</v>
      </c>
      <c r="F306" s="2">
        <v>34886</v>
      </c>
      <c r="G306">
        <v>1</v>
      </c>
      <c r="H306">
        <v>83.22</v>
      </c>
      <c r="I306" s="1" t="s">
        <v>314</v>
      </c>
      <c r="J306" s="1" t="s">
        <v>316</v>
      </c>
      <c r="K306" s="1" t="s">
        <v>317</v>
      </c>
      <c r="L306" s="1" t="s">
        <v>318</v>
      </c>
      <c r="M306" s="1" t="s">
        <v>319</v>
      </c>
      <c r="N306" s="1" t="s">
        <v>301</v>
      </c>
      <c r="O306" s="1">
        <f>MONTH(orders[[#This Row],[OrderDate]])</f>
        <v>6</v>
      </c>
    </row>
    <row r="307" spans="1:15" x14ac:dyDescent="0.35">
      <c r="A307">
        <v>10553</v>
      </c>
      <c r="B307" s="1" t="s">
        <v>710</v>
      </c>
      <c r="C307">
        <v>2</v>
      </c>
      <c r="D307" s="2">
        <v>34880</v>
      </c>
      <c r="E307" s="2">
        <v>34908</v>
      </c>
      <c r="F307" s="2">
        <v>34884</v>
      </c>
      <c r="G307">
        <v>2</v>
      </c>
      <c r="H307">
        <v>149.49</v>
      </c>
      <c r="I307" s="1" t="s">
        <v>711</v>
      </c>
      <c r="J307" s="1" t="s">
        <v>713</v>
      </c>
      <c r="K307" s="1" t="s">
        <v>714</v>
      </c>
      <c r="L307" s="1" t="s">
        <v>1195</v>
      </c>
      <c r="M307" s="1" t="s">
        <v>715</v>
      </c>
      <c r="N307" s="1" t="s">
        <v>716</v>
      </c>
      <c r="O307" s="1">
        <f>MONTH(orders[[#This Row],[OrderDate]])</f>
        <v>6</v>
      </c>
    </row>
    <row r="308" spans="1:15" x14ac:dyDescent="0.35">
      <c r="A308">
        <v>10554</v>
      </c>
      <c r="B308" s="1" t="s">
        <v>478</v>
      </c>
      <c r="C308">
        <v>4</v>
      </c>
      <c r="D308" s="2">
        <v>34880</v>
      </c>
      <c r="E308" s="2">
        <v>34908</v>
      </c>
      <c r="F308" s="2">
        <v>34886</v>
      </c>
      <c r="G308">
        <v>3</v>
      </c>
      <c r="H308">
        <v>120.97</v>
      </c>
      <c r="I308" s="1" t="s">
        <v>479</v>
      </c>
      <c r="J308" s="1" t="s">
        <v>481</v>
      </c>
      <c r="K308" s="1" t="s">
        <v>482</v>
      </c>
      <c r="L308" s="1" t="s">
        <v>1195</v>
      </c>
      <c r="M308" s="1" t="s">
        <v>483</v>
      </c>
      <c r="N308" s="1" t="s">
        <v>38</v>
      </c>
      <c r="O308" s="1">
        <f>MONTH(orders[[#This Row],[OrderDate]])</f>
        <v>6</v>
      </c>
    </row>
    <row r="309" spans="1:15" x14ac:dyDescent="0.35">
      <c r="A309">
        <v>10555</v>
      </c>
      <c r="B309" s="1" t="s">
        <v>588</v>
      </c>
      <c r="C309">
        <v>6</v>
      </c>
      <c r="D309" s="2">
        <v>34883</v>
      </c>
      <c r="E309" s="2">
        <v>34911</v>
      </c>
      <c r="F309" s="2">
        <v>34885</v>
      </c>
      <c r="G309">
        <v>3</v>
      </c>
      <c r="H309">
        <v>252.49</v>
      </c>
      <c r="I309" s="1" t="s">
        <v>589</v>
      </c>
      <c r="J309" s="1" t="s">
        <v>591</v>
      </c>
      <c r="K309" s="1" t="s">
        <v>592</v>
      </c>
      <c r="L309" s="1" t="s">
        <v>593</v>
      </c>
      <c r="M309" s="1" t="s">
        <v>594</v>
      </c>
      <c r="N309" s="1" t="s">
        <v>292</v>
      </c>
      <c r="O309" s="1">
        <f>MONTH(orders[[#This Row],[OrderDate]])</f>
        <v>7</v>
      </c>
    </row>
    <row r="310" spans="1:15" x14ac:dyDescent="0.35">
      <c r="A310">
        <v>10556</v>
      </c>
      <c r="B310" s="1" t="s">
        <v>603</v>
      </c>
      <c r="C310">
        <v>2</v>
      </c>
      <c r="D310" s="2">
        <v>34884</v>
      </c>
      <c r="E310" s="2">
        <v>34926</v>
      </c>
      <c r="F310" s="2">
        <v>34894</v>
      </c>
      <c r="G310">
        <v>1</v>
      </c>
      <c r="H310">
        <v>9.8000000000000007</v>
      </c>
      <c r="I310" s="1" t="s">
        <v>604</v>
      </c>
      <c r="J310" s="1" t="s">
        <v>606</v>
      </c>
      <c r="K310" s="1" t="s">
        <v>607</v>
      </c>
      <c r="L310" s="1" t="s">
        <v>1195</v>
      </c>
      <c r="M310" s="1" t="s">
        <v>608</v>
      </c>
      <c r="N310" s="1" t="s">
        <v>609</v>
      </c>
      <c r="O310" s="1">
        <f>MONTH(orders[[#This Row],[OrderDate]])</f>
        <v>7</v>
      </c>
    </row>
    <row r="311" spans="1:15" x14ac:dyDescent="0.35">
      <c r="A311">
        <v>10557</v>
      </c>
      <c r="B311" s="1" t="s">
        <v>385</v>
      </c>
      <c r="C311">
        <v>9</v>
      </c>
      <c r="D311" s="2">
        <v>34884</v>
      </c>
      <c r="E311" s="2">
        <v>34898</v>
      </c>
      <c r="F311" s="2">
        <v>34887</v>
      </c>
      <c r="G311">
        <v>2</v>
      </c>
      <c r="H311">
        <v>96.72</v>
      </c>
      <c r="I311" s="1" t="s">
        <v>386</v>
      </c>
      <c r="J311" s="1" t="s">
        <v>388</v>
      </c>
      <c r="K311" s="1" t="s">
        <v>1201</v>
      </c>
      <c r="L311" s="1" t="s">
        <v>1195</v>
      </c>
      <c r="M311" s="1" t="s">
        <v>389</v>
      </c>
      <c r="N311" s="1" t="s">
        <v>38</v>
      </c>
      <c r="O311" s="1">
        <f>MONTH(orders[[#This Row],[OrderDate]])</f>
        <v>7</v>
      </c>
    </row>
    <row r="312" spans="1:15" x14ac:dyDescent="0.35">
      <c r="A312">
        <v>10558</v>
      </c>
      <c r="B312" s="1" t="s">
        <v>57</v>
      </c>
      <c r="C312">
        <v>1</v>
      </c>
      <c r="D312" s="2">
        <v>34885</v>
      </c>
      <c r="E312" s="2">
        <v>34913</v>
      </c>
      <c r="F312" s="2">
        <v>34891</v>
      </c>
      <c r="G312">
        <v>2</v>
      </c>
      <c r="H312">
        <v>72.97</v>
      </c>
      <c r="I312" s="1" t="s">
        <v>58</v>
      </c>
      <c r="J312" s="1" t="s">
        <v>1210</v>
      </c>
      <c r="K312" s="1" t="s">
        <v>839</v>
      </c>
      <c r="L312" s="1" t="s">
        <v>840</v>
      </c>
      <c r="M312" s="1" t="s">
        <v>841</v>
      </c>
      <c r="N312" s="1" t="s">
        <v>63</v>
      </c>
      <c r="O312" s="1">
        <f>MONTH(orders[[#This Row],[OrderDate]])</f>
        <v>7</v>
      </c>
    </row>
    <row r="313" spans="1:15" x14ac:dyDescent="0.35">
      <c r="A313">
        <v>10559</v>
      </c>
      <c r="B313" s="1" t="s">
        <v>84</v>
      </c>
      <c r="C313">
        <v>6</v>
      </c>
      <c r="D313" s="2">
        <v>34886</v>
      </c>
      <c r="E313" s="2">
        <v>34914</v>
      </c>
      <c r="F313" s="2">
        <v>34894</v>
      </c>
      <c r="G313">
        <v>1</v>
      </c>
      <c r="H313">
        <v>8.0500000000000007</v>
      </c>
      <c r="I313" s="1" t="s">
        <v>85</v>
      </c>
      <c r="J313" s="1" t="s">
        <v>88</v>
      </c>
      <c r="K313" s="1" t="s">
        <v>89</v>
      </c>
      <c r="L313" s="1" t="s">
        <v>1195</v>
      </c>
      <c r="M313" s="1" t="s">
        <v>90</v>
      </c>
      <c r="N313" s="1" t="s">
        <v>91</v>
      </c>
      <c r="O313" s="1">
        <f>MONTH(orders[[#This Row],[OrderDate]])</f>
        <v>7</v>
      </c>
    </row>
    <row r="314" spans="1:15" x14ac:dyDescent="0.35">
      <c r="A314">
        <v>10560</v>
      </c>
      <c r="B314" s="1" t="s">
        <v>232</v>
      </c>
      <c r="C314">
        <v>8</v>
      </c>
      <c r="D314" s="2">
        <v>34887</v>
      </c>
      <c r="E314" s="2">
        <v>34915</v>
      </c>
      <c r="F314" s="2">
        <v>34890</v>
      </c>
      <c r="G314">
        <v>1</v>
      </c>
      <c r="H314">
        <v>36.65</v>
      </c>
      <c r="I314" s="1" t="s">
        <v>233</v>
      </c>
      <c r="J314" s="1" t="s">
        <v>235</v>
      </c>
      <c r="K314" s="1" t="s">
        <v>236</v>
      </c>
      <c r="L314" s="1" t="s">
        <v>1195</v>
      </c>
      <c r="M314" s="1" t="s">
        <v>237</v>
      </c>
      <c r="N314" s="1" t="s">
        <v>38</v>
      </c>
      <c r="O314" s="1">
        <f>MONTH(orders[[#This Row],[OrderDate]])</f>
        <v>7</v>
      </c>
    </row>
    <row r="315" spans="1:15" x14ac:dyDescent="0.35">
      <c r="A315">
        <v>10561</v>
      </c>
      <c r="B315" s="1" t="s">
        <v>225</v>
      </c>
      <c r="C315">
        <v>2</v>
      </c>
      <c r="D315" s="2">
        <v>34887</v>
      </c>
      <c r="E315" s="2">
        <v>34915</v>
      </c>
      <c r="F315" s="2">
        <v>34890</v>
      </c>
      <c r="G315">
        <v>2</v>
      </c>
      <c r="H315">
        <v>242.21</v>
      </c>
      <c r="I315" s="1" t="s">
        <v>226</v>
      </c>
      <c r="J315" s="1" t="s">
        <v>228</v>
      </c>
      <c r="K315" s="1" t="s">
        <v>229</v>
      </c>
      <c r="L315" s="1" t="s">
        <v>1195</v>
      </c>
      <c r="M315" s="1" t="s">
        <v>230</v>
      </c>
      <c r="N315" s="1" t="s">
        <v>73</v>
      </c>
      <c r="O315" s="1">
        <f>MONTH(orders[[#This Row],[OrderDate]])</f>
        <v>7</v>
      </c>
    </row>
    <row r="316" spans="1:15" x14ac:dyDescent="0.35">
      <c r="A316">
        <v>10562</v>
      </c>
      <c r="B316" s="1" t="s">
        <v>551</v>
      </c>
      <c r="C316">
        <v>1</v>
      </c>
      <c r="D316" s="2">
        <v>34890</v>
      </c>
      <c r="E316" s="2">
        <v>34918</v>
      </c>
      <c r="F316" s="2">
        <v>34893</v>
      </c>
      <c r="G316">
        <v>1</v>
      </c>
      <c r="H316">
        <v>22.95</v>
      </c>
      <c r="I316" s="1" t="s">
        <v>552</v>
      </c>
      <c r="J316" s="1" t="s">
        <v>554</v>
      </c>
      <c r="K316" s="1" t="s">
        <v>555</v>
      </c>
      <c r="L316" s="1" t="s">
        <v>1195</v>
      </c>
      <c r="M316" s="1" t="s">
        <v>556</v>
      </c>
      <c r="N316" s="1" t="s">
        <v>252</v>
      </c>
      <c r="O316" s="1">
        <f>MONTH(orders[[#This Row],[OrderDate]])</f>
        <v>7</v>
      </c>
    </row>
    <row r="317" spans="1:15" x14ac:dyDescent="0.35">
      <c r="A317">
        <v>10563</v>
      </c>
      <c r="B317" s="1" t="s">
        <v>559</v>
      </c>
      <c r="C317">
        <v>2</v>
      </c>
      <c r="D317" s="2">
        <v>34891</v>
      </c>
      <c r="E317" s="2">
        <v>34933</v>
      </c>
      <c r="F317" s="2">
        <v>34905</v>
      </c>
      <c r="G317">
        <v>2</v>
      </c>
      <c r="H317">
        <v>60.43</v>
      </c>
      <c r="I317" s="1" t="s">
        <v>560</v>
      </c>
      <c r="J317" s="1" t="s">
        <v>562</v>
      </c>
      <c r="K317" s="1" t="s">
        <v>308</v>
      </c>
      <c r="L317" s="1" t="s">
        <v>309</v>
      </c>
      <c r="M317" s="1" t="s">
        <v>563</v>
      </c>
      <c r="N317" s="1" t="s">
        <v>161</v>
      </c>
      <c r="O317" s="1">
        <f>MONTH(orders[[#This Row],[OrderDate]])</f>
        <v>7</v>
      </c>
    </row>
    <row r="318" spans="1:15" x14ac:dyDescent="0.35">
      <c r="A318">
        <v>10564</v>
      </c>
      <c r="B318" s="1" t="s">
        <v>541</v>
      </c>
      <c r="C318">
        <v>4</v>
      </c>
      <c r="D318" s="2">
        <v>34891</v>
      </c>
      <c r="E318" s="2">
        <v>34919</v>
      </c>
      <c r="F318" s="2">
        <v>34897</v>
      </c>
      <c r="G318">
        <v>3</v>
      </c>
      <c r="H318">
        <v>13.75</v>
      </c>
      <c r="I318" s="1" t="s">
        <v>542</v>
      </c>
      <c r="J318" s="1" t="s">
        <v>545</v>
      </c>
      <c r="K318" s="1" t="s">
        <v>546</v>
      </c>
      <c r="L318" s="1" t="s">
        <v>547</v>
      </c>
      <c r="M318" s="1" t="s">
        <v>548</v>
      </c>
      <c r="N318" s="1" t="s">
        <v>292</v>
      </c>
      <c r="O318" s="1">
        <f>MONTH(orders[[#This Row],[OrderDate]])</f>
        <v>7</v>
      </c>
    </row>
    <row r="319" spans="1:15" x14ac:dyDescent="0.35">
      <c r="A319">
        <v>10565</v>
      </c>
      <c r="B319" s="1" t="s">
        <v>442</v>
      </c>
      <c r="C319">
        <v>8</v>
      </c>
      <c r="D319" s="2">
        <v>34892</v>
      </c>
      <c r="E319" s="2">
        <v>34920</v>
      </c>
      <c r="F319" s="2">
        <v>34899</v>
      </c>
      <c r="G319">
        <v>2</v>
      </c>
      <c r="H319">
        <v>7.15</v>
      </c>
      <c r="I319" s="1" t="s">
        <v>443</v>
      </c>
      <c r="J319" s="1" t="s">
        <v>445</v>
      </c>
      <c r="K319" s="1" t="s">
        <v>446</v>
      </c>
      <c r="L319" s="1" t="s">
        <v>447</v>
      </c>
      <c r="M319" s="1" t="s">
        <v>448</v>
      </c>
      <c r="N319" s="1" t="s">
        <v>119</v>
      </c>
      <c r="O319" s="1">
        <f>MONTH(orders[[#This Row],[OrderDate]])</f>
        <v>7</v>
      </c>
    </row>
    <row r="320" spans="1:15" x14ac:dyDescent="0.35">
      <c r="A320">
        <v>10566</v>
      </c>
      <c r="B320" s="1" t="s">
        <v>84</v>
      </c>
      <c r="C320">
        <v>9</v>
      </c>
      <c r="D320" s="2">
        <v>34893</v>
      </c>
      <c r="E320" s="2">
        <v>34921</v>
      </c>
      <c r="F320" s="2">
        <v>34899</v>
      </c>
      <c r="G320">
        <v>1</v>
      </c>
      <c r="H320">
        <v>88.4</v>
      </c>
      <c r="I320" s="1" t="s">
        <v>85</v>
      </c>
      <c r="J320" s="1" t="s">
        <v>88</v>
      </c>
      <c r="K320" s="1" t="s">
        <v>89</v>
      </c>
      <c r="L320" s="1" t="s">
        <v>1195</v>
      </c>
      <c r="M320" s="1" t="s">
        <v>90</v>
      </c>
      <c r="N320" s="1" t="s">
        <v>91</v>
      </c>
      <c r="O320" s="1">
        <f>MONTH(orders[[#This Row],[OrderDate]])</f>
        <v>7</v>
      </c>
    </row>
    <row r="321" spans="1:15" x14ac:dyDescent="0.35">
      <c r="A321">
        <v>10567</v>
      </c>
      <c r="B321" s="1" t="s">
        <v>329</v>
      </c>
      <c r="C321">
        <v>1</v>
      </c>
      <c r="D321" s="2">
        <v>34893</v>
      </c>
      <c r="E321" s="2">
        <v>34921</v>
      </c>
      <c r="F321" s="2">
        <v>34898</v>
      </c>
      <c r="G321">
        <v>1</v>
      </c>
      <c r="H321">
        <v>33.97</v>
      </c>
      <c r="I321" s="1" t="s">
        <v>330</v>
      </c>
      <c r="J321" s="1" t="s">
        <v>332</v>
      </c>
      <c r="K321" s="1" t="s">
        <v>333</v>
      </c>
      <c r="L321" s="1" t="s">
        <v>334</v>
      </c>
      <c r="M321" s="1" t="s">
        <v>1195</v>
      </c>
      <c r="N321" s="1" t="s">
        <v>335</v>
      </c>
      <c r="O321" s="1">
        <f>MONTH(orders[[#This Row],[OrderDate]])</f>
        <v>7</v>
      </c>
    </row>
    <row r="322" spans="1:15" x14ac:dyDescent="0.35">
      <c r="A322">
        <v>10568</v>
      </c>
      <c r="B322" s="1" t="s">
        <v>263</v>
      </c>
      <c r="C322">
        <v>3</v>
      </c>
      <c r="D322" s="2">
        <v>34894</v>
      </c>
      <c r="E322" s="2">
        <v>34922</v>
      </c>
      <c r="F322" s="2">
        <v>34920</v>
      </c>
      <c r="G322">
        <v>3</v>
      </c>
      <c r="H322">
        <v>6.54</v>
      </c>
      <c r="I322" s="1" t="s">
        <v>842</v>
      </c>
      <c r="J322" s="1" t="s">
        <v>266</v>
      </c>
      <c r="K322" s="1" t="s">
        <v>267</v>
      </c>
      <c r="L322" s="1" t="s">
        <v>1195</v>
      </c>
      <c r="M322" s="1" t="s">
        <v>843</v>
      </c>
      <c r="N322" s="1" t="s">
        <v>100</v>
      </c>
      <c r="O322" s="1">
        <f>MONTH(orders[[#This Row],[OrderDate]])</f>
        <v>7</v>
      </c>
    </row>
    <row r="323" spans="1:15" x14ac:dyDescent="0.35">
      <c r="A323">
        <v>10569</v>
      </c>
      <c r="B323" s="1" t="s">
        <v>541</v>
      </c>
      <c r="C323">
        <v>5</v>
      </c>
      <c r="D323" s="2">
        <v>34897</v>
      </c>
      <c r="E323" s="2">
        <v>34925</v>
      </c>
      <c r="F323" s="2">
        <v>34922</v>
      </c>
      <c r="G323">
        <v>1</v>
      </c>
      <c r="H323">
        <v>58.98</v>
      </c>
      <c r="I323" s="1" t="s">
        <v>542</v>
      </c>
      <c r="J323" s="1" t="s">
        <v>545</v>
      </c>
      <c r="K323" s="1" t="s">
        <v>546</v>
      </c>
      <c r="L323" s="1" t="s">
        <v>547</v>
      </c>
      <c r="M323" s="1" t="s">
        <v>548</v>
      </c>
      <c r="N323" s="1" t="s">
        <v>292</v>
      </c>
      <c r="O323" s="1">
        <f>MONTH(orders[[#This Row],[OrderDate]])</f>
        <v>7</v>
      </c>
    </row>
    <row r="324" spans="1:15" x14ac:dyDescent="0.35">
      <c r="A324">
        <v>10570</v>
      </c>
      <c r="B324" s="1" t="s">
        <v>442</v>
      </c>
      <c r="C324">
        <v>3</v>
      </c>
      <c r="D324" s="2">
        <v>34898</v>
      </c>
      <c r="E324" s="2">
        <v>34926</v>
      </c>
      <c r="F324" s="2">
        <v>34900</v>
      </c>
      <c r="G324">
        <v>3</v>
      </c>
      <c r="H324">
        <v>188.99</v>
      </c>
      <c r="I324" s="1" t="s">
        <v>443</v>
      </c>
      <c r="J324" s="1" t="s">
        <v>445</v>
      </c>
      <c r="K324" s="1" t="s">
        <v>446</v>
      </c>
      <c r="L324" s="1" t="s">
        <v>447</v>
      </c>
      <c r="M324" s="1" t="s">
        <v>448</v>
      </c>
      <c r="N324" s="1" t="s">
        <v>119</v>
      </c>
      <c r="O324" s="1">
        <f>MONTH(orders[[#This Row],[OrderDate]])</f>
        <v>7</v>
      </c>
    </row>
    <row r="325" spans="1:15" x14ac:dyDescent="0.35">
      <c r="A325">
        <v>10571</v>
      </c>
      <c r="B325" s="1" t="s">
        <v>192</v>
      </c>
      <c r="C325">
        <v>8</v>
      </c>
      <c r="D325" s="2">
        <v>34898</v>
      </c>
      <c r="E325" s="2">
        <v>34940</v>
      </c>
      <c r="F325" s="2">
        <v>34915</v>
      </c>
      <c r="G325">
        <v>3</v>
      </c>
      <c r="H325">
        <v>26.06</v>
      </c>
      <c r="I325" s="1" t="s">
        <v>193</v>
      </c>
      <c r="J325" s="1" t="s">
        <v>196</v>
      </c>
      <c r="K325" s="1" t="s">
        <v>197</v>
      </c>
      <c r="L325" s="1" t="s">
        <v>1195</v>
      </c>
      <c r="M325" s="1" t="s">
        <v>198</v>
      </c>
      <c r="N325" s="1" t="s">
        <v>199</v>
      </c>
      <c r="O325" s="1">
        <f>MONTH(orders[[#This Row],[OrderDate]])</f>
        <v>7</v>
      </c>
    </row>
    <row r="326" spans="1:15" x14ac:dyDescent="0.35">
      <c r="A326">
        <v>10572</v>
      </c>
      <c r="B326" s="1" t="s">
        <v>66</v>
      </c>
      <c r="C326">
        <v>3</v>
      </c>
      <c r="D326" s="2">
        <v>34899</v>
      </c>
      <c r="E326" s="2">
        <v>34927</v>
      </c>
      <c r="F326" s="2">
        <v>34906</v>
      </c>
      <c r="G326">
        <v>2</v>
      </c>
      <c r="H326">
        <v>116.43</v>
      </c>
      <c r="I326" s="1" t="s">
        <v>67</v>
      </c>
      <c r="J326" s="1" t="s">
        <v>70</v>
      </c>
      <c r="K326" s="1" t="s">
        <v>71</v>
      </c>
      <c r="L326" s="1" t="s">
        <v>1195</v>
      </c>
      <c r="M326" s="1" t="s">
        <v>72</v>
      </c>
      <c r="N326" s="1" t="s">
        <v>73</v>
      </c>
      <c r="O326" s="1">
        <f>MONTH(orders[[#This Row],[OrderDate]])</f>
        <v>7</v>
      </c>
    </row>
    <row r="327" spans="1:15" x14ac:dyDescent="0.35">
      <c r="A327">
        <v>10573</v>
      </c>
      <c r="B327" s="1" t="s">
        <v>51</v>
      </c>
      <c r="C327">
        <v>7</v>
      </c>
      <c r="D327" s="2">
        <v>34900</v>
      </c>
      <c r="E327" s="2">
        <v>34928</v>
      </c>
      <c r="F327" s="2">
        <v>34901</v>
      </c>
      <c r="G327">
        <v>3</v>
      </c>
      <c r="H327">
        <v>84.84</v>
      </c>
      <c r="I327" s="1" t="s">
        <v>52</v>
      </c>
      <c r="J327" s="1" t="s">
        <v>54</v>
      </c>
      <c r="K327" s="1" t="s">
        <v>46</v>
      </c>
      <c r="L327" s="1" t="s">
        <v>1195</v>
      </c>
      <c r="M327" s="1" t="s">
        <v>55</v>
      </c>
      <c r="N327" s="1" t="s">
        <v>48</v>
      </c>
      <c r="O327" s="1">
        <f>MONTH(orders[[#This Row],[OrderDate]])</f>
        <v>7</v>
      </c>
    </row>
    <row r="328" spans="1:15" x14ac:dyDescent="0.35">
      <c r="A328">
        <v>10574</v>
      </c>
      <c r="B328" s="1" t="s">
        <v>670</v>
      </c>
      <c r="C328">
        <v>4</v>
      </c>
      <c r="D328" s="2">
        <v>34900</v>
      </c>
      <c r="E328" s="2">
        <v>34928</v>
      </c>
      <c r="F328" s="2">
        <v>34911</v>
      </c>
      <c r="G328">
        <v>2</v>
      </c>
      <c r="H328">
        <v>37.6</v>
      </c>
      <c r="I328" s="1" t="s">
        <v>671</v>
      </c>
      <c r="J328" s="1" t="s">
        <v>673</v>
      </c>
      <c r="K328" s="1" t="s">
        <v>674</v>
      </c>
      <c r="L328" s="1" t="s">
        <v>381</v>
      </c>
      <c r="M328" s="1" t="s">
        <v>675</v>
      </c>
      <c r="N328" s="1" t="s">
        <v>292</v>
      </c>
      <c r="O328" s="1">
        <f>MONTH(orders[[#This Row],[OrderDate]])</f>
        <v>7</v>
      </c>
    </row>
    <row r="329" spans="1:15" x14ac:dyDescent="0.35">
      <c r="A329">
        <v>10575</v>
      </c>
      <c r="B329" s="1" t="s">
        <v>451</v>
      </c>
      <c r="C329">
        <v>5</v>
      </c>
      <c r="D329" s="2">
        <v>34901</v>
      </c>
      <c r="E329" s="2">
        <v>34915</v>
      </c>
      <c r="F329" s="2">
        <v>34911</v>
      </c>
      <c r="G329">
        <v>1</v>
      </c>
      <c r="H329">
        <v>127.34</v>
      </c>
      <c r="I329" s="1" t="s">
        <v>452</v>
      </c>
      <c r="J329" s="1" t="s">
        <v>454</v>
      </c>
      <c r="K329" s="1" t="s">
        <v>455</v>
      </c>
      <c r="L329" s="1" t="s">
        <v>1195</v>
      </c>
      <c r="M329" s="1" t="s">
        <v>456</v>
      </c>
      <c r="N329" s="1" t="s">
        <v>38</v>
      </c>
      <c r="O329" s="1">
        <f>MONTH(orders[[#This Row],[OrderDate]])</f>
        <v>7</v>
      </c>
    </row>
    <row r="330" spans="1:15" x14ac:dyDescent="0.35">
      <c r="A330">
        <v>10576</v>
      </c>
      <c r="B330" s="1" t="s">
        <v>658</v>
      </c>
      <c r="C330">
        <v>3</v>
      </c>
      <c r="D330" s="2">
        <v>34904</v>
      </c>
      <c r="E330" s="2">
        <v>34918</v>
      </c>
      <c r="F330" s="2">
        <v>34911</v>
      </c>
      <c r="G330">
        <v>3</v>
      </c>
      <c r="H330">
        <v>18.559999999999999</v>
      </c>
      <c r="I330" s="1" t="s">
        <v>659</v>
      </c>
      <c r="J330" s="1" t="s">
        <v>661</v>
      </c>
      <c r="K330" s="1" t="s">
        <v>46</v>
      </c>
      <c r="L330" s="1" t="s">
        <v>1195</v>
      </c>
      <c r="M330" s="1" t="s">
        <v>498</v>
      </c>
      <c r="N330" s="1" t="s">
        <v>48</v>
      </c>
      <c r="O330" s="1">
        <f>MONTH(orders[[#This Row],[OrderDate]])</f>
        <v>7</v>
      </c>
    </row>
    <row r="331" spans="1:15" x14ac:dyDescent="0.35">
      <c r="A331">
        <v>10577</v>
      </c>
      <c r="B331" s="1" t="s">
        <v>670</v>
      </c>
      <c r="C331">
        <v>9</v>
      </c>
      <c r="D331" s="2">
        <v>34904</v>
      </c>
      <c r="E331" s="2">
        <v>34946</v>
      </c>
      <c r="F331" s="2">
        <v>34911</v>
      </c>
      <c r="G331">
        <v>2</v>
      </c>
      <c r="H331">
        <v>25.41</v>
      </c>
      <c r="I331" s="1" t="s">
        <v>671</v>
      </c>
      <c r="J331" s="1" t="s">
        <v>673</v>
      </c>
      <c r="K331" s="1" t="s">
        <v>674</v>
      </c>
      <c r="L331" s="1" t="s">
        <v>381</v>
      </c>
      <c r="M331" s="1" t="s">
        <v>675</v>
      </c>
      <c r="N331" s="1" t="s">
        <v>292</v>
      </c>
      <c r="O331" s="1">
        <f>MONTH(orders[[#This Row],[OrderDate]])</f>
        <v>7</v>
      </c>
    </row>
    <row r="332" spans="1:15" x14ac:dyDescent="0.35">
      <c r="A332">
        <v>10578</v>
      </c>
      <c r="B332" s="1" t="s">
        <v>122</v>
      </c>
      <c r="C332">
        <v>4</v>
      </c>
      <c r="D332" s="2">
        <v>34905</v>
      </c>
      <c r="E332" s="2">
        <v>34933</v>
      </c>
      <c r="F332" s="2">
        <v>34936</v>
      </c>
      <c r="G332">
        <v>3</v>
      </c>
      <c r="H332">
        <v>29.6</v>
      </c>
      <c r="I332" s="1" t="s">
        <v>123</v>
      </c>
      <c r="J332" s="1" t="s">
        <v>125</v>
      </c>
      <c r="K332" s="1" t="s">
        <v>61</v>
      </c>
      <c r="L332" s="1" t="s">
        <v>1195</v>
      </c>
      <c r="M332" s="1" t="s">
        <v>126</v>
      </c>
      <c r="N332" s="1" t="s">
        <v>63</v>
      </c>
      <c r="O332" s="1">
        <f>MONTH(orders[[#This Row],[OrderDate]])</f>
        <v>7</v>
      </c>
    </row>
    <row r="333" spans="1:15" x14ac:dyDescent="0.35">
      <c r="A333">
        <v>10579</v>
      </c>
      <c r="B333" s="1" t="s">
        <v>392</v>
      </c>
      <c r="C333">
        <v>1</v>
      </c>
      <c r="D333" s="2">
        <v>34906</v>
      </c>
      <c r="E333" s="2">
        <v>34934</v>
      </c>
      <c r="F333" s="2">
        <v>34915</v>
      </c>
      <c r="G333">
        <v>2</v>
      </c>
      <c r="H333">
        <v>13.73</v>
      </c>
      <c r="I333" s="1" t="s">
        <v>393</v>
      </c>
      <c r="J333" s="1" t="s">
        <v>1202</v>
      </c>
      <c r="K333" s="1" t="s">
        <v>395</v>
      </c>
      <c r="L333" s="1" t="s">
        <v>396</v>
      </c>
      <c r="M333" s="1" t="s">
        <v>397</v>
      </c>
      <c r="N333" s="1" t="s">
        <v>292</v>
      </c>
      <c r="O333" s="1">
        <f>MONTH(orders[[#This Row],[OrderDate]])</f>
        <v>7</v>
      </c>
    </row>
    <row r="334" spans="1:15" x14ac:dyDescent="0.35">
      <c r="A334">
        <v>10580</v>
      </c>
      <c r="B334" s="1" t="s">
        <v>478</v>
      </c>
      <c r="C334">
        <v>4</v>
      </c>
      <c r="D334" s="2">
        <v>34907</v>
      </c>
      <c r="E334" s="2">
        <v>34935</v>
      </c>
      <c r="F334" s="2">
        <v>34912</v>
      </c>
      <c r="G334">
        <v>3</v>
      </c>
      <c r="H334">
        <v>75.89</v>
      </c>
      <c r="I334" s="1" t="s">
        <v>479</v>
      </c>
      <c r="J334" s="1" t="s">
        <v>481</v>
      </c>
      <c r="K334" s="1" t="s">
        <v>482</v>
      </c>
      <c r="L334" s="1" t="s">
        <v>1195</v>
      </c>
      <c r="M334" s="1" t="s">
        <v>483</v>
      </c>
      <c r="N334" s="1" t="s">
        <v>38</v>
      </c>
      <c r="O334" s="1">
        <f>MONTH(orders[[#This Row],[OrderDate]])</f>
        <v>7</v>
      </c>
    </row>
    <row r="335" spans="1:15" x14ac:dyDescent="0.35">
      <c r="A335">
        <v>10581</v>
      </c>
      <c r="B335" s="1" t="s">
        <v>202</v>
      </c>
      <c r="C335">
        <v>3</v>
      </c>
      <c r="D335" s="2">
        <v>34907</v>
      </c>
      <c r="E335" s="2">
        <v>34935</v>
      </c>
      <c r="F335" s="2">
        <v>34913</v>
      </c>
      <c r="G335">
        <v>1</v>
      </c>
      <c r="H335">
        <v>3.01</v>
      </c>
      <c r="I335" s="1" t="s">
        <v>203</v>
      </c>
      <c r="J335" s="1" t="s">
        <v>206</v>
      </c>
      <c r="K335" s="1" t="s">
        <v>158</v>
      </c>
      <c r="L335" s="1" t="s">
        <v>159</v>
      </c>
      <c r="M335" s="1" t="s">
        <v>207</v>
      </c>
      <c r="N335" s="1" t="s">
        <v>161</v>
      </c>
      <c r="O335" s="1">
        <f>MONTH(orders[[#This Row],[OrderDate]])</f>
        <v>7</v>
      </c>
    </row>
    <row r="336" spans="1:15" x14ac:dyDescent="0.35">
      <c r="A336">
        <v>10582</v>
      </c>
      <c r="B336" s="1" t="s">
        <v>76</v>
      </c>
      <c r="C336">
        <v>3</v>
      </c>
      <c r="D336" s="2">
        <v>34908</v>
      </c>
      <c r="E336" s="2">
        <v>34936</v>
      </c>
      <c r="F336" s="2">
        <v>34925</v>
      </c>
      <c r="G336">
        <v>2</v>
      </c>
      <c r="H336">
        <v>27.71</v>
      </c>
      <c r="I336" s="1" t="s">
        <v>77</v>
      </c>
      <c r="J336" s="1" t="s">
        <v>79</v>
      </c>
      <c r="K336" s="1" t="s">
        <v>80</v>
      </c>
      <c r="L336" s="1" t="s">
        <v>1195</v>
      </c>
      <c r="M336" s="1" t="s">
        <v>81</v>
      </c>
      <c r="N336" s="1" t="s">
        <v>38</v>
      </c>
      <c r="O336" s="1">
        <f>MONTH(orders[[#This Row],[OrderDate]])</f>
        <v>7</v>
      </c>
    </row>
    <row r="337" spans="1:15" x14ac:dyDescent="0.35">
      <c r="A337">
        <v>10583</v>
      </c>
      <c r="B337" s="1" t="s">
        <v>710</v>
      </c>
      <c r="C337">
        <v>2</v>
      </c>
      <c r="D337" s="2">
        <v>34911</v>
      </c>
      <c r="E337" s="2">
        <v>34939</v>
      </c>
      <c r="F337" s="2">
        <v>34915</v>
      </c>
      <c r="G337">
        <v>2</v>
      </c>
      <c r="H337">
        <v>7.28</v>
      </c>
      <c r="I337" s="1" t="s">
        <v>711</v>
      </c>
      <c r="J337" s="1" t="s">
        <v>713</v>
      </c>
      <c r="K337" s="1" t="s">
        <v>714</v>
      </c>
      <c r="L337" s="1" t="s">
        <v>1195</v>
      </c>
      <c r="M337" s="1" t="s">
        <v>715</v>
      </c>
      <c r="N337" s="1" t="s">
        <v>716</v>
      </c>
      <c r="O337" s="1">
        <f>MONTH(orders[[#This Row],[OrderDate]])</f>
        <v>7</v>
      </c>
    </row>
    <row r="338" spans="1:15" x14ac:dyDescent="0.35">
      <c r="A338">
        <v>10584</v>
      </c>
      <c r="B338" s="1" t="s">
        <v>84</v>
      </c>
      <c r="C338">
        <v>4</v>
      </c>
      <c r="D338" s="2">
        <v>34911</v>
      </c>
      <c r="E338" s="2">
        <v>34939</v>
      </c>
      <c r="F338" s="2">
        <v>34915</v>
      </c>
      <c r="G338">
        <v>1</v>
      </c>
      <c r="H338">
        <v>59.14</v>
      </c>
      <c r="I338" s="1" t="s">
        <v>85</v>
      </c>
      <c r="J338" s="1" t="s">
        <v>88</v>
      </c>
      <c r="K338" s="1" t="s">
        <v>89</v>
      </c>
      <c r="L338" s="1" t="s">
        <v>1195</v>
      </c>
      <c r="M338" s="1" t="s">
        <v>90</v>
      </c>
      <c r="N338" s="1" t="s">
        <v>91</v>
      </c>
      <c r="O338" s="1">
        <f>MONTH(orders[[#This Row],[OrderDate]])</f>
        <v>7</v>
      </c>
    </row>
    <row r="339" spans="1:15" x14ac:dyDescent="0.35">
      <c r="A339">
        <v>10585</v>
      </c>
      <c r="B339" s="1" t="s">
        <v>718</v>
      </c>
      <c r="C339">
        <v>7</v>
      </c>
      <c r="D339" s="2">
        <v>34912</v>
      </c>
      <c r="E339" s="2">
        <v>34940</v>
      </c>
      <c r="F339" s="2">
        <v>34921</v>
      </c>
      <c r="G339">
        <v>1</v>
      </c>
      <c r="H339">
        <v>13.41</v>
      </c>
      <c r="I339" s="1" t="s">
        <v>719</v>
      </c>
      <c r="J339" s="1" t="s">
        <v>721</v>
      </c>
      <c r="K339" s="1" t="s">
        <v>722</v>
      </c>
      <c r="L339" s="1" t="s">
        <v>159</v>
      </c>
      <c r="M339" s="1" t="s">
        <v>723</v>
      </c>
      <c r="N339" s="1" t="s">
        <v>161</v>
      </c>
      <c r="O339" s="1">
        <f>MONTH(orders[[#This Row],[OrderDate]])</f>
        <v>8</v>
      </c>
    </row>
    <row r="340" spans="1:15" x14ac:dyDescent="0.35">
      <c r="A340">
        <v>10586</v>
      </c>
      <c r="B340" s="1" t="s">
        <v>551</v>
      </c>
      <c r="C340">
        <v>9</v>
      </c>
      <c r="D340" s="2">
        <v>34913</v>
      </c>
      <c r="E340" s="2">
        <v>34941</v>
      </c>
      <c r="F340" s="2">
        <v>34920</v>
      </c>
      <c r="G340">
        <v>1</v>
      </c>
      <c r="H340">
        <v>0.48</v>
      </c>
      <c r="I340" s="1" t="s">
        <v>552</v>
      </c>
      <c r="J340" s="1" t="s">
        <v>554</v>
      </c>
      <c r="K340" s="1" t="s">
        <v>555</v>
      </c>
      <c r="L340" s="1" t="s">
        <v>1195</v>
      </c>
      <c r="M340" s="1" t="s">
        <v>556</v>
      </c>
      <c r="N340" s="1" t="s">
        <v>252</v>
      </c>
      <c r="O340" s="1">
        <f>MONTH(orders[[#This Row],[OrderDate]])</f>
        <v>8</v>
      </c>
    </row>
    <row r="341" spans="1:15" x14ac:dyDescent="0.35">
      <c r="A341">
        <v>10587</v>
      </c>
      <c r="B341" s="1" t="s">
        <v>515</v>
      </c>
      <c r="C341">
        <v>1</v>
      </c>
      <c r="D341" s="2">
        <v>34913</v>
      </c>
      <c r="E341" s="2">
        <v>34941</v>
      </c>
      <c r="F341" s="2">
        <v>34920</v>
      </c>
      <c r="G341">
        <v>1</v>
      </c>
      <c r="H341">
        <v>62.52</v>
      </c>
      <c r="I341" s="1" t="s">
        <v>516</v>
      </c>
      <c r="J341" s="1" t="s">
        <v>518</v>
      </c>
      <c r="K341" s="1" t="s">
        <v>308</v>
      </c>
      <c r="L341" s="1" t="s">
        <v>309</v>
      </c>
      <c r="M341" s="1" t="s">
        <v>519</v>
      </c>
      <c r="N341" s="1" t="s">
        <v>161</v>
      </c>
      <c r="O341" s="1">
        <f>MONTH(orders[[#This Row],[OrderDate]])</f>
        <v>8</v>
      </c>
    </row>
    <row r="342" spans="1:15" x14ac:dyDescent="0.35">
      <c r="A342">
        <v>10588</v>
      </c>
      <c r="B342" s="1" t="s">
        <v>528</v>
      </c>
      <c r="C342">
        <v>2</v>
      </c>
      <c r="D342" s="2">
        <v>34914</v>
      </c>
      <c r="E342" s="2">
        <v>34942</v>
      </c>
      <c r="F342" s="2">
        <v>34921</v>
      </c>
      <c r="G342">
        <v>3</v>
      </c>
      <c r="H342">
        <v>194.67</v>
      </c>
      <c r="I342" s="1" t="s">
        <v>529</v>
      </c>
      <c r="J342" s="1" t="s">
        <v>531</v>
      </c>
      <c r="K342" s="1" t="s">
        <v>532</v>
      </c>
      <c r="L342" s="1" t="s">
        <v>1195</v>
      </c>
      <c r="M342" s="1" t="s">
        <v>533</v>
      </c>
      <c r="N342" s="1" t="s">
        <v>38</v>
      </c>
      <c r="O342" s="1">
        <f>MONTH(orders[[#This Row],[OrderDate]])</f>
        <v>8</v>
      </c>
    </row>
    <row r="343" spans="1:15" x14ac:dyDescent="0.35">
      <c r="A343">
        <v>10589</v>
      </c>
      <c r="B343" s="1" t="s">
        <v>285</v>
      </c>
      <c r="C343">
        <v>8</v>
      </c>
      <c r="D343" s="2">
        <v>34915</v>
      </c>
      <c r="E343" s="2">
        <v>34943</v>
      </c>
      <c r="F343" s="2">
        <v>34925</v>
      </c>
      <c r="G343">
        <v>2</v>
      </c>
      <c r="H343">
        <v>4.42</v>
      </c>
      <c r="I343" s="1" t="s">
        <v>286</v>
      </c>
      <c r="J343" s="1" t="s">
        <v>288</v>
      </c>
      <c r="K343" s="1" t="s">
        <v>289</v>
      </c>
      <c r="L343" s="1" t="s">
        <v>290</v>
      </c>
      <c r="M343" s="1" t="s">
        <v>291</v>
      </c>
      <c r="N343" s="1" t="s">
        <v>292</v>
      </c>
      <c r="O343" s="1">
        <f>MONTH(orders[[#This Row],[OrderDate]])</f>
        <v>8</v>
      </c>
    </row>
    <row r="344" spans="1:15" x14ac:dyDescent="0.35">
      <c r="A344">
        <v>10590</v>
      </c>
      <c r="B344" s="1" t="s">
        <v>442</v>
      </c>
      <c r="C344">
        <v>4</v>
      </c>
      <c r="D344" s="2">
        <v>34918</v>
      </c>
      <c r="E344" s="2">
        <v>34946</v>
      </c>
      <c r="F344" s="2">
        <v>34925</v>
      </c>
      <c r="G344">
        <v>3</v>
      </c>
      <c r="H344">
        <v>44.77</v>
      </c>
      <c r="I344" s="1" t="s">
        <v>443</v>
      </c>
      <c r="J344" s="1" t="s">
        <v>445</v>
      </c>
      <c r="K344" s="1" t="s">
        <v>446</v>
      </c>
      <c r="L344" s="1" t="s">
        <v>447</v>
      </c>
      <c r="M344" s="1" t="s">
        <v>448</v>
      </c>
      <c r="N344" s="1" t="s">
        <v>119</v>
      </c>
      <c r="O344" s="1">
        <f>MONTH(orders[[#This Row],[OrderDate]])</f>
        <v>8</v>
      </c>
    </row>
    <row r="345" spans="1:15" x14ac:dyDescent="0.35">
      <c r="A345">
        <v>10591</v>
      </c>
      <c r="B345" s="1" t="s">
        <v>678</v>
      </c>
      <c r="C345">
        <v>1</v>
      </c>
      <c r="D345" s="2">
        <v>34918</v>
      </c>
      <c r="E345" s="2">
        <v>34932</v>
      </c>
      <c r="F345" s="2">
        <v>34927</v>
      </c>
      <c r="G345">
        <v>1</v>
      </c>
      <c r="H345">
        <v>55.92</v>
      </c>
      <c r="I345" s="1" t="s">
        <v>679</v>
      </c>
      <c r="J345" s="1" t="s">
        <v>681</v>
      </c>
      <c r="K345" s="1" t="s">
        <v>682</v>
      </c>
      <c r="L345" s="1" t="s">
        <v>1195</v>
      </c>
      <c r="M345" s="1" t="s">
        <v>683</v>
      </c>
      <c r="N345" s="1" t="s">
        <v>609</v>
      </c>
      <c r="O345" s="1">
        <f>MONTH(orders[[#This Row],[OrderDate]])</f>
        <v>8</v>
      </c>
    </row>
    <row r="346" spans="1:15" x14ac:dyDescent="0.35">
      <c r="A346">
        <v>10592</v>
      </c>
      <c r="B346" s="1" t="s">
        <v>385</v>
      </c>
      <c r="C346">
        <v>3</v>
      </c>
      <c r="D346" s="2">
        <v>34919</v>
      </c>
      <c r="E346" s="2">
        <v>34947</v>
      </c>
      <c r="F346" s="2">
        <v>34927</v>
      </c>
      <c r="G346">
        <v>1</v>
      </c>
      <c r="H346">
        <v>32.1</v>
      </c>
      <c r="I346" s="1" t="s">
        <v>386</v>
      </c>
      <c r="J346" s="1" t="s">
        <v>388</v>
      </c>
      <c r="K346" s="1" t="s">
        <v>1201</v>
      </c>
      <c r="L346" s="1" t="s">
        <v>1195</v>
      </c>
      <c r="M346" s="1" t="s">
        <v>389</v>
      </c>
      <c r="N346" s="1" t="s">
        <v>38</v>
      </c>
      <c r="O346" s="1">
        <f>MONTH(orders[[#This Row],[OrderDate]])</f>
        <v>8</v>
      </c>
    </row>
    <row r="347" spans="1:15" x14ac:dyDescent="0.35">
      <c r="A347">
        <v>10593</v>
      </c>
      <c r="B347" s="1" t="s">
        <v>385</v>
      </c>
      <c r="C347">
        <v>7</v>
      </c>
      <c r="D347" s="2">
        <v>34920</v>
      </c>
      <c r="E347" s="2">
        <v>34948</v>
      </c>
      <c r="F347" s="2">
        <v>34955</v>
      </c>
      <c r="G347">
        <v>2</v>
      </c>
      <c r="H347">
        <v>174.2</v>
      </c>
      <c r="I347" s="1" t="s">
        <v>386</v>
      </c>
      <c r="J347" s="1" t="s">
        <v>388</v>
      </c>
      <c r="K347" s="1" t="s">
        <v>1201</v>
      </c>
      <c r="L347" s="1" t="s">
        <v>1195</v>
      </c>
      <c r="M347" s="1" t="s">
        <v>389</v>
      </c>
      <c r="N347" s="1" t="s">
        <v>38</v>
      </c>
      <c r="O347" s="1">
        <f>MONTH(orders[[#This Row],[OrderDate]])</f>
        <v>8</v>
      </c>
    </row>
    <row r="348" spans="1:15" x14ac:dyDescent="0.35">
      <c r="A348">
        <v>10594</v>
      </c>
      <c r="B348" s="1" t="s">
        <v>469</v>
      </c>
      <c r="C348">
        <v>3</v>
      </c>
      <c r="D348" s="2">
        <v>34920</v>
      </c>
      <c r="E348" s="2">
        <v>34948</v>
      </c>
      <c r="F348" s="2">
        <v>34927</v>
      </c>
      <c r="G348">
        <v>2</v>
      </c>
      <c r="H348">
        <v>5.24</v>
      </c>
      <c r="I348" s="1" t="s">
        <v>470</v>
      </c>
      <c r="J348" s="1" t="s">
        <v>472</v>
      </c>
      <c r="K348" s="1" t="s">
        <v>473</v>
      </c>
      <c r="L348" s="1" t="s">
        <v>474</v>
      </c>
      <c r="M348" s="1" t="s">
        <v>475</v>
      </c>
      <c r="N348" s="1" t="s">
        <v>292</v>
      </c>
      <c r="O348" s="1">
        <f>MONTH(orders[[#This Row],[OrderDate]])</f>
        <v>8</v>
      </c>
    </row>
    <row r="349" spans="1:15" x14ac:dyDescent="0.35">
      <c r="A349">
        <v>10595</v>
      </c>
      <c r="B349" s="1" t="s">
        <v>192</v>
      </c>
      <c r="C349">
        <v>2</v>
      </c>
      <c r="D349" s="2">
        <v>34921</v>
      </c>
      <c r="E349" s="2">
        <v>34949</v>
      </c>
      <c r="F349" s="2">
        <v>34925</v>
      </c>
      <c r="G349">
        <v>1</v>
      </c>
      <c r="H349">
        <v>96.78</v>
      </c>
      <c r="I349" s="1" t="s">
        <v>193</v>
      </c>
      <c r="J349" s="1" t="s">
        <v>196</v>
      </c>
      <c r="K349" s="1" t="s">
        <v>197</v>
      </c>
      <c r="L349" s="1" t="s">
        <v>1195</v>
      </c>
      <c r="M349" s="1" t="s">
        <v>198</v>
      </c>
      <c r="N349" s="1" t="s">
        <v>199</v>
      </c>
      <c r="O349" s="1">
        <f>MONTH(orders[[#This Row],[OrderDate]])</f>
        <v>8</v>
      </c>
    </row>
    <row r="350" spans="1:15" x14ac:dyDescent="0.35">
      <c r="A350">
        <v>10596</v>
      </c>
      <c r="B350" s="1" t="s">
        <v>725</v>
      </c>
      <c r="C350">
        <v>8</v>
      </c>
      <c r="D350" s="2">
        <v>34922</v>
      </c>
      <c r="E350" s="2">
        <v>34950</v>
      </c>
      <c r="F350" s="2">
        <v>34954</v>
      </c>
      <c r="G350">
        <v>1</v>
      </c>
      <c r="H350">
        <v>16.34</v>
      </c>
      <c r="I350" s="1" t="s">
        <v>726</v>
      </c>
      <c r="J350" s="1" t="s">
        <v>837</v>
      </c>
      <c r="K350" s="1" t="s">
        <v>728</v>
      </c>
      <c r="L350" s="1" t="s">
        <v>381</v>
      </c>
      <c r="M350" s="1" t="s">
        <v>838</v>
      </c>
      <c r="N350" s="1" t="s">
        <v>292</v>
      </c>
      <c r="O350" s="1">
        <f>MONTH(orders[[#This Row],[OrderDate]])</f>
        <v>8</v>
      </c>
    </row>
    <row r="351" spans="1:15" x14ac:dyDescent="0.35">
      <c r="A351">
        <v>10597</v>
      </c>
      <c r="B351" s="1" t="s">
        <v>501</v>
      </c>
      <c r="C351">
        <v>7</v>
      </c>
      <c r="D351" s="2">
        <v>34922</v>
      </c>
      <c r="E351" s="2">
        <v>34950</v>
      </c>
      <c r="F351" s="2">
        <v>34929</v>
      </c>
      <c r="G351">
        <v>3</v>
      </c>
      <c r="H351">
        <v>35.119999999999997</v>
      </c>
      <c r="I351" s="1" t="s">
        <v>502</v>
      </c>
      <c r="J351" s="1" t="s">
        <v>504</v>
      </c>
      <c r="K351" s="1" t="s">
        <v>505</v>
      </c>
      <c r="L351" s="1" t="s">
        <v>1195</v>
      </c>
      <c r="M351" s="1" t="s">
        <v>506</v>
      </c>
      <c r="N351" s="1" t="s">
        <v>199</v>
      </c>
      <c r="O351" s="1">
        <f>MONTH(orders[[#This Row],[OrderDate]])</f>
        <v>8</v>
      </c>
    </row>
    <row r="352" spans="1:15" x14ac:dyDescent="0.35">
      <c r="A352">
        <v>10598</v>
      </c>
      <c r="B352" s="1" t="s">
        <v>541</v>
      </c>
      <c r="C352">
        <v>1</v>
      </c>
      <c r="D352" s="2">
        <v>34925</v>
      </c>
      <c r="E352" s="2">
        <v>34953</v>
      </c>
      <c r="F352" s="2">
        <v>34929</v>
      </c>
      <c r="G352">
        <v>3</v>
      </c>
      <c r="H352">
        <v>44.42</v>
      </c>
      <c r="I352" s="1" t="s">
        <v>542</v>
      </c>
      <c r="J352" s="1" t="s">
        <v>545</v>
      </c>
      <c r="K352" s="1" t="s">
        <v>546</v>
      </c>
      <c r="L352" s="1" t="s">
        <v>547</v>
      </c>
      <c r="M352" s="1" t="s">
        <v>548</v>
      </c>
      <c r="N352" s="1" t="s">
        <v>292</v>
      </c>
      <c r="O352" s="1">
        <f>MONTH(orders[[#This Row],[OrderDate]])</f>
        <v>8</v>
      </c>
    </row>
    <row r="353" spans="1:15" x14ac:dyDescent="0.35">
      <c r="A353">
        <v>10599</v>
      </c>
      <c r="B353" s="1" t="s">
        <v>122</v>
      </c>
      <c r="C353">
        <v>6</v>
      </c>
      <c r="D353" s="2">
        <v>34926</v>
      </c>
      <c r="E353" s="2">
        <v>34968</v>
      </c>
      <c r="F353" s="2">
        <v>34932</v>
      </c>
      <c r="G353">
        <v>3</v>
      </c>
      <c r="H353">
        <v>29.98</v>
      </c>
      <c r="I353" s="1" t="s">
        <v>123</v>
      </c>
      <c r="J353" s="1" t="s">
        <v>125</v>
      </c>
      <c r="K353" s="1" t="s">
        <v>61</v>
      </c>
      <c r="L353" s="1" t="s">
        <v>1195</v>
      </c>
      <c r="M353" s="1" t="s">
        <v>126</v>
      </c>
      <c r="N353" s="1" t="s">
        <v>63</v>
      </c>
      <c r="O353" s="1">
        <f>MONTH(orders[[#This Row],[OrderDate]])</f>
        <v>8</v>
      </c>
    </row>
    <row r="354" spans="1:15" x14ac:dyDescent="0.35">
      <c r="A354">
        <v>10600</v>
      </c>
      <c r="B354" s="1" t="s">
        <v>322</v>
      </c>
      <c r="C354">
        <v>4</v>
      </c>
      <c r="D354" s="2">
        <v>34927</v>
      </c>
      <c r="E354" s="2">
        <v>34955</v>
      </c>
      <c r="F354" s="2">
        <v>34932</v>
      </c>
      <c r="G354">
        <v>1</v>
      </c>
      <c r="H354">
        <v>45.13</v>
      </c>
      <c r="I354" s="1" t="s">
        <v>323</v>
      </c>
      <c r="J354" s="1" t="s">
        <v>1199</v>
      </c>
      <c r="K354" s="1" t="s">
        <v>325</v>
      </c>
      <c r="L354" s="1" t="s">
        <v>290</v>
      </c>
      <c r="M354" s="1" t="s">
        <v>326</v>
      </c>
      <c r="N354" s="1" t="s">
        <v>292</v>
      </c>
      <c r="O354" s="1">
        <f>MONTH(orders[[#This Row],[OrderDate]])</f>
        <v>8</v>
      </c>
    </row>
    <row r="355" spans="1:15" x14ac:dyDescent="0.35">
      <c r="A355">
        <v>10601</v>
      </c>
      <c r="B355" s="1" t="s">
        <v>313</v>
      </c>
      <c r="C355">
        <v>7</v>
      </c>
      <c r="D355" s="2">
        <v>34927</v>
      </c>
      <c r="E355" s="2">
        <v>34969</v>
      </c>
      <c r="F355" s="2">
        <v>34933</v>
      </c>
      <c r="G355">
        <v>1</v>
      </c>
      <c r="H355">
        <v>58.3</v>
      </c>
      <c r="I355" s="1" t="s">
        <v>314</v>
      </c>
      <c r="J355" s="1" t="s">
        <v>316</v>
      </c>
      <c r="K355" s="1" t="s">
        <v>317</v>
      </c>
      <c r="L355" s="1" t="s">
        <v>318</v>
      </c>
      <c r="M355" s="1" t="s">
        <v>319</v>
      </c>
      <c r="N355" s="1" t="s">
        <v>301</v>
      </c>
      <c r="O355" s="1">
        <f>MONTH(orders[[#This Row],[OrderDate]])</f>
        <v>8</v>
      </c>
    </row>
    <row r="356" spans="1:15" x14ac:dyDescent="0.35">
      <c r="A356">
        <v>10602</v>
      </c>
      <c r="B356" s="1" t="s">
        <v>678</v>
      </c>
      <c r="C356">
        <v>8</v>
      </c>
      <c r="D356" s="2">
        <v>34928</v>
      </c>
      <c r="E356" s="2">
        <v>34956</v>
      </c>
      <c r="F356" s="2">
        <v>34933</v>
      </c>
      <c r="G356">
        <v>2</v>
      </c>
      <c r="H356">
        <v>2.92</v>
      </c>
      <c r="I356" s="1" t="s">
        <v>679</v>
      </c>
      <c r="J356" s="1" t="s">
        <v>681</v>
      </c>
      <c r="K356" s="1" t="s">
        <v>682</v>
      </c>
      <c r="L356" s="1" t="s">
        <v>1195</v>
      </c>
      <c r="M356" s="1" t="s">
        <v>683</v>
      </c>
      <c r="N356" s="1" t="s">
        <v>609</v>
      </c>
      <c r="O356" s="1">
        <f>MONTH(orders[[#This Row],[OrderDate]])</f>
        <v>8</v>
      </c>
    </row>
    <row r="357" spans="1:15" x14ac:dyDescent="0.35">
      <c r="A357">
        <v>10603</v>
      </c>
      <c r="B357" s="1" t="s">
        <v>588</v>
      </c>
      <c r="C357">
        <v>8</v>
      </c>
      <c r="D357" s="2">
        <v>34929</v>
      </c>
      <c r="E357" s="2">
        <v>34957</v>
      </c>
      <c r="F357" s="2">
        <v>34950</v>
      </c>
      <c r="G357">
        <v>2</v>
      </c>
      <c r="H357">
        <v>48.77</v>
      </c>
      <c r="I357" s="1" t="s">
        <v>589</v>
      </c>
      <c r="J357" s="1" t="s">
        <v>591</v>
      </c>
      <c r="K357" s="1" t="s">
        <v>592</v>
      </c>
      <c r="L357" s="1" t="s">
        <v>593</v>
      </c>
      <c r="M357" s="1" t="s">
        <v>594</v>
      </c>
      <c r="N357" s="1" t="s">
        <v>292</v>
      </c>
      <c r="O357" s="1">
        <f>MONTH(orders[[#This Row],[OrderDate]])</f>
        <v>8</v>
      </c>
    </row>
    <row r="358" spans="1:15" x14ac:dyDescent="0.35">
      <c r="A358">
        <v>10604</v>
      </c>
      <c r="B358" s="1" t="s">
        <v>255</v>
      </c>
      <c r="C358">
        <v>1</v>
      </c>
      <c r="D358" s="2">
        <v>34929</v>
      </c>
      <c r="E358" s="2">
        <v>34957</v>
      </c>
      <c r="F358" s="2">
        <v>34940</v>
      </c>
      <c r="G358">
        <v>1</v>
      </c>
      <c r="H358">
        <v>7.46</v>
      </c>
      <c r="I358" s="1" t="s">
        <v>256</v>
      </c>
      <c r="J358" s="1" t="s">
        <v>257</v>
      </c>
      <c r="K358" s="1" t="s">
        <v>258</v>
      </c>
      <c r="L358" s="1" t="s">
        <v>1195</v>
      </c>
      <c r="M358" s="1" t="s">
        <v>259</v>
      </c>
      <c r="N358" s="1" t="s">
        <v>260</v>
      </c>
      <c r="O358" s="1">
        <f>MONTH(orders[[#This Row],[OrderDate]])</f>
        <v>8</v>
      </c>
    </row>
    <row r="359" spans="1:15" x14ac:dyDescent="0.35">
      <c r="A359">
        <v>10605</v>
      </c>
      <c r="B359" s="1" t="s">
        <v>442</v>
      </c>
      <c r="C359">
        <v>1</v>
      </c>
      <c r="D359" s="2">
        <v>34932</v>
      </c>
      <c r="E359" s="2">
        <v>34960</v>
      </c>
      <c r="F359" s="2">
        <v>34940</v>
      </c>
      <c r="G359">
        <v>2</v>
      </c>
      <c r="H359">
        <v>379.13</v>
      </c>
      <c r="I359" s="1" t="s">
        <v>443</v>
      </c>
      <c r="J359" s="1" t="s">
        <v>445</v>
      </c>
      <c r="K359" s="1" t="s">
        <v>446</v>
      </c>
      <c r="L359" s="1" t="s">
        <v>447</v>
      </c>
      <c r="M359" s="1" t="s">
        <v>448</v>
      </c>
      <c r="N359" s="1" t="s">
        <v>119</v>
      </c>
      <c r="O359" s="1">
        <f>MONTH(orders[[#This Row],[OrderDate]])</f>
        <v>8</v>
      </c>
    </row>
    <row r="360" spans="1:15" x14ac:dyDescent="0.35">
      <c r="A360">
        <v>10606</v>
      </c>
      <c r="B360" s="1" t="s">
        <v>663</v>
      </c>
      <c r="C360">
        <v>4</v>
      </c>
      <c r="D360" s="2">
        <v>34933</v>
      </c>
      <c r="E360" s="2">
        <v>34961</v>
      </c>
      <c r="F360" s="2">
        <v>34942</v>
      </c>
      <c r="G360">
        <v>3</v>
      </c>
      <c r="H360">
        <v>79.400000000000006</v>
      </c>
      <c r="I360" s="1" t="s">
        <v>664</v>
      </c>
      <c r="J360" s="1" t="s">
        <v>666</v>
      </c>
      <c r="K360" s="1" t="s">
        <v>158</v>
      </c>
      <c r="L360" s="1" t="s">
        <v>159</v>
      </c>
      <c r="M360" s="1" t="s">
        <v>667</v>
      </c>
      <c r="N360" s="1" t="s">
        <v>161</v>
      </c>
      <c r="O360" s="1">
        <f>MONTH(orders[[#This Row],[OrderDate]])</f>
        <v>8</v>
      </c>
    </row>
    <row r="361" spans="1:15" x14ac:dyDescent="0.35">
      <c r="A361">
        <v>10607</v>
      </c>
      <c r="B361" s="1" t="s">
        <v>588</v>
      </c>
      <c r="C361">
        <v>5</v>
      </c>
      <c r="D361" s="2">
        <v>34933</v>
      </c>
      <c r="E361" s="2">
        <v>34961</v>
      </c>
      <c r="F361" s="2">
        <v>34936</v>
      </c>
      <c r="G361">
        <v>1</v>
      </c>
      <c r="H361">
        <v>200.24</v>
      </c>
      <c r="I361" s="1" t="s">
        <v>589</v>
      </c>
      <c r="J361" s="1" t="s">
        <v>591</v>
      </c>
      <c r="K361" s="1" t="s">
        <v>592</v>
      </c>
      <c r="L361" s="1" t="s">
        <v>593</v>
      </c>
      <c r="M361" s="1" t="s">
        <v>594</v>
      </c>
      <c r="N361" s="1" t="s">
        <v>292</v>
      </c>
      <c r="O361" s="1">
        <f>MONTH(orders[[#This Row],[OrderDate]])</f>
        <v>8</v>
      </c>
    </row>
    <row r="362" spans="1:15" x14ac:dyDescent="0.35">
      <c r="A362">
        <v>10608</v>
      </c>
      <c r="B362" s="1" t="s">
        <v>650</v>
      </c>
      <c r="C362">
        <v>4</v>
      </c>
      <c r="D362" s="2">
        <v>34934</v>
      </c>
      <c r="E362" s="2">
        <v>34962</v>
      </c>
      <c r="F362" s="2">
        <v>34943</v>
      </c>
      <c r="G362">
        <v>2</v>
      </c>
      <c r="H362">
        <v>27.79</v>
      </c>
      <c r="I362" s="1" t="s">
        <v>651</v>
      </c>
      <c r="J362" s="1" t="s">
        <v>653</v>
      </c>
      <c r="K362" s="1" t="s">
        <v>654</v>
      </c>
      <c r="L362" s="1" t="s">
        <v>1195</v>
      </c>
      <c r="M362" s="1" t="s">
        <v>655</v>
      </c>
      <c r="N362" s="1" t="s">
        <v>38</v>
      </c>
      <c r="O362" s="1">
        <f>MONTH(orders[[#This Row],[OrderDate]])</f>
        <v>8</v>
      </c>
    </row>
    <row r="363" spans="1:15" x14ac:dyDescent="0.35">
      <c r="A363">
        <v>10609</v>
      </c>
      <c r="B363" s="1" t="s">
        <v>177</v>
      </c>
      <c r="C363">
        <v>7</v>
      </c>
      <c r="D363" s="2">
        <v>34935</v>
      </c>
      <c r="E363" s="2">
        <v>34963</v>
      </c>
      <c r="F363" s="2">
        <v>34941</v>
      </c>
      <c r="G363">
        <v>2</v>
      </c>
      <c r="H363">
        <v>1.85</v>
      </c>
      <c r="I363" s="1" t="s">
        <v>178</v>
      </c>
      <c r="J363" s="1" t="s">
        <v>180</v>
      </c>
      <c r="K363" s="1" t="s">
        <v>181</v>
      </c>
      <c r="L363" s="1" t="s">
        <v>1195</v>
      </c>
      <c r="M363" s="1" t="s">
        <v>182</v>
      </c>
      <c r="N363" s="1" t="s">
        <v>91</v>
      </c>
      <c r="O363" s="1">
        <f>MONTH(orders[[#This Row],[OrderDate]])</f>
        <v>8</v>
      </c>
    </row>
    <row r="364" spans="1:15" x14ac:dyDescent="0.35">
      <c r="A364">
        <v>10610</v>
      </c>
      <c r="B364" s="1" t="s">
        <v>360</v>
      </c>
      <c r="C364">
        <v>8</v>
      </c>
      <c r="D364" s="2">
        <v>34936</v>
      </c>
      <c r="E364" s="2">
        <v>34964</v>
      </c>
      <c r="F364" s="2">
        <v>34948</v>
      </c>
      <c r="G364">
        <v>1</v>
      </c>
      <c r="H364">
        <v>26.78</v>
      </c>
      <c r="I364" s="1" t="s">
        <v>361</v>
      </c>
      <c r="J364" s="1" t="s">
        <v>363</v>
      </c>
      <c r="K364" s="1" t="s">
        <v>364</v>
      </c>
      <c r="L364" s="1" t="s">
        <v>1195</v>
      </c>
      <c r="M364" s="1" t="s">
        <v>365</v>
      </c>
      <c r="N364" s="1" t="s">
        <v>91</v>
      </c>
      <c r="O364" s="1">
        <f>MONTH(orders[[#This Row],[OrderDate]])</f>
        <v>8</v>
      </c>
    </row>
    <row r="365" spans="1:15" x14ac:dyDescent="0.35">
      <c r="A365">
        <v>10611</v>
      </c>
      <c r="B365" s="1" t="s">
        <v>740</v>
      </c>
      <c r="C365">
        <v>6</v>
      </c>
      <c r="D365" s="2">
        <v>34936</v>
      </c>
      <c r="E365" s="2">
        <v>34964</v>
      </c>
      <c r="F365" s="2">
        <v>34943</v>
      </c>
      <c r="G365">
        <v>2</v>
      </c>
      <c r="H365">
        <v>80.650000000000006</v>
      </c>
      <c r="I365" s="1" t="s">
        <v>844</v>
      </c>
      <c r="J365" s="1" t="s">
        <v>743</v>
      </c>
      <c r="K365" s="1" t="s">
        <v>744</v>
      </c>
      <c r="L365" s="1" t="s">
        <v>1195</v>
      </c>
      <c r="M365" s="1" t="s">
        <v>745</v>
      </c>
      <c r="N365" s="1" t="s">
        <v>746</v>
      </c>
      <c r="O365" s="1">
        <f>MONTH(orders[[#This Row],[OrderDate]])</f>
        <v>8</v>
      </c>
    </row>
    <row r="366" spans="1:15" x14ac:dyDescent="0.35">
      <c r="A366">
        <v>10612</v>
      </c>
      <c r="B366" s="1" t="s">
        <v>588</v>
      </c>
      <c r="C366">
        <v>1</v>
      </c>
      <c r="D366" s="2">
        <v>34939</v>
      </c>
      <c r="E366" s="2">
        <v>34967</v>
      </c>
      <c r="F366" s="2">
        <v>34943</v>
      </c>
      <c r="G366">
        <v>2</v>
      </c>
      <c r="H366">
        <v>544.08000000000004</v>
      </c>
      <c r="I366" s="1" t="s">
        <v>589</v>
      </c>
      <c r="J366" s="1" t="s">
        <v>591</v>
      </c>
      <c r="K366" s="1" t="s">
        <v>592</v>
      </c>
      <c r="L366" s="1" t="s">
        <v>593</v>
      </c>
      <c r="M366" s="1" t="s">
        <v>594</v>
      </c>
      <c r="N366" s="1" t="s">
        <v>292</v>
      </c>
      <c r="O366" s="1">
        <f>MONTH(orders[[#This Row],[OrderDate]])</f>
        <v>8</v>
      </c>
    </row>
    <row r="367" spans="1:15" x14ac:dyDescent="0.35">
      <c r="A367">
        <v>10613</v>
      </c>
      <c r="B367" s="1" t="s">
        <v>313</v>
      </c>
      <c r="C367">
        <v>4</v>
      </c>
      <c r="D367" s="2">
        <v>34940</v>
      </c>
      <c r="E367" s="2">
        <v>34968</v>
      </c>
      <c r="F367" s="2">
        <v>34943</v>
      </c>
      <c r="G367">
        <v>2</v>
      </c>
      <c r="H367">
        <v>8.11</v>
      </c>
      <c r="I367" s="1" t="s">
        <v>314</v>
      </c>
      <c r="J367" s="1" t="s">
        <v>316</v>
      </c>
      <c r="K367" s="1" t="s">
        <v>317</v>
      </c>
      <c r="L367" s="1" t="s">
        <v>318</v>
      </c>
      <c r="M367" s="1" t="s">
        <v>319</v>
      </c>
      <c r="N367" s="1" t="s">
        <v>301</v>
      </c>
      <c r="O367" s="1">
        <f>MONTH(orders[[#This Row],[OrderDate]])</f>
        <v>8</v>
      </c>
    </row>
    <row r="368" spans="1:15" x14ac:dyDescent="0.35">
      <c r="A368">
        <v>10614</v>
      </c>
      <c r="B368" s="1" t="s">
        <v>76</v>
      </c>
      <c r="C368">
        <v>8</v>
      </c>
      <c r="D368" s="2">
        <v>34940</v>
      </c>
      <c r="E368" s="2">
        <v>34968</v>
      </c>
      <c r="F368" s="2">
        <v>34943</v>
      </c>
      <c r="G368">
        <v>3</v>
      </c>
      <c r="H368">
        <v>1.93</v>
      </c>
      <c r="I368" s="1" t="s">
        <v>77</v>
      </c>
      <c r="J368" s="1" t="s">
        <v>79</v>
      </c>
      <c r="K368" s="1" t="s">
        <v>80</v>
      </c>
      <c r="L368" s="1" t="s">
        <v>1195</v>
      </c>
      <c r="M368" s="1" t="s">
        <v>81</v>
      </c>
      <c r="N368" s="1" t="s">
        <v>38</v>
      </c>
      <c r="O368" s="1">
        <f>MONTH(orders[[#This Row],[OrderDate]])</f>
        <v>8</v>
      </c>
    </row>
    <row r="369" spans="1:15" x14ac:dyDescent="0.35">
      <c r="A369">
        <v>10615</v>
      </c>
      <c r="B369" s="1" t="s">
        <v>732</v>
      </c>
      <c r="C369">
        <v>2</v>
      </c>
      <c r="D369" s="2">
        <v>34941</v>
      </c>
      <c r="E369" s="2">
        <v>34969</v>
      </c>
      <c r="F369" s="2">
        <v>34948</v>
      </c>
      <c r="G369">
        <v>3</v>
      </c>
      <c r="H369">
        <v>0.75</v>
      </c>
      <c r="I369" s="1" t="s">
        <v>733</v>
      </c>
      <c r="J369" s="1" t="s">
        <v>736</v>
      </c>
      <c r="K369" s="1" t="s">
        <v>737</v>
      </c>
      <c r="L369" s="1" t="s">
        <v>1195</v>
      </c>
      <c r="M369" s="1" t="s">
        <v>738</v>
      </c>
      <c r="N369" s="1" t="s">
        <v>716</v>
      </c>
      <c r="O369" s="1">
        <f>MONTH(orders[[#This Row],[OrderDate]])</f>
        <v>8</v>
      </c>
    </row>
    <row r="370" spans="1:15" x14ac:dyDescent="0.35">
      <c r="A370">
        <v>10616</v>
      </c>
      <c r="B370" s="1" t="s">
        <v>285</v>
      </c>
      <c r="C370">
        <v>1</v>
      </c>
      <c r="D370" s="2">
        <v>34942</v>
      </c>
      <c r="E370" s="2">
        <v>34970</v>
      </c>
      <c r="F370" s="2">
        <v>34947</v>
      </c>
      <c r="G370">
        <v>2</v>
      </c>
      <c r="H370">
        <v>116.53</v>
      </c>
      <c r="I370" s="1" t="s">
        <v>286</v>
      </c>
      <c r="J370" s="1" t="s">
        <v>288</v>
      </c>
      <c r="K370" s="1" t="s">
        <v>289</v>
      </c>
      <c r="L370" s="1" t="s">
        <v>290</v>
      </c>
      <c r="M370" s="1" t="s">
        <v>291</v>
      </c>
      <c r="N370" s="1" t="s">
        <v>292</v>
      </c>
      <c r="O370" s="1">
        <f>MONTH(orders[[#This Row],[OrderDate]])</f>
        <v>8</v>
      </c>
    </row>
    <row r="371" spans="1:15" x14ac:dyDescent="0.35">
      <c r="A371">
        <v>10617</v>
      </c>
      <c r="B371" s="1" t="s">
        <v>285</v>
      </c>
      <c r="C371">
        <v>4</v>
      </c>
      <c r="D371" s="2">
        <v>34942</v>
      </c>
      <c r="E371" s="2">
        <v>34970</v>
      </c>
      <c r="F371" s="2">
        <v>34946</v>
      </c>
      <c r="G371">
        <v>2</v>
      </c>
      <c r="H371">
        <v>18.53</v>
      </c>
      <c r="I371" s="1" t="s">
        <v>286</v>
      </c>
      <c r="J371" s="1" t="s">
        <v>288</v>
      </c>
      <c r="K371" s="1" t="s">
        <v>289</v>
      </c>
      <c r="L371" s="1" t="s">
        <v>290</v>
      </c>
      <c r="M371" s="1" t="s">
        <v>291</v>
      </c>
      <c r="N371" s="1" t="s">
        <v>292</v>
      </c>
      <c r="O371" s="1">
        <f>MONTH(orders[[#This Row],[OrderDate]])</f>
        <v>8</v>
      </c>
    </row>
    <row r="372" spans="1:15" x14ac:dyDescent="0.35">
      <c r="A372">
        <v>10618</v>
      </c>
      <c r="B372" s="1" t="s">
        <v>442</v>
      </c>
      <c r="C372">
        <v>1</v>
      </c>
      <c r="D372" s="2">
        <v>34943</v>
      </c>
      <c r="E372" s="2">
        <v>34985</v>
      </c>
      <c r="F372" s="2">
        <v>34950</v>
      </c>
      <c r="G372">
        <v>1</v>
      </c>
      <c r="H372">
        <v>154.68</v>
      </c>
      <c r="I372" s="1" t="s">
        <v>443</v>
      </c>
      <c r="J372" s="1" t="s">
        <v>445</v>
      </c>
      <c r="K372" s="1" t="s">
        <v>446</v>
      </c>
      <c r="L372" s="1" t="s">
        <v>447</v>
      </c>
      <c r="M372" s="1" t="s">
        <v>448</v>
      </c>
      <c r="N372" s="1" t="s">
        <v>119</v>
      </c>
      <c r="O372" s="1">
        <f>MONTH(orders[[#This Row],[OrderDate]])</f>
        <v>9</v>
      </c>
    </row>
    <row r="373" spans="1:15" x14ac:dyDescent="0.35">
      <c r="A373">
        <v>10619</v>
      </c>
      <c r="B373" s="1" t="s">
        <v>442</v>
      </c>
      <c r="C373">
        <v>3</v>
      </c>
      <c r="D373" s="2">
        <v>34946</v>
      </c>
      <c r="E373" s="2">
        <v>34974</v>
      </c>
      <c r="F373" s="2">
        <v>34949</v>
      </c>
      <c r="G373">
        <v>3</v>
      </c>
      <c r="H373">
        <v>91.05</v>
      </c>
      <c r="I373" s="1" t="s">
        <v>443</v>
      </c>
      <c r="J373" s="1" t="s">
        <v>445</v>
      </c>
      <c r="K373" s="1" t="s">
        <v>446</v>
      </c>
      <c r="L373" s="1" t="s">
        <v>447</v>
      </c>
      <c r="M373" s="1" t="s">
        <v>448</v>
      </c>
      <c r="N373" s="1" t="s">
        <v>119</v>
      </c>
      <c r="O373" s="1">
        <f>MONTH(orders[[#This Row],[OrderDate]])</f>
        <v>9</v>
      </c>
    </row>
    <row r="374" spans="1:15" x14ac:dyDescent="0.35">
      <c r="A374">
        <v>10620</v>
      </c>
      <c r="B374" s="1" t="s">
        <v>368</v>
      </c>
      <c r="C374">
        <v>2</v>
      </c>
      <c r="D374" s="2">
        <v>34947</v>
      </c>
      <c r="E374" s="2">
        <v>34975</v>
      </c>
      <c r="F374" s="2">
        <v>34956</v>
      </c>
      <c r="G374">
        <v>3</v>
      </c>
      <c r="H374">
        <v>0.94</v>
      </c>
      <c r="I374" s="1" t="s">
        <v>369</v>
      </c>
      <c r="J374" s="1" t="s">
        <v>845</v>
      </c>
      <c r="K374" s="1" t="s">
        <v>372</v>
      </c>
      <c r="L374" s="1" t="s">
        <v>117</v>
      </c>
      <c r="M374" s="1" t="s">
        <v>373</v>
      </c>
      <c r="N374" s="1" t="s">
        <v>119</v>
      </c>
      <c r="O374" s="1">
        <f>MONTH(orders[[#This Row],[OrderDate]])</f>
        <v>9</v>
      </c>
    </row>
    <row r="375" spans="1:15" x14ac:dyDescent="0.35">
      <c r="A375">
        <v>10621</v>
      </c>
      <c r="B375" s="1" t="s">
        <v>338</v>
      </c>
      <c r="C375">
        <v>4</v>
      </c>
      <c r="D375" s="2">
        <v>34947</v>
      </c>
      <c r="E375" s="2">
        <v>34975</v>
      </c>
      <c r="F375" s="2">
        <v>34953</v>
      </c>
      <c r="G375">
        <v>2</v>
      </c>
      <c r="H375">
        <v>23.73</v>
      </c>
      <c r="I375" s="1" t="s">
        <v>339</v>
      </c>
      <c r="J375" s="1" t="s">
        <v>1200</v>
      </c>
      <c r="K375" s="1" t="s">
        <v>341</v>
      </c>
      <c r="L375" s="1" t="s">
        <v>342</v>
      </c>
      <c r="M375" s="1" t="s">
        <v>343</v>
      </c>
      <c r="N375" s="1" t="s">
        <v>63</v>
      </c>
      <c r="O375" s="1">
        <f>MONTH(orders[[#This Row],[OrderDate]])</f>
        <v>9</v>
      </c>
    </row>
    <row r="376" spans="1:15" x14ac:dyDescent="0.35">
      <c r="A376">
        <v>10622</v>
      </c>
      <c r="B376" s="1" t="s">
        <v>559</v>
      </c>
      <c r="C376">
        <v>4</v>
      </c>
      <c r="D376" s="2">
        <v>34948</v>
      </c>
      <c r="E376" s="2">
        <v>34976</v>
      </c>
      <c r="F376" s="2">
        <v>34953</v>
      </c>
      <c r="G376">
        <v>3</v>
      </c>
      <c r="H376">
        <v>50.97</v>
      </c>
      <c r="I376" s="1" t="s">
        <v>560</v>
      </c>
      <c r="J376" s="1" t="s">
        <v>562</v>
      </c>
      <c r="K376" s="1" t="s">
        <v>308</v>
      </c>
      <c r="L376" s="1" t="s">
        <v>309</v>
      </c>
      <c r="M376" s="1" t="s">
        <v>563</v>
      </c>
      <c r="N376" s="1" t="s">
        <v>161</v>
      </c>
      <c r="O376" s="1">
        <f>MONTH(orders[[#This Row],[OrderDate]])</f>
        <v>9</v>
      </c>
    </row>
    <row r="377" spans="1:15" x14ac:dyDescent="0.35">
      <c r="A377">
        <v>10623</v>
      </c>
      <c r="B377" s="1" t="s">
        <v>232</v>
      </c>
      <c r="C377">
        <v>8</v>
      </c>
      <c r="D377" s="2">
        <v>34949</v>
      </c>
      <c r="E377" s="2">
        <v>34977</v>
      </c>
      <c r="F377" s="2">
        <v>34954</v>
      </c>
      <c r="G377">
        <v>2</v>
      </c>
      <c r="H377">
        <v>97.18</v>
      </c>
      <c r="I377" s="1" t="s">
        <v>233</v>
      </c>
      <c r="J377" s="1" t="s">
        <v>235</v>
      </c>
      <c r="K377" s="1" t="s">
        <v>236</v>
      </c>
      <c r="L377" s="1" t="s">
        <v>1195</v>
      </c>
      <c r="M377" s="1" t="s">
        <v>237</v>
      </c>
      <c r="N377" s="1" t="s">
        <v>38</v>
      </c>
      <c r="O377" s="1">
        <f>MONTH(orders[[#This Row],[OrderDate]])</f>
        <v>9</v>
      </c>
    </row>
    <row r="378" spans="1:15" x14ac:dyDescent="0.35">
      <c r="A378">
        <v>10624</v>
      </c>
      <c r="B378" s="1" t="s">
        <v>641</v>
      </c>
      <c r="C378">
        <v>4</v>
      </c>
      <c r="D378" s="2">
        <v>34949</v>
      </c>
      <c r="E378" s="2">
        <v>34977</v>
      </c>
      <c r="F378" s="2">
        <v>34961</v>
      </c>
      <c r="G378">
        <v>2</v>
      </c>
      <c r="H378">
        <v>94.8</v>
      </c>
      <c r="I378" s="1" t="s">
        <v>642</v>
      </c>
      <c r="J378" s="1" t="s">
        <v>644</v>
      </c>
      <c r="K378" s="1" t="s">
        <v>645</v>
      </c>
      <c r="L378" s="1" t="s">
        <v>646</v>
      </c>
      <c r="M378" s="1" t="s">
        <v>647</v>
      </c>
      <c r="N378" s="1" t="s">
        <v>292</v>
      </c>
      <c r="O378" s="1">
        <f>MONTH(orders[[#This Row],[OrderDate]])</f>
        <v>9</v>
      </c>
    </row>
    <row r="379" spans="1:15" x14ac:dyDescent="0.35">
      <c r="A379">
        <v>10625</v>
      </c>
      <c r="B379" s="1" t="s">
        <v>41</v>
      </c>
      <c r="C379">
        <v>3</v>
      </c>
      <c r="D379" s="2">
        <v>34950</v>
      </c>
      <c r="E379" s="2">
        <v>34978</v>
      </c>
      <c r="F379" s="2">
        <v>34956</v>
      </c>
      <c r="G379">
        <v>1</v>
      </c>
      <c r="H379">
        <v>43.9</v>
      </c>
      <c r="I379" s="1" t="s">
        <v>42</v>
      </c>
      <c r="J379" s="1" t="s">
        <v>45</v>
      </c>
      <c r="K379" s="1" t="s">
        <v>46</v>
      </c>
      <c r="L379" s="1" t="s">
        <v>1195</v>
      </c>
      <c r="M379" s="1" t="s">
        <v>47</v>
      </c>
      <c r="N379" s="1" t="s">
        <v>48</v>
      </c>
      <c r="O379" s="1">
        <f>MONTH(orders[[#This Row],[OrderDate]])</f>
        <v>9</v>
      </c>
    </row>
    <row r="380" spans="1:15" x14ac:dyDescent="0.35">
      <c r="A380">
        <v>10626</v>
      </c>
      <c r="B380" s="1" t="s">
        <v>66</v>
      </c>
      <c r="C380">
        <v>1</v>
      </c>
      <c r="D380" s="2">
        <v>34953</v>
      </c>
      <c r="E380" s="2">
        <v>34981</v>
      </c>
      <c r="F380" s="2">
        <v>34962</v>
      </c>
      <c r="G380">
        <v>2</v>
      </c>
      <c r="H380">
        <v>138.69</v>
      </c>
      <c r="I380" s="1" t="s">
        <v>67</v>
      </c>
      <c r="J380" s="1" t="s">
        <v>70</v>
      </c>
      <c r="K380" s="1" t="s">
        <v>71</v>
      </c>
      <c r="L380" s="1" t="s">
        <v>1195</v>
      </c>
      <c r="M380" s="1" t="s">
        <v>72</v>
      </c>
      <c r="N380" s="1" t="s">
        <v>73</v>
      </c>
      <c r="O380" s="1">
        <f>MONTH(orders[[#This Row],[OrderDate]])</f>
        <v>9</v>
      </c>
    </row>
    <row r="381" spans="1:15" x14ac:dyDescent="0.35">
      <c r="A381">
        <v>10627</v>
      </c>
      <c r="B381" s="1" t="s">
        <v>588</v>
      </c>
      <c r="C381">
        <v>8</v>
      </c>
      <c r="D381" s="2">
        <v>34953</v>
      </c>
      <c r="E381" s="2">
        <v>34995</v>
      </c>
      <c r="F381" s="2">
        <v>34963</v>
      </c>
      <c r="G381">
        <v>3</v>
      </c>
      <c r="H381">
        <v>107.46</v>
      </c>
      <c r="I381" s="1" t="s">
        <v>589</v>
      </c>
      <c r="J381" s="1" t="s">
        <v>591</v>
      </c>
      <c r="K381" s="1" t="s">
        <v>592</v>
      </c>
      <c r="L381" s="1" t="s">
        <v>593</v>
      </c>
      <c r="M381" s="1" t="s">
        <v>594</v>
      </c>
      <c r="N381" s="1" t="s">
        <v>292</v>
      </c>
      <c r="O381" s="1">
        <f>MONTH(orders[[#This Row],[OrderDate]])</f>
        <v>9</v>
      </c>
    </row>
    <row r="382" spans="1:15" x14ac:dyDescent="0.35">
      <c r="A382">
        <v>10628</v>
      </c>
      <c r="B382" s="1" t="s">
        <v>84</v>
      </c>
      <c r="C382">
        <v>4</v>
      </c>
      <c r="D382" s="2">
        <v>34954</v>
      </c>
      <c r="E382" s="2">
        <v>34982</v>
      </c>
      <c r="F382" s="2">
        <v>34962</v>
      </c>
      <c r="G382">
        <v>3</v>
      </c>
      <c r="H382">
        <v>30.36</v>
      </c>
      <c r="I382" s="1" t="s">
        <v>85</v>
      </c>
      <c r="J382" s="1" t="s">
        <v>88</v>
      </c>
      <c r="K382" s="1" t="s">
        <v>89</v>
      </c>
      <c r="L382" s="1" t="s">
        <v>1195</v>
      </c>
      <c r="M382" s="1" t="s">
        <v>90</v>
      </c>
      <c r="N382" s="1" t="s">
        <v>91</v>
      </c>
      <c r="O382" s="1">
        <f>MONTH(orders[[#This Row],[OrderDate]])</f>
        <v>9</v>
      </c>
    </row>
    <row r="383" spans="1:15" x14ac:dyDescent="0.35">
      <c r="A383">
        <v>10629</v>
      </c>
      <c r="B383" s="1" t="s">
        <v>271</v>
      </c>
      <c r="C383">
        <v>4</v>
      </c>
      <c r="D383" s="2">
        <v>34954</v>
      </c>
      <c r="E383" s="2">
        <v>34982</v>
      </c>
      <c r="F383" s="2">
        <v>34962</v>
      </c>
      <c r="G383">
        <v>3</v>
      </c>
      <c r="H383">
        <v>85.46</v>
      </c>
      <c r="I383" s="1" t="s">
        <v>272</v>
      </c>
      <c r="J383" s="1" t="s">
        <v>274</v>
      </c>
      <c r="K383" s="1" t="s">
        <v>275</v>
      </c>
      <c r="L383" s="1" t="s">
        <v>1195</v>
      </c>
      <c r="M383" s="1" t="s">
        <v>276</v>
      </c>
      <c r="N383" s="1" t="s">
        <v>100</v>
      </c>
      <c r="O383" s="1">
        <f>MONTH(orders[[#This Row],[OrderDate]])</f>
        <v>9</v>
      </c>
    </row>
    <row r="384" spans="1:15" x14ac:dyDescent="0.35">
      <c r="A384">
        <v>10630</v>
      </c>
      <c r="B384" s="1" t="s">
        <v>345</v>
      </c>
      <c r="C384">
        <v>1</v>
      </c>
      <c r="D384" s="2">
        <v>34955</v>
      </c>
      <c r="E384" s="2">
        <v>34983</v>
      </c>
      <c r="F384" s="2">
        <v>34961</v>
      </c>
      <c r="G384">
        <v>2</v>
      </c>
      <c r="H384">
        <v>32.35</v>
      </c>
      <c r="I384" s="1" t="s">
        <v>346</v>
      </c>
      <c r="J384" s="1" t="s">
        <v>348</v>
      </c>
      <c r="K384" s="1" t="s">
        <v>349</v>
      </c>
      <c r="L384" s="1" t="s">
        <v>1195</v>
      </c>
      <c r="M384" s="1" t="s">
        <v>350</v>
      </c>
      <c r="N384" s="1" t="s">
        <v>38</v>
      </c>
      <c r="O384" s="1">
        <f>MONTH(orders[[#This Row],[OrderDate]])</f>
        <v>9</v>
      </c>
    </row>
    <row r="385" spans="1:15" x14ac:dyDescent="0.35">
      <c r="A385">
        <v>10631</v>
      </c>
      <c r="B385" s="1" t="s">
        <v>360</v>
      </c>
      <c r="C385">
        <v>8</v>
      </c>
      <c r="D385" s="2">
        <v>34956</v>
      </c>
      <c r="E385" s="2">
        <v>34984</v>
      </c>
      <c r="F385" s="2">
        <v>34957</v>
      </c>
      <c r="G385">
        <v>1</v>
      </c>
      <c r="H385">
        <v>0.87</v>
      </c>
      <c r="I385" s="1" t="s">
        <v>361</v>
      </c>
      <c r="J385" s="1" t="s">
        <v>363</v>
      </c>
      <c r="K385" s="1" t="s">
        <v>364</v>
      </c>
      <c r="L385" s="1" t="s">
        <v>1195</v>
      </c>
      <c r="M385" s="1" t="s">
        <v>365</v>
      </c>
      <c r="N385" s="1" t="s">
        <v>91</v>
      </c>
      <c r="O385" s="1">
        <f>MONTH(orders[[#This Row],[OrderDate]])</f>
        <v>9</v>
      </c>
    </row>
    <row r="386" spans="1:15" x14ac:dyDescent="0.35">
      <c r="A386">
        <v>10632</v>
      </c>
      <c r="B386" s="1" t="s">
        <v>702</v>
      </c>
      <c r="C386">
        <v>8</v>
      </c>
      <c r="D386" s="2">
        <v>34956</v>
      </c>
      <c r="E386" s="2">
        <v>34984</v>
      </c>
      <c r="F386" s="2">
        <v>34961</v>
      </c>
      <c r="G386">
        <v>1</v>
      </c>
      <c r="H386">
        <v>41.38</v>
      </c>
      <c r="I386" s="1" t="s">
        <v>703</v>
      </c>
      <c r="J386" s="1" t="s">
        <v>705</v>
      </c>
      <c r="K386" s="1" t="s">
        <v>706</v>
      </c>
      <c r="L386" s="1" t="s">
        <v>1195</v>
      </c>
      <c r="M386" s="1" t="s">
        <v>707</v>
      </c>
      <c r="N386" s="1" t="s">
        <v>38</v>
      </c>
      <c r="O386" s="1">
        <f>MONTH(orders[[#This Row],[OrderDate]])</f>
        <v>9</v>
      </c>
    </row>
    <row r="387" spans="1:15" x14ac:dyDescent="0.35">
      <c r="A387">
        <v>10633</v>
      </c>
      <c r="B387" s="1" t="s">
        <v>192</v>
      </c>
      <c r="C387">
        <v>7</v>
      </c>
      <c r="D387" s="2">
        <v>34957</v>
      </c>
      <c r="E387" s="2">
        <v>34985</v>
      </c>
      <c r="F387" s="2">
        <v>34960</v>
      </c>
      <c r="G387">
        <v>3</v>
      </c>
      <c r="H387">
        <v>477.9</v>
      </c>
      <c r="I387" s="1" t="s">
        <v>193</v>
      </c>
      <c r="J387" s="1" t="s">
        <v>196</v>
      </c>
      <c r="K387" s="1" t="s">
        <v>197</v>
      </c>
      <c r="L387" s="1" t="s">
        <v>1195</v>
      </c>
      <c r="M387" s="1" t="s">
        <v>198</v>
      </c>
      <c r="N387" s="1" t="s">
        <v>199</v>
      </c>
      <c r="O387" s="1">
        <f>MONTH(orders[[#This Row],[OrderDate]])</f>
        <v>9</v>
      </c>
    </row>
    <row r="388" spans="1:15" x14ac:dyDescent="0.35">
      <c r="A388">
        <v>10634</v>
      </c>
      <c r="B388" s="1" t="s">
        <v>216</v>
      </c>
      <c r="C388">
        <v>4</v>
      </c>
      <c r="D388" s="2">
        <v>34957</v>
      </c>
      <c r="E388" s="2">
        <v>34985</v>
      </c>
      <c r="F388" s="2">
        <v>34963</v>
      </c>
      <c r="G388">
        <v>3</v>
      </c>
      <c r="H388">
        <v>487.38</v>
      </c>
      <c r="I388" s="1" t="s">
        <v>217</v>
      </c>
      <c r="J388" s="1" t="s">
        <v>220</v>
      </c>
      <c r="K388" s="1" t="s">
        <v>221</v>
      </c>
      <c r="L388" s="1" t="s">
        <v>1195</v>
      </c>
      <c r="M388" s="1" t="s">
        <v>222</v>
      </c>
      <c r="N388" s="1" t="s">
        <v>91</v>
      </c>
      <c r="O388" s="1">
        <f>MONTH(orders[[#This Row],[OrderDate]])</f>
        <v>9</v>
      </c>
    </row>
    <row r="389" spans="1:15" x14ac:dyDescent="0.35">
      <c r="A389">
        <v>10635</v>
      </c>
      <c r="B389" s="1" t="s">
        <v>425</v>
      </c>
      <c r="C389">
        <v>8</v>
      </c>
      <c r="D389" s="2">
        <v>34960</v>
      </c>
      <c r="E389" s="2">
        <v>34988</v>
      </c>
      <c r="F389" s="2">
        <v>34963</v>
      </c>
      <c r="G389">
        <v>3</v>
      </c>
      <c r="H389">
        <v>47.46</v>
      </c>
      <c r="I389" s="1" t="s">
        <v>426</v>
      </c>
      <c r="J389" s="1" t="s">
        <v>428</v>
      </c>
      <c r="K389" s="1" t="s">
        <v>429</v>
      </c>
      <c r="L389" s="1" t="s">
        <v>1195</v>
      </c>
      <c r="M389" s="1" t="s">
        <v>430</v>
      </c>
      <c r="N389" s="1" t="s">
        <v>252</v>
      </c>
      <c r="O389" s="1">
        <f>MONTH(orders[[#This Row],[OrderDate]])</f>
        <v>9</v>
      </c>
    </row>
    <row r="390" spans="1:15" x14ac:dyDescent="0.35">
      <c r="A390">
        <v>10636</v>
      </c>
      <c r="B390" s="1" t="s">
        <v>710</v>
      </c>
      <c r="C390">
        <v>4</v>
      </c>
      <c r="D390" s="2">
        <v>34961</v>
      </c>
      <c r="E390" s="2">
        <v>34989</v>
      </c>
      <c r="F390" s="2">
        <v>34968</v>
      </c>
      <c r="G390">
        <v>1</v>
      </c>
      <c r="H390">
        <v>1.1499999999999999</v>
      </c>
      <c r="I390" s="1" t="s">
        <v>711</v>
      </c>
      <c r="J390" s="1" t="s">
        <v>713</v>
      </c>
      <c r="K390" s="1" t="s">
        <v>714</v>
      </c>
      <c r="L390" s="1" t="s">
        <v>1195</v>
      </c>
      <c r="M390" s="1" t="s">
        <v>715</v>
      </c>
      <c r="N390" s="1" t="s">
        <v>716</v>
      </c>
      <c r="O390" s="1">
        <f>MONTH(orders[[#This Row],[OrderDate]])</f>
        <v>9</v>
      </c>
    </row>
    <row r="391" spans="1:15" x14ac:dyDescent="0.35">
      <c r="A391">
        <v>10637</v>
      </c>
      <c r="B391" s="1" t="s">
        <v>522</v>
      </c>
      <c r="C391">
        <v>6</v>
      </c>
      <c r="D391" s="2">
        <v>34961</v>
      </c>
      <c r="E391" s="2">
        <v>34989</v>
      </c>
      <c r="F391" s="2">
        <v>34968</v>
      </c>
      <c r="G391">
        <v>1</v>
      </c>
      <c r="H391">
        <v>201.29</v>
      </c>
      <c r="I391" s="1" t="s">
        <v>523</v>
      </c>
      <c r="J391" s="1" t="s">
        <v>525</v>
      </c>
      <c r="K391" s="1" t="s">
        <v>158</v>
      </c>
      <c r="L391" s="1" t="s">
        <v>159</v>
      </c>
      <c r="M391" s="1" t="s">
        <v>526</v>
      </c>
      <c r="N391" s="1" t="s">
        <v>161</v>
      </c>
      <c r="O391" s="1">
        <f>MONTH(orders[[#This Row],[OrderDate]])</f>
        <v>9</v>
      </c>
    </row>
    <row r="392" spans="1:15" x14ac:dyDescent="0.35">
      <c r="A392">
        <v>10638</v>
      </c>
      <c r="B392" s="1" t="s">
        <v>408</v>
      </c>
      <c r="C392">
        <v>3</v>
      </c>
      <c r="D392" s="2">
        <v>34962</v>
      </c>
      <c r="E392" s="2">
        <v>34990</v>
      </c>
      <c r="F392" s="2">
        <v>34974</v>
      </c>
      <c r="G392">
        <v>1</v>
      </c>
      <c r="H392">
        <v>158.44</v>
      </c>
      <c r="I392" s="1" t="s">
        <v>409</v>
      </c>
      <c r="J392" s="1" t="s">
        <v>411</v>
      </c>
      <c r="K392" s="1" t="s">
        <v>412</v>
      </c>
      <c r="L392" s="1" t="s">
        <v>413</v>
      </c>
      <c r="M392" s="1" t="s">
        <v>414</v>
      </c>
      <c r="N392" s="1" t="s">
        <v>301</v>
      </c>
      <c r="O392" s="1">
        <f>MONTH(orders[[#This Row],[OrderDate]])</f>
        <v>9</v>
      </c>
    </row>
    <row r="393" spans="1:15" x14ac:dyDescent="0.35">
      <c r="A393">
        <v>10639</v>
      </c>
      <c r="B393" s="1" t="s">
        <v>579</v>
      </c>
      <c r="C393">
        <v>7</v>
      </c>
      <c r="D393" s="2">
        <v>34962</v>
      </c>
      <c r="E393" s="2">
        <v>34990</v>
      </c>
      <c r="F393" s="2">
        <v>34969</v>
      </c>
      <c r="G393">
        <v>3</v>
      </c>
      <c r="H393">
        <v>38.64</v>
      </c>
      <c r="I393" s="1" t="s">
        <v>580</v>
      </c>
      <c r="J393" s="1" t="s">
        <v>582</v>
      </c>
      <c r="K393" s="1" t="s">
        <v>583</v>
      </c>
      <c r="L393" s="1" t="s">
        <v>1195</v>
      </c>
      <c r="M393" s="1" t="s">
        <v>584</v>
      </c>
      <c r="N393" s="1" t="s">
        <v>585</v>
      </c>
      <c r="O393" s="1">
        <f>MONTH(orders[[#This Row],[OrderDate]])</f>
        <v>9</v>
      </c>
    </row>
    <row r="394" spans="1:15" x14ac:dyDescent="0.35">
      <c r="A394">
        <v>10640</v>
      </c>
      <c r="B394" s="1" t="s">
        <v>702</v>
      </c>
      <c r="C394">
        <v>4</v>
      </c>
      <c r="D394" s="2">
        <v>34963</v>
      </c>
      <c r="E394" s="2">
        <v>34991</v>
      </c>
      <c r="F394" s="2">
        <v>34970</v>
      </c>
      <c r="G394">
        <v>1</v>
      </c>
      <c r="H394">
        <v>23.55</v>
      </c>
      <c r="I394" s="1" t="s">
        <v>703</v>
      </c>
      <c r="J394" s="1" t="s">
        <v>705</v>
      </c>
      <c r="K394" s="1" t="s">
        <v>706</v>
      </c>
      <c r="L394" s="1" t="s">
        <v>1195</v>
      </c>
      <c r="M394" s="1" t="s">
        <v>707</v>
      </c>
      <c r="N394" s="1" t="s">
        <v>38</v>
      </c>
      <c r="O394" s="1">
        <f>MONTH(orders[[#This Row],[OrderDate]])</f>
        <v>9</v>
      </c>
    </row>
    <row r="395" spans="1:15" x14ac:dyDescent="0.35">
      <c r="A395">
        <v>10641</v>
      </c>
      <c r="B395" s="1" t="s">
        <v>313</v>
      </c>
      <c r="C395">
        <v>4</v>
      </c>
      <c r="D395" s="2">
        <v>34964</v>
      </c>
      <c r="E395" s="2">
        <v>34992</v>
      </c>
      <c r="F395" s="2">
        <v>34968</v>
      </c>
      <c r="G395">
        <v>2</v>
      </c>
      <c r="H395">
        <v>179.61</v>
      </c>
      <c r="I395" s="1" t="s">
        <v>314</v>
      </c>
      <c r="J395" s="1" t="s">
        <v>316</v>
      </c>
      <c r="K395" s="1" t="s">
        <v>317</v>
      </c>
      <c r="L395" s="1" t="s">
        <v>318</v>
      </c>
      <c r="M395" s="1" t="s">
        <v>319</v>
      </c>
      <c r="N395" s="1" t="s">
        <v>301</v>
      </c>
      <c r="O395" s="1">
        <f>MONTH(orders[[#This Row],[OrderDate]])</f>
        <v>9</v>
      </c>
    </row>
    <row r="396" spans="1:15" x14ac:dyDescent="0.35">
      <c r="A396">
        <v>10642</v>
      </c>
      <c r="B396" s="1" t="s">
        <v>603</v>
      </c>
      <c r="C396">
        <v>7</v>
      </c>
      <c r="D396" s="2">
        <v>34964</v>
      </c>
      <c r="E396" s="2">
        <v>34992</v>
      </c>
      <c r="F396" s="2">
        <v>34978</v>
      </c>
      <c r="G396">
        <v>3</v>
      </c>
      <c r="H396">
        <v>41.89</v>
      </c>
      <c r="I396" s="1" t="s">
        <v>604</v>
      </c>
      <c r="J396" s="1" t="s">
        <v>606</v>
      </c>
      <c r="K396" s="1" t="s">
        <v>607</v>
      </c>
      <c r="L396" s="1" t="s">
        <v>1195</v>
      </c>
      <c r="M396" s="1" t="s">
        <v>608</v>
      </c>
      <c r="N396" s="1" t="s">
        <v>609</v>
      </c>
      <c r="O396" s="1">
        <f>MONTH(orders[[#This Row],[OrderDate]])</f>
        <v>9</v>
      </c>
    </row>
    <row r="397" spans="1:15" x14ac:dyDescent="0.35">
      <c r="A397">
        <v>10643</v>
      </c>
      <c r="B397" s="1" t="s">
        <v>30</v>
      </c>
      <c r="C397">
        <v>6</v>
      </c>
      <c r="D397" s="2">
        <v>34967</v>
      </c>
      <c r="E397" s="2">
        <v>34995</v>
      </c>
      <c r="F397" s="2">
        <v>34975</v>
      </c>
      <c r="G397">
        <v>1</v>
      </c>
      <c r="H397">
        <v>29.46</v>
      </c>
      <c r="I397" s="1" t="s">
        <v>31</v>
      </c>
      <c r="J397" s="1" t="s">
        <v>34</v>
      </c>
      <c r="K397" s="1" t="s">
        <v>35</v>
      </c>
      <c r="L397" s="1" t="s">
        <v>1195</v>
      </c>
      <c r="M397" s="1" t="s">
        <v>37</v>
      </c>
      <c r="N397" s="1" t="s">
        <v>38</v>
      </c>
      <c r="O397" s="1">
        <f>MONTH(orders[[#This Row],[OrderDate]])</f>
        <v>9</v>
      </c>
    </row>
    <row r="398" spans="1:15" x14ac:dyDescent="0.35">
      <c r="A398">
        <v>10644</v>
      </c>
      <c r="B398" s="1" t="s">
        <v>718</v>
      </c>
      <c r="C398">
        <v>3</v>
      </c>
      <c r="D398" s="2">
        <v>34967</v>
      </c>
      <c r="E398" s="2">
        <v>34995</v>
      </c>
      <c r="F398" s="2">
        <v>34974</v>
      </c>
      <c r="G398">
        <v>2</v>
      </c>
      <c r="H398">
        <v>0.14000000000000001</v>
      </c>
      <c r="I398" s="1" t="s">
        <v>719</v>
      </c>
      <c r="J398" s="1" t="s">
        <v>721</v>
      </c>
      <c r="K398" s="1" t="s">
        <v>722</v>
      </c>
      <c r="L398" s="1" t="s">
        <v>159</v>
      </c>
      <c r="M398" s="1" t="s">
        <v>723</v>
      </c>
      <c r="N398" s="1" t="s">
        <v>161</v>
      </c>
      <c r="O398" s="1">
        <f>MONTH(orders[[#This Row],[OrderDate]])</f>
        <v>9</v>
      </c>
    </row>
    <row r="399" spans="1:15" x14ac:dyDescent="0.35">
      <c r="A399">
        <v>10645</v>
      </c>
      <c r="B399" s="1" t="s">
        <v>304</v>
      </c>
      <c r="C399">
        <v>4</v>
      </c>
      <c r="D399" s="2">
        <v>34968</v>
      </c>
      <c r="E399" s="2">
        <v>34996</v>
      </c>
      <c r="F399" s="2">
        <v>34975</v>
      </c>
      <c r="G399">
        <v>1</v>
      </c>
      <c r="H399">
        <v>12.41</v>
      </c>
      <c r="I399" s="1" t="s">
        <v>305</v>
      </c>
      <c r="J399" s="1" t="s">
        <v>307</v>
      </c>
      <c r="K399" s="1" t="s">
        <v>308</v>
      </c>
      <c r="L399" s="1" t="s">
        <v>309</v>
      </c>
      <c r="M399" s="1" t="s">
        <v>310</v>
      </c>
      <c r="N399" s="1" t="s">
        <v>161</v>
      </c>
      <c r="O399" s="1">
        <f>MONTH(orders[[#This Row],[OrderDate]])</f>
        <v>9</v>
      </c>
    </row>
    <row r="400" spans="1:15" x14ac:dyDescent="0.35">
      <c r="A400">
        <v>10646</v>
      </c>
      <c r="B400" s="1" t="s">
        <v>329</v>
      </c>
      <c r="C400">
        <v>9</v>
      </c>
      <c r="D400" s="2">
        <v>34969</v>
      </c>
      <c r="E400" s="2">
        <v>35011</v>
      </c>
      <c r="F400" s="2">
        <v>34976</v>
      </c>
      <c r="G400">
        <v>3</v>
      </c>
      <c r="H400">
        <v>142.33000000000001</v>
      </c>
      <c r="I400" s="1" t="s">
        <v>330</v>
      </c>
      <c r="J400" s="1" t="s">
        <v>332</v>
      </c>
      <c r="K400" s="1" t="s">
        <v>333</v>
      </c>
      <c r="L400" s="1" t="s">
        <v>334</v>
      </c>
      <c r="M400" s="1" t="s">
        <v>1195</v>
      </c>
      <c r="N400" s="1" t="s">
        <v>335</v>
      </c>
      <c r="O400" s="1">
        <f>MONTH(orders[[#This Row],[OrderDate]])</f>
        <v>9</v>
      </c>
    </row>
    <row r="401" spans="1:15" x14ac:dyDescent="0.35">
      <c r="A401">
        <v>10647</v>
      </c>
      <c r="B401" s="1" t="s">
        <v>515</v>
      </c>
      <c r="C401">
        <v>4</v>
      </c>
      <c r="D401" s="2">
        <v>34969</v>
      </c>
      <c r="E401" s="2">
        <v>34983</v>
      </c>
      <c r="F401" s="2">
        <v>34976</v>
      </c>
      <c r="G401">
        <v>2</v>
      </c>
      <c r="H401">
        <v>45.54</v>
      </c>
      <c r="I401" s="1" t="s">
        <v>516</v>
      </c>
      <c r="J401" s="1" t="s">
        <v>518</v>
      </c>
      <c r="K401" s="1" t="s">
        <v>308</v>
      </c>
      <c r="L401" s="1" t="s">
        <v>309</v>
      </c>
      <c r="M401" s="1" t="s">
        <v>519</v>
      </c>
      <c r="N401" s="1" t="s">
        <v>161</v>
      </c>
      <c r="O401" s="1">
        <f>MONTH(orders[[#This Row],[OrderDate]])</f>
        <v>9</v>
      </c>
    </row>
    <row r="402" spans="1:15" x14ac:dyDescent="0.35">
      <c r="A402">
        <v>10648</v>
      </c>
      <c r="B402" s="1" t="s">
        <v>559</v>
      </c>
      <c r="C402">
        <v>5</v>
      </c>
      <c r="D402" s="2">
        <v>34970</v>
      </c>
      <c r="E402" s="2">
        <v>35012</v>
      </c>
      <c r="F402" s="2">
        <v>34982</v>
      </c>
      <c r="G402">
        <v>2</v>
      </c>
      <c r="H402">
        <v>14.25</v>
      </c>
      <c r="I402" s="1" t="s">
        <v>560</v>
      </c>
      <c r="J402" s="1" t="s">
        <v>562</v>
      </c>
      <c r="K402" s="1" t="s">
        <v>308</v>
      </c>
      <c r="L402" s="1" t="s">
        <v>309</v>
      </c>
      <c r="M402" s="1" t="s">
        <v>563</v>
      </c>
      <c r="N402" s="1" t="s">
        <v>161</v>
      </c>
      <c r="O402" s="1">
        <f>MONTH(orders[[#This Row],[OrderDate]])</f>
        <v>9</v>
      </c>
    </row>
    <row r="403" spans="1:15" x14ac:dyDescent="0.35">
      <c r="A403">
        <v>10649</v>
      </c>
      <c r="B403" s="1" t="s">
        <v>433</v>
      </c>
      <c r="C403">
        <v>5</v>
      </c>
      <c r="D403" s="2">
        <v>34970</v>
      </c>
      <c r="E403" s="2">
        <v>34998</v>
      </c>
      <c r="F403" s="2">
        <v>34971</v>
      </c>
      <c r="G403">
        <v>3</v>
      </c>
      <c r="H403">
        <v>6.2</v>
      </c>
      <c r="I403" s="1" t="s">
        <v>434</v>
      </c>
      <c r="J403" s="1" t="s">
        <v>436</v>
      </c>
      <c r="K403" s="1" t="s">
        <v>437</v>
      </c>
      <c r="L403" s="1" t="s">
        <v>1195</v>
      </c>
      <c r="M403" s="1" t="s">
        <v>438</v>
      </c>
      <c r="N403" s="1" t="s">
        <v>439</v>
      </c>
      <c r="O403" s="1">
        <f>MONTH(orders[[#This Row],[OrderDate]])</f>
        <v>9</v>
      </c>
    </row>
    <row r="404" spans="1:15" x14ac:dyDescent="0.35">
      <c r="A404">
        <v>10650</v>
      </c>
      <c r="B404" s="1" t="s">
        <v>202</v>
      </c>
      <c r="C404">
        <v>5</v>
      </c>
      <c r="D404" s="2">
        <v>34971</v>
      </c>
      <c r="E404" s="2">
        <v>34999</v>
      </c>
      <c r="F404" s="2">
        <v>34976</v>
      </c>
      <c r="G404">
        <v>3</v>
      </c>
      <c r="H404">
        <v>176.81</v>
      </c>
      <c r="I404" s="1" t="s">
        <v>203</v>
      </c>
      <c r="J404" s="1" t="s">
        <v>206</v>
      </c>
      <c r="K404" s="1" t="s">
        <v>158</v>
      </c>
      <c r="L404" s="1" t="s">
        <v>159</v>
      </c>
      <c r="M404" s="1" t="s">
        <v>207</v>
      </c>
      <c r="N404" s="1" t="s">
        <v>161</v>
      </c>
      <c r="O404" s="1">
        <f>MONTH(orders[[#This Row],[OrderDate]])</f>
        <v>9</v>
      </c>
    </row>
    <row r="405" spans="1:15" x14ac:dyDescent="0.35">
      <c r="A405">
        <v>10651</v>
      </c>
      <c r="B405" s="1" t="s">
        <v>702</v>
      </c>
      <c r="C405">
        <v>8</v>
      </c>
      <c r="D405" s="2">
        <v>34974</v>
      </c>
      <c r="E405" s="2">
        <v>35002</v>
      </c>
      <c r="F405" s="2">
        <v>34984</v>
      </c>
      <c r="G405">
        <v>2</v>
      </c>
      <c r="H405">
        <v>20.6</v>
      </c>
      <c r="I405" s="1" t="s">
        <v>703</v>
      </c>
      <c r="J405" s="1" t="s">
        <v>705</v>
      </c>
      <c r="K405" s="1" t="s">
        <v>706</v>
      </c>
      <c r="L405" s="1" t="s">
        <v>1195</v>
      </c>
      <c r="M405" s="1" t="s">
        <v>707</v>
      </c>
      <c r="N405" s="1" t="s">
        <v>38</v>
      </c>
      <c r="O405" s="1">
        <f>MONTH(orders[[#This Row],[OrderDate]])</f>
        <v>10</v>
      </c>
    </row>
    <row r="406" spans="1:15" x14ac:dyDescent="0.35">
      <c r="A406">
        <v>10652</v>
      </c>
      <c r="B406" s="1" t="s">
        <v>278</v>
      </c>
      <c r="C406">
        <v>4</v>
      </c>
      <c r="D406" s="2">
        <v>34974</v>
      </c>
      <c r="E406" s="2">
        <v>35002</v>
      </c>
      <c r="F406" s="2">
        <v>34981</v>
      </c>
      <c r="G406">
        <v>2</v>
      </c>
      <c r="H406">
        <v>7.14</v>
      </c>
      <c r="I406" s="1" t="s">
        <v>279</v>
      </c>
      <c r="J406" s="1" t="s">
        <v>281</v>
      </c>
      <c r="K406" s="1" t="s">
        <v>282</v>
      </c>
      <c r="L406" s="1" t="s">
        <v>159</v>
      </c>
      <c r="M406" s="1" t="s">
        <v>283</v>
      </c>
      <c r="N406" s="1" t="s">
        <v>161</v>
      </c>
      <c r="O406" s="1">
        <f>MONTH(orders[[#This Row],[OrderDate]])</f>
        <v>10</v>
      </c>
    </row>
    <row r="407" spans="1:15" x14ac:dyDescent="0.35">
      <c r="A407">
        <v>10653</v>
      </c>
      <c r="B407" s="1" t="s">
        <v>232</v>
      </c>
      <c r="C407">
        <v>1</v>
      </c>
      <c r="D407" s="2">
        <v>34975</v>
      </c>
      <c r="E407" s="2">
        <v>35003</v>
      </c>
      <c r="F407" s="2">
        <v>34992</v>
      </c>
      <c r="G407">
        <v>1</v>
      </c>
      <c r="H407">
        <v>93.25</v>
      </c>
      <c r="I407" s="1" t="s">
        <v>233</v>
      </c>
      <c r="J407" s="1" t="s">
        <v>235</v>
      </c>
      <c r="K407" s="1" t="s">
        <v>236</v>
      </c>
      <c r="L407" s="1" t="s">
        <v>1195</v>
      </c>
      <c r="M407" s="1" t="s">
        <v>237</v>
      </c>
      <c r="N407" s="1" t="s">
        <v>38</v>
      </c>
      <c r="O407" s="1">
        <f>MONTH(orders[[#This Row],[OrderDate]])</f>
        <v>10</v>
      </c>
    </row>
    <row r="408" spans="1:15" x14ac:dyDescent="0.35">
      <c r="A408">
        <v>10654</v>
      </c>
      <c r="B408" s="1" t="s">
        <v>66</v>
      </c>
      <c r="C408">
        <v>5</v>
      </c>
      <c r="D408" s="2">
        <v>34975</v>
      </c>
      <c r="E408" s="2">
        <v>35003</v>
      </c>
      <c r="F408" s="2">
        <v>34984</v>
      </c>
      <c r="G408">
        <v>1</v>
      </c>
      <c r="H408">
        <v>55.26</v>
      </c>
      <c r="I408" s="1" t="s">
        <v>67</v>
      </c>
      <c r="J408" s="1" t="s">
        <v>70</v>
      </c>
      <c r="K408" s="1" t="s">
        <v>71</v>
      </c>
      <c r="L408" s="1" t="s">
        <v>1195</v>
      </c>
      <c r="M408" s="1" t="s">
        <v>72</v>
      </c>
      <c r="N408" s="1" t="s">
        <v>73</v>
      </c>
      <c r="O408" s="1">
        <f>MONTH(orders[[#This Row],[OrderDate]])</f>
        <v>10</v>
      </c>
    </row>
    <row r="409" spans="1:15" x14ac:dyDescent="0.35">
      <c r="A409">
        <v>10655</v>
      </c>
      <c r="B409" s="1" t="s">
        <v>551</v>
      </c>
      <c r="C409">
        <v>1</v>
      </c>
      <c r="D409" s="2">
        <v>34976</v>
      </c>
      <c r="E409" s="2">
        <v>35004</v>
      </c>
      <c r="F409" s="2">
        <v>34984</v>
      </c>
      <c r="G409">
        <v>2</v>
      </c>
      <c r="H409">
        <v>4.41</v>
      </c>
      <c r="I409" s="1" t="s">
        <v>552</v>
      </c>
      <c r="J409" s="1" t="s">
        <v>554</v>
      </c>
      <c r="K409" s="1" t="s">
        <v>555</v>
      </c>
      <c r="L409" s="1" t="s">
        <v>1195</v>
      </c>
      <c r="M409" s="1" t="s">
        <v>556</v>
      </c>
      <c r="N409" s="1" t="s">
        <v>252</v>
      </c>
      <c r="O409" s="1">
        <f>MONTH(orders[[#This Row],[OrderDate]])</f>
        <v>10</v>
      </c>
    </row>
    <row r="410" spans="1:15" x14ac:dyDescent="0.35">
      <c r="A410">
        <v>10656</v>
      </c>
      <c r="B410" s="1" t="s">
        <v>285</v>
      </c>
      <c r="C410">
        <v>6</v>
      </c>
      <c r="D410" s="2">
        <v>34977</v>
      </c>
      <c r="E410" s="2">
        <v>35005</v>
      </c>
      <c r="F410" s="2">
        <v>34983</v>
      </c>
      <c r="G410">
        <v>1</v>
      </c>
      <c r="H410">
        <v>57.15</v>
      </c>
      <c r="I410" s="1" t="s">
        <v>286</v>
      </c>
      <c r="J410" s="1" t="s">
        <v>288</v>
      </c>
      <c r="K410" s="1" t="s">
        <v>289</v>
      </c>
      <c r="L410" s="1" t="s">
        <v>290</v>
      </c>
      <c r="M410" s="1" t="s">
        <v>291</v>
      </c>
      <c r="N410" s="1" t="s">
        <v>292</v>
      </c>
      <c r="O410" s="1">
        <f>MONTH(orders[[#This Row],[OrderDate]])</f>
        <v>10</v>
      </c>
    </row>
    <row r="411" spans="1:15" x14ac:dyDescent="0.35">
      <c r="A411">
        <v>10657</v>
      </c>
      <c r="B411" s="1" t="s">
        <v>588</v>
      </c>
      <c r="C411">
        <v>2</v>
      </c>
      <c r="D411" s="2">
        <v>34977</v>
      </c>
      <c r="E411" s="2">
        <v>35005</v>
      </c>
      <c r="F411" s="2">
        <v>34988</v>
      </c>
      <c r="G411">
        <v>2</v>
      </c>
      <c r="H411">
        <v>352.69</v>
      </c>
      <c r="I411" s="1" t="s">
        <v>589</v>
      </c>
      <c r="J411" s="1" t="s">
        <v>591</v>
      </c>
      <c r="K411" s="1" t="s">
        <v>592</v>
      </c>
      <c r="L411" s="1" t="s">
        <v>593</v>
      </c>
      <c r="M411" s="1" t="s">
        <v>594</v>
      </c>
      <c r="N411" s="1" t="s">
        <v>292</v>
      </c>
      <c r="O411" s="1">
        <f>MONTH(orders[[#This Row],[OrderDate]])</f>
        <v>10</v>
      </c>
    </row>
    <row r="412" spans="1:15" x14ac:dyDescent="0.35">
      <c r="A412">
        <v>10658</v>
      </c>
      <c r="B412" s="1" t="s">
        <v>528</v>
      </c>
      <c r="C412">
        <v>4</v>
      </c>
      <c r="D412" s="2">
        <v>34978</v>
      </c>
      <c r="E412" s="2">
        <v>35006</v>
      </c>
      <c r="F412" s="2">
        <v>34981</v>
      </c>
      <c r="G412">
        <v>1</v>
      </c>
      <c r="H412">
        <v>364.15</v>
      </c>
      <c r="I412" s="1" t="s">
        <v>529</v>
      </c>
      <c r="J412" s="1" t="s">
        <v>531</v>
      </c>
      <c r="K412" s="1" t="s">
        <v>532</v>
      </c>
      <c r="L412" s="1" t="s">
        <v>1195</v>
      </c>
      <c r="M412" s="1" t="s">
        <v>533</v>
      </c>
      <c r="N412" s="1" t="s">
        <v>38</v>
      </c>
      <c r="O412" s="1">
        <f>MONTH(orders[[#This Row],[OrderDate]])</f>
        <v>10</v>
      </c>
    </row>
    <row r="413" spans="1:15" x14ac:dyDescent="0.35">
      <c r="A413">
        <v>10659</v>
      </c>
      <c r="B413" s="1" t="s">
        <v>522</v>
      </c>
      <c r="C413">
        <v>7</v>
      </c>
      <c r="D413" s="2">
        <v>34978</v>
      </c>
      <c r="E413" s="2">
        <v>35006</v>
      </c>
      <c r="F413" s="2">
        <v>34983</v>
      </c>
      <c r="G413">
        <v>2</v>
      </c>
      <c r="H413">
        <v>105.81</v>
      </c>
      <c r="I413" s="1" t="s">
        <v>523</v>
      </c>
      <c r="J413" s="1" t="s">
        <v>525</v>
      </c>
      <c r="K413" s="1" t="s">
        <v>158</v>
      </c>
      <c r="L413" s="1" t="s">
        <v>159</v>
      </c>
      <c r="M413" s="1" t="s">
        <v>526</v>
      </c>
      <c r="N413" s="1" t="s">
        <v>161</v>
      </c>
      <c r="O413" s="1">
        <f>MONTH(orders[[#This Row],[OrderDate]])</f>
        <v>10</v>
      </c>
    </row>
    <row r="414" spans="1:15" x14ac:dyDescent="0.35">
      <c r="A414">
        <v>10660</v>
      </c>
      <c r="B414" s="1" t="s">
        <v>322</v>
      </c>
      <c r="C414">
        <v>8</v>
      </c>
      <c r="D414" s="2">
        <v>34981</v>
      </c>
      <c r="E414" s="2">
        <v>35009</v>
      </c>
      <c r="F414" s="2">
        <v>35018</v>
      </c>
      <c r="G414">
        <v>1</v>
      </c>
      <c r="H414">
        <v>111.29</v>
      </c>
      <c r="I414" s="1" t="s">
        <v>323</v>
      </c>
      <c r="J414" s="1" t="s">
        <v>1199</v>
      </c>
      <c r="K414" s="1" t="s">
        <v>325</v>
      </c>
      <c r="L414" s="1" t="s">
        <v>290</v>
      </c>
      <c r="M414" s="1" t="s">
        <v>326</v>
      </c>
      <c r="N414" s="1" t="s">
        <v>292</v>
      </c>
      <c r="O414" s="1">
        <f>MONTH(orders[[#This Row],[OrderDate]])</f>
        <v>10</v>
      </c>
    </row>
    <row r="415" spans="1:15" x14ac:dyDescent="0.35">
      <c r="A415">
        <v>10661</v>
      </c>
      <c r="B415" s="1" t="s">
        <v>329</v>
      </c>
      <c r="C415">
        <v>7</v>
      </c>
      <c r="D415" s="2">
        <v>34982</v>
      </c>
      <c r="E415" s="2">
        <v>35010</v>
      </c>
      <c r="F415" s="2">
        <v>34988</v>
      </c>
      <c r="G415">
        <v>3</v>
      </c>
      <c r="H415">
        <v>17.55</v>
      </c>
      <c r="I415" s="1" t="s">
        <v>330</v>
      </c>
      <c r="J415" s="1" t="s">
        <v>332</v>
      </c>
      <c r="K415" s="1" t="s">
        <v>333</v>
      </c>
      <c r="L415" s="1" t="s">
        <v>334</v>
      </c>
      <c r="M415" s="1" t="s">
        <v>1195</v>
      </c>
      <c r="N415" s="1" t="s">
        <v>335</v>
      </c>
      <c r="O415" s="1">
        <f>MONTH(orders[[#This Row],[OrderDate]])</f>
        <v>10</v>
      </c>
    </row>
    <row r="416" spans="1:15" x14ac:dyDescent="0.35">
      <c r="A416">
        <v>10662</v>
      </c>
      <c r="B416" s="1" t="s">
        <v>417</v>
      </c>
      <c r="C416">
        <v>3</v>
      </c>
      <c r="D416" s="2">
        <v>34982</v>
      </c>
      <c r="E416" s="2">
        <v>35010</v>
      </c>
      <c r="F416" s="2">
        <v>34991</v>
      </c>
      <c r="G416">
        <v>2</v>
      </c>
      <c r="H416">
        <v>1.28</v>
      </c>
      <c r="I416" s="1" t="s">
        <v>418</v>
      </c>
      <c r="J416" s="1" t="s">
        <v>420</v>
      </c>
      <c r="K416" s="1" t="s">
        <v>421</v>
      </c>
      <c r="L416" s="1" t="s">
        <v>290</v>
      </c>
      <c r="M416" s="1" t="s">
        <v>422</v>
      </c>
      <c r="N416" s="1" t="s">
        <v>292</v>
      </c>
      <c r="O416" s="1">
        <f>MONTH(orders[[#This Row],[OrderDate]])</f>
        <v>10</v>
      </c>
    </row>
    <row r="417" spans="1:15" x14ac:dyDescent="0.35">
      <c r="A417">
        <v>10663</v>
      </c>
      <c r="B417" s="1" t="s">
        <v>103</v>
      </c>
      <c r="C417">
        <v>2</v>
      </c>
      <c r="D417" s="2">
        <v>34983</v>
      </c>
      <c r="E417" s="2">
        <v>34997</v>
      </c>
      <c r="F417" s="2">
        <v>35006</v>
      </c>
      <c r="G417">
        <v>2</v>
      </c>
      <c r="H417">
        <v>113.15</v>
      </c>
      <c r="I417" s="1" t="s">
        <v>104</v>
      </c>
      <c r="J417" s="1" t="s">
        <v>106</v>
      </c>
      <c r="K417" s="1" t="s">
        <v>107</v>
      </c>
      <c r="L417" s="1" t="s">
        <v>1195</v>
      </c>
      <c r="M417" s="1" t="s">
        <v>108</v>
      </c>
      <c r="N417" s="1" t="s">
        <v>91</v>
      </c>
      <c r="O417" s="1">
        <f>MONTH(orders[[#This Row],[OrderDate]])</f>
        <v>10</v>
      </c>
    </row>
    <row r="418" spans="1:15" x14ac:dyDescent="0.35">
      <c r="A418">
        <v>10664</v>
      </c>
      <c r="B418" s="1" t="s">
        <v>255</v>
      </c>
      <c r="C418">
        <v>1</v>
      </c>
      <c r="D418" s="2">
        <v>34983</v>
      </c>
      <c r="E418" s="2">
        <v>35011</v>
      </c>
      <c r="F418" s="2">
        <v>34992</v>
      </c>
      <c r="G418">
        <v>3</v>
      </c>
      <c r="H418">
        <v>1.27</v>
      </c>
      <c r="I418" s="1" t="s">
        <v>256</v>
      </c>
      <c r="J418" s="1" t="s">
        <v>257</v>
      </c>
      <c r="K418" s="1" t="s">
        <v>258</v>
      </c>
      <c r="L418" s="1" t="s">
        <v>1195</v>
      </c>
      <c r="M418" s="1" t="s">
        <v>259</v>
      </c>
      <c r="N418" s="1" t="s">
        <v>260</v>
      </c>
      <c r="O418" s="1">
        <f>MONTH(orders[[#This Row],[OrderDate]])</f>
        <v>10</v>
      </c>
    </row>
    <row r="419" spans="1:15" x14ac:dyDescent="0.35">
      <c r="A419">
        <v>10665</v>
      </c>
      <c r="B419" s="1" t="s">
        <v>417</v>
      </c>
      <c r="C419">
        <v>1</v>
      </c>
      <c r="D419" s="2">
        <v>34984</v>
      </c>
      <c r="E419" s="2">
        <v>35012</v>
      </c>
      <c r="F419" s="2">
        <v>34990</v>
      </c>
      <c r="G419">
        <v>2</v>
      </c>
      <c r="H419">
        <v>26.31</v>
      </c>
      <c r="I419" s="1" t="s">
        <v>418</v>
      </c>
      <c r="J419" s="1" t="s">
        <v>420</v>
      </c>
      <c r="K419" s="1" t="s">
        <v>421</v>
      </c>
      <c r="L419" s="1" t="s">
        <v>290</v>
      </c>
      <c r="M419" s="1" t="s">
        <v>422</v>
      </c>
      <c r="N419" s="1" t="s">
        <v>292</v>
      </c>
      <c r="O419" s="1">
        <f>MONTH(orders[[#This Row],[OrderDate]])</f>
        <v>10</v>
      </c>
    </row>
    <row r="420" spans="1:15" x14ac:dyDescent="0.35">
      <c r="A420">
        <v>10666</v>
      </c>
      <c r="B420" s="1" t="s">
        <v>565</v>
      </c>
      <c r="C420">
        <v>7</v>
      </c>
      <c r="D420" s="2">
        <v>34985</v>
      </c>
      <c r="E420" s="2">
        <v>35013</v>
      </c>
      <c r="F420" s="2">
        <v>34995</v>
      </c>
      <c r="G420">
        <v>2</v>
      </c>
      <c r="H420">
        <v>232.42</v>
      </c>
      <c r="I420" s="1" t="s">
        <v>566</v>
      </c>
      <c r="J420" s="1" t="s">
        <v>835</v>
      </c>
      <c r="K420" s="1" t="s">
        <v>569</v>
      </c>
      <c r="L420" s="1" t="s">
        <v>1195</v>
      </c>
      <c r="M420" s="1" t="s">
        <v>836</v>
      </c>
      <c r="N420" s="1" t="s">
        <v>151</v>
      </c>
      <c r="O420" s="1">
        <f>MONTH(orders[[#This Row],[OrderDate]])</f>
        <v>10</v>
      </c>
    </row>
    <row r="421" spans="1:15" x14ac:dyDescent="0.35">
      <c r="A421">
        <v>10667</v>
      </c>
      <c r="B421" s="1" t="s">
        <v>192</v>
      </c>
      <c r="C421">
        <v>7</v>
      </c>
      <c r="D421" s="2">
        <v>34985</v>
      </c>
      <c r="E421" s="2">
        <v>35013</v>
      </c>
      <c r="F421" s="2">
        <v>34992</v>
      </c>
      <c r="G421">
        <v>1</v>
      </c>
      <c r="H421">
        <v>78.09</v>
      </c>
      <c r="I421" s="1" t="s">
        <v>193</v>
      </c>
      <c r="J421" s="1" t="s">
        <v>196</v>
      </c>
      <c r="K421" s="1" t="s">
        <v>197</v>
      </c>
      <c r="L421" s="1" t="s">
        <v>1195</v>
      </c>
      <c r="M421" s="1" t="s">
        <v>198</v>
      </c>
      <c r="N421" s="1" t="s">
        <v>199</v>
      </c>
      <c r="O421" s="1">
        <f>MONTH(orders[[#This Row],[OrderDate]])</f>
        <v>10</v>
      </c>
    </row>
    <row r="422" spans="1:15" x14ac:dyDescent="0.35">
      <c r="A422">
        <v>10668</v>
      </c>
      <c r="B422" s="1" t="s">
        <v>702</v>
      </c>
      <c r="C422">
        <v>1</v>
      </c>
      <c r="D422" s="2">
        <v>34988</v>
      </c>
      <c r="E422" s="2">
        <v>35016</v>
      </c>
      <c r="F422" s="2">
        <v>34996</v>
      </c>
      <c r="G422">
        <v>2</v>
      </c>
      <c r="H422">
        <v>47.22</v>
      </c>
      <c r="I422" s="1" t="s">
        <v>703</v>
      </c>
      <c r="J422" s="1" t="s">
        <v>705</v>
      </c>
      <c r="K422" s="1" t="s">
        <v>706</v>
      </c>
      <c r="L422" s="1" t="s">
        <v>1195</v>
      </c>
      <c r="M422" s="1" t="s">
        <v>707</v>
      </c>
      <c r="N422" s="1" t="s">
        <v>38</v>
      </c>
      <c r="O422" s="1">
        <f>MONTH(orders[[#This Row],[OrderDate]])</f>
        <v>10</v>
      </c>
    </row>
    <row r="423" spans="1:15" x14ac:dyDescent="0.35">
      <c r="A423">
        <v>10669</v>
      </c>
      <c r="B423" s="1" t="s">
        <v>603</v>
      </c>
      <c r="C423">
        <v>2</v>
      </c>
      <c r="D423" s="2">
        <v>34988</v>
      </c>
      <c r="E423" s="2">
        <v>35016</v>
      </c>
      <c r="F423" s="2">
        <v>34995</v>
      </c>
      <c r="G423">
        <v>1</v>
      </c>
      <c r="H423">
        <v>24.39</v>
      </c>
      <c r="I423" s="1" t="s">
        <v>604</v>
      </c>
      <c r="J423" s="1" t="s">
        <v>606</v>
      </c>
      <c r="K423" s="1" t="s">
        <v>607</v>
      </c>
      <c r="L423" s="1" t="s">
        <v>1195</v>
      </c>
      <c r="M423" s="1" t="s">
        <v>608</v>
      </c>
      <c r="N423" s="1" t="s">
        <v>609</v>
      </c>
      <c r="O423" s="1">
        <f>MONTH(orders[[#This Row],[OrderDate]])</f>
        <v>10</v>
      </c>
    </row>
    <row r="424" spans="1:15" x14ac:dyDescent="0.35">
      <c r="A424">
        <v>10670</v>
      </c>
      <c r="B424" s="1" t="s">
        <v>232</v>
      </c>
      <c r="C424">
        <v>4</v>
      </c>
      <c r="D424" s="2">
        <v>34989</v>
      </c>
      <c r="E424" s="2">
        <v>35017</v>
      </c>
      <c r="F424" s="2">
        <v>34991</v>
      </c>
      <c r="G424">
        <v>1</v>
      </c>
      <c r="H424">
        <v>203.48</v>
      </c>
      <c r="I424" s="1" t="s">
        <v>233</v>
      </c>
      <c r="J424" s="1" t="s">
        <v>235</v>
      </c>
      <c r="K424" s="1" t="s">
        <v>236</v>
      </c>
      <c r="L424" s="1" t="s">
        <v>1195</v>
      </c>
      <c r="M424" s="1" t="s">
        <v>237</v>
      </c>
      <c r="N424" s="1" t="s">
        <v>38</v>
      </c>
      <c r="O424" s="1">
        <f>MONTH(orders[[#This Row],[OrderDate]])</f>
        <v>10</v>
      </c>
    </row>
    <row r="425" spans="1:15" x14ac:dyDescent="0.35">
      <c r="A425">
        <v>10671</v>
      </c>
      <c r="B425" s="1" t="s">
        <v>240</v>
      </c>
      <c r="C425">
        <v>1</v>
      </c>
      <c r="D425" s="2">
        <v>34990</v>
      </c>
      <c r="E425" s="2">
        <v>35018</v>
      </c>
      <c r="F425" s="2">
        <v>34997</v>
      </c>
      <c r="G425">
        <v>1</v>
      </c>
      <c r="H425">
        <v>30.34</v>
      </c>
      <c r="I425" s="1" t="s">
        <v>241</v>
      </c>
      <c r="J425" s="1" t="s">
        <v>243</v>
      </c>
      <c r="K425" s="1" t="s">
        <v>181</v>
      </c>
      <c r="L425" s="1" t="s">
        <v>1195</v>
      </c>
      <c r="M425" s="1" t="s">
        <v>182</v>
      </c>
      <c r="N425" s="1" t="s">
        <v>91</v>
      </c>
      <c r="O425" s="1">
        <f>MONTH(orders[[#This Row],[OrderDate]])</f>
        <v>10</v>
      </c>
    </row>
    <row r="426" spans="1:15" x14ac:dyDescent="0.35">
      <c r="A426">
        <v>10672</v>
      </c>
      <c r="B426" s="1" t="s">
        <v>66</v>
      </c>
      <c r="C426">
        <v>9</v>
      </c>
      <c r="D426" s="2">
        <v>34990</v>
      </c>
      <c r="E426" s="2">
        <v>35004</v>
      </c>
      <c r="F426" s="2">
        <v>34999</v>
      </c>
      <c r="G426">
        <v>2</v>
      </c>
      <c r="H426">
        <v>95.75</v>
      </c>
      <c r="I426" s="1" t="s">
        <v>67</v>
      </c>
      <c r="J426" s="1" t="s">
        <v>70</v>
      </c>
      <c r="K426" s="1" t="s">
        <v>71</v>
      </c>
      <c r="L426" s="1" t="s">
        <v>1195</v>
      </c>
      <c r="M426" s="1" t="s">
        <v>72</v>
      </c>
      <c r="N426" s="1" t="s">
        <v>73</v>
      </c>
      <c r="O426" s="1">
        <f>MONTH(orders[[#This Row],[OrderDate]])</f>
        <v>10</v>
      </c>
    </row>
    <row r="427" spans="1:15" x14ac:dyDescent="0.35">
      <c r="A427">
        <v>10673</v>
      </c>
      <c r="B427" s="1" t="s">
        <v>732</v>
      </c>
      <c r="C427">
        <v>2</v>
      </c>
      <c r="D427" s="2">
        <v>34991</v>
      </c>
      <c r="E427" s="2">
        <v>35019</v>
      </c>
      <c r="F427" s="2">
        <v>34992</v>
      </c>
      <c r="G427">
        <v>1</v>
      </c>
      <c r="H427">
        <v>22.76</v>
      </c>
      <c r="I427" s="1" t="s">
        <v>733</v>
      </c>
      <c r="J427" s="1" t="s">
        <v>736</v>
      </c>
      <c r="K427" s="1" t="s">
        <v>737</v>
      </c>
      <c r="L427" s="1" t="s">
        <v>1195</v>
      </c>
      <c r="M427" s="1" t="s">
        <v>738</v>
      </c>
      <c r="N427" s="1" t="s">
        <v>716</v>
      </c>
      <c r="O427" s="1">
        <f>MONTH(orders[[#This Row],[OrderDate]])</f>
        <v>10</v>
      </c>
    </row>
    <row r="428" spans="1:15" x14ac:dyDescent="0.35">
      <c r="A428">
        <v>10674</v>
      </c>
      <c r="B428" s="1" t="s">
        <v>338</v>
      </c>
      <c r="C428">
        <v>4</v>
      </c>
      <c r="D428" s="2">
        <v>34991</v>
      </c>
      <c r="E428" s="2">
        <v>35019</v>
      </c>
      <c r="F428" s="2">
        <v>35003</v>
      </c>
      <c r="G428">
        <v>2</v>
      </c>
      <c r="H428">
        <v>0.9</v>
      </c>
      <c r="I428" s="1" t="s">
        <v>339</v>
      </c>
      <c r="J428" s="1" t="s">
        <v>1200</v>
      </c>
      <c r="K428" s="1" t="s">
        <v>341</v>
      </c>
      <c r="L428" s="1" t="s">
        <v>342</v>
      </c>
      <c r="M428" s="1" t="s">
        <v>343</v>
      </c>
      <c r="N428" s="1" t="s">
        <v>63</v>
      </c>
      <c r="O428" s="1">
        <f>MONTH(orders[[#This Row],[OrderDate]])</f>
        <v>10</v>
      </c>
    </row>
    <row r="429" spans="1:15" x14ac:dyDescent="0.35">
      <c r="A429">
        <v>10675</v>
      </c>
      <c r="B429" s="1" t="s">
        <v>232</v>
      </c>
      <c r="C429">
        <v>5</v>
      </c>
      <c r="D429" s="2">
        <v>34992</v>
      </c>
      <c r="E429" s="2">
        <v>35020</v>
      </c>
      <c r="F429" s="2">
        <v>34996</v>
      </c>
      <c r="G429">
        <v>2</v>
      </c>
      <c r="H429">
        <v>31.85</v>
      </c>
      <c r="I429" s="1" t="s">
        <v>233</v>
      </c>
      <c r="J429" s="1" t="s">
        <v>235</v>
      </c>
      <c r="K429" s="1" t="s">
        <v>236</v>
      </c>
      <c r="L429" s="1" t="s">
        <v>1195</v>
      </c>
      <c r="M429" s="1" t="s">
        <v>237</v>
      </c>
      <c r="N429" s="1" t="s">
        <v>38</v>
      </c>
      <c r="O429" s="1">
        <f>MONTH(orders[[#This Row],[OrderDate]])</f>
        <v>10</v>
      </c>
    </row>
    <row r="430" spans="1:15" x14ac:dyDescent="0.35">
      <c r="A430">
        <v>10676</v>
      </c>
      <c r="B430" s="1" t="s">
        <v>658</v>
      </c>
      <c r="C430">
        <v>2</v>
      </c>
      <c r="D430" s="2">
        <v>34995</v>
      </c>
      <c r="E430" s="2">
        <v>35023</v>
      </c>
      <c r="F430" s="2">
        <v>35002</v>
      </c>
      <c r="G430">
        <v>2</v>
      </c>
      <c r="H430">
        <v>2.0099999999999998</v>
      </c>
      <c r="I430" s="1" t="s">
        <v>659</v>
      </c>
      <c r="J430" s="1" t="s">
        <v>661</v>
      </c>
      <c r="K430" s="1" t="s">
        <v>46</v>
      </c>
      <c r="L430" s="1" t="s">
        <v>1195</v>
      </c>
      <c r="M430" s="1" t="s">
        <v>498</v>
      </c>
      <c r="N430" s="1" t="s">
        <v>48</v>
      </c>
      <c r="O430" s="1">
        <f>MONTH(orders[[#This Row],[OrderDate]])</f>
        <v>10</v>
      </c>
    </row>
    <row r="431" spans="1:15" x14ac:dyDescent="0.35">
      <c r="A431">
        <v>10677</v>
      </c>
      <c r="B431" s="1" t="s">
        <v>51</v>
      </c>
      <c r="C431">
        <v>1</v>
      </c>
      <c r="D431" s="2">
        <v>34995</v>
      </c>
      <c r="E431" s="2">
        <v>35023</v>
      </c>
      <c r="F431" s="2">
        <v>34999</v>
      </c>
      <c r="G431">
        <v>3</v>
      </c>
      <c r="H431">
        <v>4.03</v>
      </c>
      <c r="I431" s="1" t="s">
        <v>52</v>
      </c>
      <c r="J431" s="1" t="s">
        <v>54</v>
      </c>
      <c r="K431" s="1" t="s">
        <v>46</v>
      </c>
      <c r="L431" s="1" t="s">
        <v>1195</v>
      </c>
      <c r="M431" s="1" t="s">
        <v>55</v>
      </c>
      <c r="N431" s="1" t="s">
        <v>48</v>
      </c>
      <c r="O431" s="1">
        <f>MONTH(orders[[#This Row],[OrderDate]])</f>
        <v>10</v>
      </c>
    </row>
    <row r="432" spans="1:15" x14ac:dyDescent="0.35">
      <c r="A432">
        <v>10678</v>
      </c>
      <c r="B432" s="1" t="s">
        <v>588</v>
      </c>
      <c r="C432">
        <v>7</v>
      </c>
      <c r="D432" s="2">
        <v>34996</v>
      </c>
      <c r="E432" s="2">
        <v>35024</v>
      </c>
      <c r="F432" s="2">
        <v>35019</v>
      </c>
      <c r="G432">
        <v>3</v>
      </c>
      <c r="H432">
        <v>388.98</v>
      </c>
      <c r="I432" s="1" t="s">
        <v>589</v>
      </c>
      <c r="J432" s="1" t="s">
        <v>591</v>
      </c>
      <c r="K432" s="1" t="s">
        <v>592</v>
      </c>
      <c r="L432" s="1" t="s">
        <v>593</v>
      </c>
      <c r="M432" s="1" t="s">
        <v>594</v>
      </c>
      <c r="N432" s="1" t="s">
        <v>292</v>
      </c>
      <c r="O432" s="1">
        <f>MONTH(orders[[#This Row],[OrderDate]])</f>
        <v>10</v>
      </c>
    </row>
    <row r="433" spans="1:15" x14ac:dyDescent="0.35">
      <c r="A433">
        <v>10679</v>
      </c>
      <c r="B433" s="1" t="s">
        <v>84</v>
      </c>
      <c r="C433">
        <v>8</v>
      </c>
      <c r="D433" s="2">
        <v>34996</v>
      </c>
      <c r="E433" s="2">
        <v>35024</v>
      </c>
      <c r="F433" s="2">
        <v>35003</v>
      </c>
      <c r="G433">
        <v>3</v>
      </c>
      <c r="H433">
        <v>27.94</v>
      </c>
      <c r="I433" s="1" t="s">
        <v>85</v>
      </c>
      <c r="J433" s="1" t="s">
        <v>88</v>
      </c>
      <c r="K433" s="1" t="s">
        <v>89</v>
      </c>
      <c r="L433" s="1" t="s">
        <v>1195</v>
      </c>
      <c r="M433" s="1" t="s">
        <v>90</v>
      </c>
      <c r="N433" s="1" t="s">
        <v>91</v>
      </c>
      <c r="O433" s="1">
        <f>MONTH(orders[[#This Row],[OrderDate]])</f>
        <v>10</v>
      </c>
    </row>
    <row r="434" spans="1:15" x14ac:dyDescent="0.35">
      <c r="A434">
        <v>10680</v>
      </c>
      <c r="B434" s="1" t="s">
        <v>469</v>
      </c>
      <c r="C434">
        <v>1</v>
      </c>
      <c r="D434" s="2">
        <v>34997</v>
      </c>
      <c r="E434" s="2">
        <v>35025</v>
      </c>
      <c r="F434" s="2">
        <v>34999</v>
      </c>
      <c r="G434">
        <v>1</v>
      </c>
      <c r="H434">
        <v>26.61</v>
      </c>
      <c r="I434" s="1" t="s">
        <v>470</v>
      </c>
      <c r="J434" s="1" t="s">
        <v>472</v>
      </c>
      <c r="K434" s="1" t="s">
        <v>473</v>
      </c>
      <c r="L434" s="1" t="s">
        <v>474</v>
      </c>
      <c r="M434" s="1" t="s">
        <v>475</v>
      </c>
      <c r="N434" s="1" t="s">
        <v>292</v>
      </c>
      <c r="O434" s="1">
        <f>MONTH(orders[[#This Row],[OrderDate]])</f>
        <v>10</v>
      </c>
    </row>
    <row r="435" spans="1:15" x14ac:dyDescent="0.35">
      <c r="A435">
        <v>10681</v>
      </c>
      <c r="B435" s="1" t="s">
        <v>285</v>
      </c>
      <c r="C435">
        <v>3</v>
      </c>
      <c r="D435" s="2">
        <v>34998</v>
      </c>
      <c r="E435" s="2">
        <v>35026</v>
      </c>
      <c r="F435" s="2">
        <v>35003</v>
      </c>
      <c r="G435">
        <v>3</v>
      </c>
      <c r="H435">
        <v>76.13</v>
      </c>
      <c r="I435" s="1" t="s">
        <v>286</v>
      </c>
      <c r="J435" s="1" t="s">
        <v>288</v>
      </c>
      <c r="K435" s="1" t="s">
        <v>289</v>
      </c>
      <c r="L435" s="1" t="s">
        <v>290</v>
      </c>
      <c r="M435" s="1" t="s">
        <v>291</v>
      </c>
      <c r="N435" s="1" t="s">
        <v>292</v>
      </c>
      <c r="O435" s="1">
        <f>MONTH(orders[[#This Row],[OrderDate]])</f>
        <v>10</v>
      </c>
    </row>
    <row r="436" spans="1:15" x14ac:dyDescent="0.35">
      <c r="A436">
        <v>10682</v>
      </c>
      <c r="B436" s="1" t="s">
        <v>51</v>
      </c>
      <c r="C436">
        <v>3</v>
      </c>
      <c r="D436" s="2">
        <v>34998</v>
      </c>
      <c r="E436" s="2">
        <v>35026</v>
      </c>
      <c r="F436" s="2">
        <v>35004</v>
      </c>
      <c r="G436">
        <v>2</v>
      </c>
      <c r="H436">
        <v>36.130000000000003</v>
      </c>
      <c r="I436" s="1" t="s">
        <v>52</v>
      </c>
      <c r="J436" s="1" t="s">
        <v>54</v>
      </c>
      <c r="K436" s="1" t="s">
        <v>46</v>
      </c>
      <c r="L436" s="1" t="s">
        <v>1195</v>
      </c>
      <c r="M436" s="1" t="s">
        <v>55</v>
      </c>
      <c r="N436" s="1" t="s">
        <v>48</v>
      </c>
      <c r="O436" s="1">
        <f>MONTH(orders[[#This Row],[OrderDate]])</f>
        <v>10</v>
      </c>
    </row>
    <row r="437" spans="1:15" x14ac:dyDescent="0.35">
      <c r="A437">
        <v>10683</v>
      </c>
      <c r="B437" s="1" t="s">
        <v>177</v>
      </c>
      <c r="C437">
        <v>2</v>
      </c>
      <c r="D437" s="2">
        <v>34999</v>
      </c>
      <c r="E437" s="2">
        <v>35027</v>
      </c>
      <c r="F437" s="2">
        <v>35004</v>
      </c>
      <c r="G437">
        <v>1</v>
      </c>
      <c r="H437">
        <v>4.4000000000000004</v>
      </c>
      <c r="I437" s="1" t="s">
        <v>178</v>
      </c>
      <c r="J437" s="1" t="s">
        <v>180</v>
      </c>
      <c r="K437" s="1" t="s">
        <v>181</v>
      </c>
      <c r="L437" s="1" t="s">
        <v>1195</v>
      </c>
      <c r="M437" s="1" t="s">
        <v>182</v>
      </c>
      <c r="N437" s="1" t="s">
        <v>91</v>
      </c>
      <c r="O437" s="1">
        <f>MONTH(orders[[#This Row],[OrderDate]])</f>
        <v>10</v>
      </c>
    </row>
    <row r="438" spans="1:15" x14ac:dyDescent="0.35">
      <c r="A438">
        <v>10684</v>
      </c>
      <c r="B438" s="1" t="s">
        <v>478</v>
      </c>
      <c r="C438">
        <v>3</v>
      </c>
      <c r="D438" s="2">
        <v>34999</v>
      </c>
      <c r="E438" s="2">
        <v>35027</v>
      </c>
      <c r="F438" s="2">
        <v>35003</v>
      </c>
      <c r="G438">
        <v>1</v>
      </c>
      <c r="H438">
        <v>145.63</v>
      </c>
      <c r="I438" s="1" t="s">
        <v>479</v>
      </c>
      <c r="J438" s="1" t="s">
        <v>481</v>
      </c>
      <c r="K438" s="1" t="s">
        <v>482</v>
      </c>
      <c r="L438" s="1" t="s">
        <v>1195</v>
      </c>
      <c r="M438" s="1" t="s">
        <v>483</v>
      </c>
      <c r="N438" s="1" t="s">
        <v>38</v>
      </c>
      <c r="O438" s="1">
        <f>MONTH(orders[[#This Row],[OrderDate]])</f>
        <v>10</v>
      </c>
    </row>
    <row r="439" spans="1:15" x14ac:dyDescent="0.35">
      <c r="A439">
        <v>10685</v>
      </c>
      <c r="B439" s="1" t="s">
        <v>278</v>
      </c>
      <c r="C439">
        <v>4</v>
      </c>
      <c r="D439" s="2">
        <v>35002</v>
      </c>
      <c r="E439" s="2">
        <v>35016</v>
      </c>
      <c r="F439" s="2">
        <v>35006</v>
      </c>
      <c r="G439">
        <v>2</v>
      </c>
      <c r="H439">
        <v>33.75</v>
      </c>
      <c r="I439" s="1" t="s">
        <v>279</v>
      </c>
      <c r="J439" s="1" t="s">
        <v>281</v>
      </c>
      <c r="K439" s="1" t="s">
        <v>282</v>
      </c>
      <c r="L439" s="1" t="s">
        <v>159</v>
      </c>
      <c r="M439" s="1" t="s">
        <v>283</v>
      </c>
      <c r="N439" s="1" t="s">
        <v>161</v>
      </c>
      <c r="O439" s="1">
        <f>MONTH(orders[[#This Row],[OrderDate]])</f>
        <v>10</v>
      </c>
    </row>
    <row r="440" spans="1:15" x14ac:dyDescent="0.35">
      <c r="A440">
        <v>10686</v>
      </c>
      <c r="B440" s="1" t="s">
        <v>501</v>
      </c>
      <c r="C440">
        <v>2</v>
      </c>
      <c r="D440" s="2">
        <v>35003</v>
      </c>
      <c r="E440" s="2">
        <v>35031</v>
      </c>
      <c r="F440" s="2">
        <v>35011</v>
      </c>
      <c r="G440">
        <v>1</v>
      </c>
      <c r="H440">
        <v>96.5</v>
      </c>
      <c r="I440" s="1" t="s">
        <v>502</v>
      </c>
      <c r="J440" s="1" t="s">
        <v>504</v>
      </c>
      <c r="K440" s="1" t="s">
        <v>505</v>
      </c>
      <c r="L440" s="1" t="s">
        <v>1195</v>
      </c>
      <c r="M440" s="1" t="s">
        <v>506</v>
      </c>
      <c r="N440" s="1" t="s">
        <v>199</v>
      </c>
      <c r="O440" s="1">
        <f>MONTH(orders[[#This Row],[OrderDate]])</f>
        <v>10</v>
      </c>
    </row>
    <row r="441" spans="1:15" x14ac:dyDescent="0.35">
      <c r="A441">
        <v>10687</v>
      </c>
      <c r="B441" s="1" t="s">
        <v>329</v>
      </c>
      <c r="C441">
        <v>9</v>
      </c>
      <c r="D441" s="2">
        <v>35003</v>
      </c>
      <c r="E441" s="2">
        <v>35031</v>
      </c>
      <c r="F441" s="2">
        <v>35033</v>
      </c>
      <c r="G441">
        <v>2</v>
      </c>
      <c r="H441">
        <v>296.43</v>
      </c>
      <c r="I441" s="1" t="s">
        <v>330</v>
      </c>
      <c r="J441" s="1" t="s">
        <v>332</v>
      </c>
      <c r="K441" s="1" t="s">
        <v>333</v>
      </c>
      <c r="L441" s="1" t="s">
        <v>334</v>
      </c>
      <c r="M441" s="1" t="s">
        <v>1195</v>
      </c>
      <c r="N441" s="1" t="s">
        <v>335</v>
      </c>
      <c r="O441" s="1">
        <f>MONTH(orders[[#This Row],[OrderDate]])</f>
        <v>10</v>
      </c>
    </row>
    <row r="442" spans="1:15" x14ac:dyDescent="0.35">
      <c r="A442">
        <v>10688</v>
      </c>
      <c r="B442" s="1" t="s">
        <v>678</v>
      </c>
      <c r="C442">
        <v>4</v>
      </c>
      <c r="D442" s="2">
        <v>35004</v>
      </c>
      <c r="E442" s="2">
        <v>35018</v>
      </c>
      <c r="F442" s="2">
        <v>35010</v>
      </c>
      <c r="G442">
        <v>2</v>
      </c>
      <c r="H442">
        <v>299.08999999999997</v>
      </c>
      <c r="I442" s="1" t="s">
        <v>679</v>
      </c>
      <c r="J442" s="1" t="s">
        <v>681</v>
      </c>
      <c r="K442" s="1" t="s">
        <v>682</v>
      </c>
      <c r="L442" s="1" t="s">
        <v>1195</v>
      </c>
      <c r="M442" s="1" t="s">
        <v>683</v>
      </c>
      <c r="N442" s="1" t="s">
        <v>609</v>
      </c>
      <c r="O442" s="1">
        <f>MONTH(orders[[#This Row],[OrderDate]])</f>
        <v>11</v>
      </c>
    </row>
    <row r="443" spans="1:15" x14ac:dyDescent="0.35">
      <c r="A443">
        <v>10689</v>
      </c>
      <c r="B443" s="1" t="s">
        <v>66</v>
      </c>
      <c r="C443">
        <v>1</v>
      </c>
      <c r="D443" s="2">
        <v>35004</v>
      </c>
      <c r="E443" s="2">
        <v>35032</v>
      </c>
      <c r="F443" s="2">
        <v>35010</v>
      </c>
      <c r="G443">
        <v>2</v>
      </c>
      <c r="H443">
        <v>13.42</v>
      </c>
      <c r="I443" s="1" t="s">
        <v>67</v>
      </c>
      <c r="J443" s="1" t="s">
        <v>70</v>
      </c>
      <c r="K443" s="1" t="s">
        <v>71</v>
      </c>
      <c r="L443" s="1" t="s">
        <v>1195</v>
      </c>
      <c r="M443" s="1" t="s">
        <v>72</v>
      </c>
      <c r="N443" s="1" t="s">
        <v>73</v>
      </c>
      <c r="O443" s="1">
        <f>MONTH(orders[[#This Row],[OrderDate]])</f>
        <v>11</v>
      </c>
    </row>
    <row r="444" spans="1:15" x14ac:dyDescent="0.35">
      <c r="A444">
        <v>10690</v>
      </c>
      <c r="B444" s="1" t="s">
        <v>304</v>
      </c>
      <c r="C444">
        <v>1</v>
      </c>
      <c r="D444" s="2">
        <v>35005</v>
      </c>
      <c r="E444" s="2">
        <v>35033</v>
      </c>
      <c r="F444" s="2">
        <v>35006</v>
      </c>
      <c r="G444">
        <v>1</v>
      </c>
      <c r="H444">
        <v>15.8</v>
      </c>
      <c r="I444" s="1" t="s">
        <v>305</v>
      </c>
      <c r="J444" s="1" t="s">
        <v>307</v>
      </c>
      <c r="K444" s="1" t="s">
        <v>308</v>
      </c>
      <c r="L444" s="1" t="s">
        <v>309</v>
      </c>
      <c r="M444" s="1" t="s">
        <v>310</v>
      </c>
      <c r="N444" s="1" t="s">
        <v>161</v>
      </c>
      <c r="O444" s="1">
        <f>MONTH(orders[[#This Row],[OrderDate]])</f>
        <v>11</v>
      </c>
    </row>
    <row r="445" spans="1:15" x14ac:dyDescent="0.35">
      <c r="A445">
        <v>10691</v>
      </c>
      <c r="B445" s="1" t="s">
        <v>528</v>
      </c>
      <c r="C445">
        <v>2</v>
      </c>
      <c r="D445" s="2">
        <v>35006</v>
      </c>
      <c r="E445" s="2">
        <v>35048</v>
      </c>
      <c r="F445" s="2">
        <v>35025</v>
      </c>
      <c r="G445">
        <v>2</v>
      </c>
      <c r="H445">
        <v>810.05</v>
      </c>
      <c r="I445" s="1" t="s">
        <v>529</v>
      </c>
      <c r="J445" s="1" t="s">
        <v>531</v>
      </c>
      <c r="K445" s="1" t="s">
        <v>532</v>
      </c>
      <c r="L445" s="1" t="s">
        <v>1195</v>
      </c>
      <c r="M445" s="1" t="s">
        <v>533</v>
      </c>
      <c r="N445" s="1" t="s">
        <v>38</v>
      </c>
      <c r="O445" s="1">
        <f>MONTH(orders[[#This Row],[OrderDate]])</f>
        <v>11</v>
      </c>
    </row>
    <row r="446" spans="1:15" x14ac:dyDescent="0.35">
      <c r="A446">
        <v>10692</v>
      </c>
      <c r="B446" s="1" t="s">
        <v>30</v>
      </c>
      <c r="C446">
        <v>4</v>
      </c>
      <c r="D446" s="2">
        <v>35006</v>
      </c>
      <c r="E446" s="2">
        <v>35034</v>
      </c>
      <c r="F446" s="2">
        <v>35016</v>
      </c>
      <c r="G446">
        <v>2</v>
      </c>
      <c r="H446">
        <v>61.02</v>
      </c>
      <c r="I446" s="1" t="s">
        <v>846</v>
      </c>
      <c r="J446" s="1" t="s">
        <v>34</v>
      </c>
      <c r="K446" s="1" t="s">
        <v>35</v>
      </c>
      <c r="L446" s="1" t="s">
        <v>1195</v>
      </c>
      <c r="M446" s="1" t="s">
        <v>37</v>
      </c>
      <c r="N446" s="1" t="s">
        <v>38</v>
      </c>
      <c r="O446" s="1">
        <f>MONTH(orders[[#This Row],[OrderDate]])</f>
        <v>11</v>
      </c>
    </row>
    <row r="447" spans="1:15" x14ac:dyDescent="0.35">
      <c r="A447">
        <v>10693</v>
      </c>
      <c r="B447" s="1" t="s">
        <v>725</v>
      </c>
      <c r="C447">
        <v>3</v>
      </c>
      <c r="D447" s="2">
        <v>35009</v>
      </c>
      <c r="E447" s="2">
        <v>35023</v>
      </c>
      <c r="F447" s="2">
        <v>35013</v>
      </c>
      <c r="G447">
        <v>3</v>
      </c>
      <c r="H447">
        <v>139.34</v>
      </c>
      <c r="I447" s="1" t="s">
        <v>726</v>
      </c>
      <c r="J447" s="1" t="s">
        <v>837</v>
      </c>
      <c r="K447" s="1" t="s">
        <v>728</v>
      </c>
      <c r="L447" s="1" t="s">
        <v>381</v>
      </c>
      <c r="M447" s="1" t="s">
        <v>838</v>
      </c>
      <c r="N447" s="1" t="s">
        <v>292</v>
      </c>
      <c r="O447" s="1">
        <f>MONTH(orders[[#This Row],[OrderDate]])</f>
        <v>11</v>
      </c>
    </row>
    <row r="448" spans="1:15" x14ac:dyDescent="0.35">
      <c r="A448">
        <v>10694</v>
      </c>
      <c r="B448" s="1" t="s">
        <v>528</v>
      </c>
      <c r="C448">
        <v>8</v>
      </c>
      <c r="D448" s="2">
        <v>35009</v>
      </c>
      <c r="E448" s="2">
        <v>35037</v>
      </c>
      <c r="F448" s="2">
        <v>35012</v>
      </c>
      <c r="G448">
        <v>3</v>
      </c>
      <c r="H448">
        <v>398.36</v>
      </c>
      <c r="I448" s="1" t="s">
        <v>529</v>
      </c>
      <c r="J448" s="1" t="s">
        <v>531</v>
      </c>
      <c r="K448" s="1" t="s">
        <v>532</v>
      </c>
      <c r="L448" s="1" t="s">
        <v>1195</v>
      </c>
      <c r="M448" s="1" t="s">
        <v>533</v>
      </c>
      <c r="N448" s="1" t="s">
        <v>38</v>
      </c>
      <c r="O448" s="1">
        <f>MONTH(orders[[#This Row],[OrderDate]])</f>
        <v>11</v>
      </c>
    </row>
    <row r="449" spans="1:15" x14ac:dyDescent="0.35">
      <c r="A449">
        <v>10695</v>
      </c>
      <c r="B449" s="1" t="s">
        <v>732</v>
      </c>
      <c r="C449">
        <v>7</v>
      </c>
      <c r="D449" s="2">
        <v>35010</v>
      </c>
      <c r="E449" s="2">
        <v>35052</v>
      </c>
      <c r="F449" s="2">
        <v>35017</v>
      </c>
      <c r="G449">
        <v>1</v>
      </c>
      <c r="H449">
        <v>16.72</v>
      </c>
      <c r="I449" s="1" t="s">
        <v>733</v>
      </c>
      <c r="J449" s="1" t="s">
        <v>736</v>
      </c>
      <c r="K449" s="1" t="s">
        <v>737</v>
      </c>
      <c r="L449" s="1" t="s">
        <v>1195</v>
      </c>
      <c r="M449" s="1" t="s">
        <v>738</v>
      </c>
      <c r="N449" s="1" t="s">
        <v>716</v>
      </c>
      <c r="O449" s="1">
        <f>MONTH(orders[[#This Row],[OrderDate]])</f>
        <v>11</v>
      </c>
    </row>
    <row r="450" spans="1:15" x14ac:dyDescent="0.35">
      <c r="A450">
        <v>10696</v>
      </c>
      <c r="B450" s="1" t="s">
        <v>725</v>
      </c>
      <c r="C450">
        <v>8</v>
      </c>
      <c r="D450" s="2">
        <v>35011</v>
      </c>
      <c r="E450" s="2">
        <v>35053</v>
      </c>
      <c r="F450" s="2">
        <v>35017</v>
      </c>
      <c r="G450">
        <v>3</v>
      </c>
      <c r="H450">
        <v>102.55</v>
      </c>
      <c r="I450" s="1" t="s">
        <v>726</v>
      </c>
      <c r="J450" s="1" t="s">
        <v>837</v>
      </c>
      <c r="K450" s="1" t="s">
        <v>728</v>
      </c>
      <c r="L450" s="1" t="s">
        <v>381</v>
      </c>
      <c r="M450" s="1" t="s">
        <v>838</v>
      </c>
      <c r="N450" s="1" t="s">
        <v>292</v>
      </c>
      <c r="O450" s="1">
        <f>MONTH(orders[[#This Row],[OrderDate]])</f>
        <v>11</v>
      </c>
    </row>
    <row r="451" spans="1:15" x14ac:dyDescent="0.35">
      <c r="A451">
        <v>10697</v>
      </c>
      <c r="B451" s="1" t="s">
        <v>408</v>
      </c>
      <c r="C451">
        <v>3</v>
      </c>
      <c r="D451" s="2">
        <v>35011</v>
      </c>
      <c r="E451" s="2">
        <v>35039</v>
      </c>
      <c r="F451" s="2">
        <v>35017</v>
      </c>
      <c r="G451">
        <v>1</v>
      </c>
      <c r="H451">
        <v>45.52</v>
      </c>
      <c r="I451" s="1" t="s">
        <v>409</v>
      </c>
      <c r="J451" s="1" t="s">
        <v>411</v>
      </c>
      <c r="K451" s="1" t="s">
        <v>412</v>
      </c>
      <c r="L451" s="1" t="s">
        <v>413</v>
      </c>
      <c r="M451" s="1" t="s">
        <v>414</v>
      </c>
      <c r="N451" s="1" t="s">
        <v>301</v>
      </c>
      <c r="O451" s="1">
        <f>MONTH(orders[[#This Row],[OrderDate]])</f>
        <v>11</v>
      </c>
    </row>
    <row r="452" spans="1:15" x14ac:dyDescent="0.35">
      <c r="A452">
        <v>10698</v>
      </c>
      <c r="B452" s="1" t="s">
        <v>192</v>
      </c>
      <c r="C452">
        <v>4</v>
      </c>
      <c r="D452" s="2">
        <v>35012</v>
      </c>
      <c r="E452" s="2">
        <v>35040</v>
      </c>
      <c r="F452" s="2">
        <v>35020</v>
      </c>
      <c r="G452">
        <v>1</v>
      </c>
      <c r="H452">
        <v>272.47000000000003</v>
      </c>
      <c r="I452" s="1" t="s">
        <v>193</v>
      </c>
      <c r="J452" s="1" t="s">
        <v>196</v>
      </c>
      <c r="K452" s="1" t="s">
        <v>197</v>
      </c>
      <c r="L452" s="1" t="s">
        <v>1195</v>
      </c>
      <c r="M452" s="1" t="s">
        <v>198</v>
      </c>
      <c r="N452" s="1" t="s">
        <v>199</v>
      </c>
      <c r="O452" s="1">
        <f>MONTH(orders[[#This Row],[OrderDate]])</f>
        <v>11</v>
      </c>
    </row>
    <row r="453" spans="1:15" x14ac:dyDescent="0.35">
      <c r="A453">
        <v>10699</v>
      </c>
      <c r="B453" s="1" t="s">
        <v>451</v>
      </c>
      <c r="C453">
        <v>3</v>
      </c>
      <c r="D453" s="2">
        <v>35012</v>
      </c>
      <c r="E453" s="2">
        <v>35040</v>
      </c>
      <c r="F453" s="2">
        <v>35016</v>
      </c>
      <c r="G453">
        <v>3</v>
      </c>
      <c r="H453">
        <v>0.57999999999999996</v>
      </c>
      <c r="I453" s="1" t="s">
        <v>452</v>
      </c>
      <c r="J453" s="1" t="s">
        <v>454</v>
      </c>
      <c r="K453" s="1" t="s">
        <v>455</v>
      </c>
      <c r="L453" s="1" t="s">
        <v>1195</v>
      </c>
      <c r="M453" s="1" t="s">
        <v>456</v>
      </c>
      <c r="N453" s="1" t="s">
        <v>38</v>
      </c>
      <c r="O453" s="1">
        <f>MONTH(orders[[#This Row],[OrderDate]])</f>
        <v>11</v>
      </c>
    </row>
    <row r="454" spans="1:15" x14ac:dyDescent="0.35">
      <c r="A454">
        <v>10700</v>
      </c>
      <c r="B454" s="1" t="s">
        <v>588</v>
      </c>
      <c r="C454">
        <v>3</v>
      </c>
      <c r="D454" s="2">
        <v>35013</v>
      </c>
      <c r="E454" s="2">
        <v>35041</v>
      </c>
      <c r="F454" s="2">
        <v>35019</v>
      </c>
      <c r="G454">
        <v>1</v>
      </c>
      <c r="H454">
        <v>65.099999999999994</v>
      </c>
      <c r="I454" s="1" t="s">
        <v>589</v>
      </c>
      <c r="J454" s="1" t="s">
        <v>591</v>
      </c>
      <c r="K454" s="1" t="s">
        <v>592</v>
      </c>
      <c r="L454" s="1" t="s">
        <v>593</v>
      </c>
      <c r="M454" s="1" t="s">
        <v>594</v>
      </c>
      <c r="N454" s="1" t="s">
        <v>292</v>
      </c>
      <c r="O454" s="1">
        <f>MONTH(orders[[#This Row],[OrderDate]])</f>
        <v>11</v>
      </c>
    </row>
    <row r="455" spans="1:15" x14ac:dyDescent="0.35">
      <c r="A455">
        <v>10701</v>
      </c>
      <c r="B455" s="1" t="s">
        <v>329</v>
      </c>
      <c r="C455">
        <v>6</v>
      </c>
      <c r="D455" s="2">
        <v>35016</v>
      </c>
      <c r="E455" s="2">
        <v>35030</v>
      </c>
      <c r="F455" s="2">
        <v>35018</v>
      </c>
      <c r="G455">
        <v>3</v>
      </c>
      <c r="H455">
        <v>220.31</v>
      </c>
      <c r="I455" s="1" t="s">
        <v>330</v>
      </c>
      <c r="J455" s="1" t="s">
        <v>332</v>
      </c>
      <c r="K455" s="1" t="s">
        <v>333</v>
      </c>
      <c r="L455" s="1" t="s">
        <v>334</v>
      </c>
      <c r="M455" s="1" t="s">
        <v>1195</v>
      </c>
      <c r="N455" s="1" t="s">
        <v>335</v>
      </c>
      <c r="O455" s="1">
        <f>MONTH(orders[[#This Row],[OrderDate]])</f>
        <v>11</v>
      </c>
    </row>
    <row r="456" spans="1:15" x14ac:dyDescent="0.35">
      <c r="A456">
        <v>10702</v>
      </c>
      <c r="B456" s="1" t="s">
        <v>30</v>
      </c>
      <c r="C456">
        <v>4</v>
      </c>
      <c r="D456" s="2">
        <v>35016</v>
      </c>
      <c r="E456" s="2">
        <v>35058</v>
      </c>
      <c r="F456" s="2">
        <v>35024</v>
      </c>
      <c r="G456">
        <v>1</v>
      </c>
      <c r="H456">
        <v>23.94</v>
      </c>
      <c r="I456" s="1" t="s">
        <v>846</v>
      </c>
      <c r="J456" s="1" t="s">
        <v>34</v>
      </c>
      <c r="K456" s="1" t="s">
        <v>35</v>
      </c>
      <c r="L456" s="1" t="s">
        <v>1195</v>
      </c>
      <c r="M456" s="1" t="s">
        <v>37</v>
      </c>
      <c r="N456" s="1" t="s">
        <v>38</v>
      </c>
      <c r="O456" s="1">
        <f>MONTH(orders[[#This Row],[OrderDate]])</f>
        <v>11</v>
      </c>
    </row>
    <row r="457" spans="1:15" x14ac:dyDescent="0.35">
      <c r="A457">
        <v>10703</v>
      </c>
      <c r="B457" s="1" t="s">
        <v>225</v>
      </c>
      <c r="C457">
        <v>6</v>
      </c>
      <c r="D457" s="2">
        <v>35017</v>
      </c>
      <c r="E457" s="2">
        <v>35045</v>
      </c>
      <c r="F457" s="2">
        <v>35023</v>
      </c>
      <c r="G457">
        <v>2</v>
      </c>
      <c r="H457">
        <v>152.30000000000001</v>
      </c>
      <c r="I457" s="1" t="s">
        <v>226</v>
      </c>
      <c r="J457" s="1" t="s">
        <v>228</v>
      </c>
      <c r="K457" s="1" t="s">
        <v>229</v>
      </c>
      <c r="L457" s="1" t="s">
        <v>1195</v>
      </c>
      <c r="M457" s="1" t="s">
        <v>230</v>
      </c>
      <c r="N457" s="1" t="s">
        <v>73</v>
      </c>
      <c r="O457" s="1">
        <f>MONTH(orders[[#This Row],[OrderDate]])</f>
        <v>11</v>
      </c>
    </row>
    <row r="458" spans="1:15" x14ac:dyDescent="0.35">
      <c r="A458">
        <v>10704</v>
      </c>
      <c r="B458" s="1" t="s">
        <v>522</v>
      </c>
      <c r="C458">
        <v>6</v>
      </c>
      <c r="D458" s="2">
        <v>35017</v>
      </c>
      <c r="E458" s="2">
        <v>35045</v>
      </c>
      <c r="F458" s="2">
        <v>35041</v>
      </c>
      <c r="G458">
        <v>1</v>
      </c>
      <c r="H458">
        <v>4.78</v>
      </c>
      <c r="I458" s="1" t="s">
        <v>523</v>
      </c>
      <c r="J458" s="1" t="s">
        <v>525</v>
      </c>
      <c r="K458" s="1" t="s">
        <v>158</v>
      </c>
      <c r="L458" s="1" t="s">
        <v>159</v>
      </c>
      <c r="M458" s="1" t="s">
        <v>526</v>
      </c>
      <c r="N458" s="1" t="s">
        <v>161</v>
      </c>
      <c r="O458" s="1">
        <f>MONTH(orders[[#This Row],[OrderDate]])</f>
        <v>11</v>
      </c>
    </row>
    <row r="459" spans="1:15" x14ac:dyDescent="0.35">
      <c r="A459">
        <v>10705</v>
      </c>
      <c r="B459" s="1" t="s">
        <v>313</v>
      </c>
      <c r="C459">
        <v>9</v>
      </c>
      <c r="D459" s="2">
        <v>35018</v>
      </c>
      <c r="E459" s="2">
        <v>35046</v>
      </c>
      <c r="F459" s="2">
        <v>35052</v>
      </c>
      <c r="G459">
        <v>2</v>
      </c>
      <c r="H459">
        <v>3.52</v>
      </c>
      <c r="I459" s="1" t="s">
        <v>314</v>
      </c>
      <c r="J459" s="1" t="s">
        <v>316</v>
      </c>
      <c r="K459" s="1" t="s">
        <v>317</v>
      </c>
      <c r="L459" s="1" t="s">
        <v>318</v>
      </c>
      <c r="M459" s="1" t="s">
        <v>319</v>
      </c>
      <c r="N459" s="1" t="s">
        <v>301</v>
      </c>
      <c r="O459" s="1">
        <f>MONTH(orders[[#This Row],[OrderDate]])</f>
        <v>11</v>
      </c>
    </row>
    <row r="460" spans="1:15" x14ac:dyDescent="0.35">
      <c r="A460">
        <v>10706</v>
      </c>
      <c r="B460" s="1" t="s">
        <v>469</v>
      </c>
      <c r="C460">
        <v>8</v>
      </c>
      <c r="D460" s="2">
        <v>35019</v>
      </c>
      <c r="E460" s="2">
        <v>35047</v>
      </c>
      <c r="F460" s="2">
        <v>35024</v>
      </c>
      <c r="G460">
        <v>3</v>
      </c>
      <c r="H460">
        <v>135.63</v>
      </c>
      <c r="I460" s="1" t="s">
        <v>470</v>
      </c>
      <c r="J460" s="1" t="s">
        <v>472</v>
      </c>
      <c r="K460" s="1" t="s">
        <v>473</v>
      </c>
      <c r="L460" s="1" t="s">
        <v>474</v>
      </c>
      <c r="M460" s="1" t="s">
        <v>475</v>
      </c>
      <c r="N460" s="1" t="s">
        <v>292</v>
      </c>
      <c r="O460" s="1">
        <f>MONTH(orders[[#This Row],[OrderDate]])</f>
        <v>11</v>
      </c>
    </row>
    <row r="461" spans="1:15" x14ac:dyDescent="0.35">
      <c r="A461">
        <v>10707</v>
      </c>
      <c r="B461" s="1" t="s">
        <v>57</v>
      </c>
      <c r="C461">
        <v>4</v>
      </c>
      <c r="D461" s="2">
        <v>35019</v>
      </c>
      <c r="E461" s="2">
        <v>35033</v>
      </c>
      <c r="F461" s="2">
        <v>35026</v>
      </c>
      <c r="G461">
        <v>3</v>
      </c>
      <c r="H461">
        <v>21.74</v>
      </c>
      <c r="I461" s="1" t="s">
        <v>58</v>
      </c>
      <c r="J461" s="1" t="s">
        <v>1210</v>
      </c>
      <c r="K461" s="1" t="s">
        <v>839</v>
      </c>
      <c r="L461" s="1" t="s">
        <v>840</v>
      </c>
      <c r="M461" s="1" t="s">
        <v>841</v>
      </c>
      <c r="N461" s="1" t="s">
        <v>63</v>
      </c>
      <c r="O461" s="1">
        <f>MONTH(orders[[#This Row],[OrderDate]])</f>
        <v>11</v>
      </c>
    </row>
    <row r="462" spans="1:15" x14ac:dyDescent="0.35">
      <c r="A462">
        <v>10708</v>
      </c>
      <c r="B462" s="1" t="s">
        <v>636</v>
      </c>
      <c r="C462">
        <v>6</v>
      </c>
      <c r="D462" s="2">
        <v>35020</v>
      </c>
      <c r="E462" s="2">
        <v>35062</v>
      </c>
      <c r="F462" s="2">
        <v>35039</v>
      </c>
      <c r="G462">
        <v>2</v>
      </c>
      <c r="H462">
        <v>2.96</v>
      </c>
      <c r="I462" s="1" t="s">
        <v>637</v>
      </c>
      <c r="J462" s="1" t="s">
        <v>1205</v>
      </c>
      <c r="K462" s="1" t="s">
        <v>421</v>
      </c>
      <c r="L462" s="1" t="s">
        <v>290</v>
      </c>
      <c r="M462" s="1" t="s">
        <v>639</v>
      </c>
      <c r="N462" s="1" t="s">
        <v>292</v>
      </c>
      <c r="O462" s="1">
        <f>MONTH(orders[[#This Row],[OrderDate]])</f>
        <v>11</v>
      </c>
    </row>
    <row r="463" spans="1:15" x14ac:dyDescent="0.35">
      <c r="A463">
        <v>10709</v>
      </c>
      <c r="B463" s="1" t="s">
        <v>278</v>
      </c>
      <c r="C463">
        <v>1</v>
      </c>
      <c r="D463" s="2">
        <v>35020</v>
      </c>
      <c r="E463" s="2">
        <v>35048</v>
      </c>
      <c r="F463" s="2">
        <v>35054</v>
      </c>
      <c r="G463">
        <v>3</v>
      </c>
      <c r="H463">
        <v>210.8</v>
      </c>
      <c r="I463" s="1" t="s">
        <v>279</v>
      </c>
      <c r="J463" s="1" t="s">
        <v>281</v>
      </c>
      <c r="K463" s="1" t="s">
        <v>282</v>
      </c>
      <c r="L463" s="1" t="s">
        <v>159</v>
      </c>
      <c r="M463" s="1" t="s">
        <v>283</v>
      </c>
      <c r="N463" s="1" t="s">
        <v>161</v>
      </c>
      <c r="O463" s="1">
        <f>MONTH(orders[[#This Row],[OrderDate]])</f>
        <v>11</v>
      </c>
    </row>
    <row r="464" spans="1:15" x14ac:dyDescent="0.35">
      <c r="A464">
        <v>10710</v>
      </c>
      <c r="B464" s="1" t="s">
        <v>246</v>
      </c>
      <c r="C464">
        <v>1</v>
      </c>
      <c r="D464" s="2">
        <v>35023</v>
      </c>
      <c r="E464" s="2">
        <v>35051</v>
      </c>
      <c r="F464" s="2">
        <v>35026</v>
      </c>
      <c r="G464">
        <v>1</v>
      </c>
      <c r="H464">
        <v>4.9800000000000004</v>
      </c>
      <c r="I464" s="1" t="s">
        <v>247</v>
      </c>
      <c r="J464" s="1" t="s">
        <v>249</v>
      </c>
      <c r="K464" s="1" t="s">
        <v>250</v>
      </c>
      <c r="L464" s="1" t="s">
        <v>1195</v>
      </c>
      <c r="M464" s="1" t="s">
        <v>251</v>
      </c>
      <c r="N464" s="1" t="s">
        <v>252</v>
      </c>
      <c r="O464" s="1">
        <f>MONTH(orders[[#This Row],[OrderDate]])</f>
        <v>11</v>
      </c>
    </row>
    <row r="465" spans="1:15" x14ac:dyDescent="0.35">
      <c r="A465">
        <v>10711</v>
      </c>
      <c r="B465" s="1" t="s">
        <v>588</v>
      </c>
      <c r="C465">
        <v>5</v>
      </c>
      <c r="D465" s="2">
        <v>35024</v>
      </c>
      <c r="E465" s="2">
        <v>35066</v>
      </c>
      <c r="F465" s="2">
        <v>35032</v>
      </c>
      <c r="G465">
        <v>2</v>
      </c>
      <c r="H465">
        <v>52.41</v>
      </c>
      <c r="I465" s="1" t="s">
        <v>589</v>
      </c>
      <c r="J465" s="1" t="s">
        <v>591</v>
      </c>
      <c r="K465" s="1" t="s">
        <v>592</v>
      </c>
      <c r="L465" s="1" t="s">
        <v>593</v>
      </c>
      <c r="M465" s="1" t="s">
        <v>594</v>
      </c>
      <c r="N465" s="1" t="s">
        <v>292</v>
      </c>
      <c r="O465" s="1">
        <f>MONTH(orders[[#This Row],[OrderDate]])</f>
        <v>11</v>
      </c>
    </row>
    <row r="466" spans="1:15" x14ac:dyDescent="0.35">
      <c r="A466">
        <v>10712</v>
      </c>
      <c r="B466" s="1" t="s">
        <v>329</v>
      </c>
      <c r="C466">
        <v>3</v>
      </c>
      <c r="D466" s="2">
        <v>35024</v>
      </c>
      <c r="E466" s="2">
        <v>35052</v>
      </c>
      <c r="F466" s="2">
        <v>35034</v>
      </c>
      <c r="G466">
        <v>1</v>
      </c>
      <c r="H466">
        <v>89.93</v>
      </c>
      <c r="I466" s="1" t="s">
        <v>330</v>
      </c>
      <c r="J466" s="1" t="s">
        <v>332</v>
      </c>
      <c r="K466" s="1" t="s">
        <v>333</v>
      </c>
      <c r="L466" s="1" t="s">
        <v>334</v>
      </c>
      <c r="M466" s="1" t="s">
        <v>1195</v>
      </c>
      <c r="N466" s="1" t="s">
        <v>335</v>
      </c>
      <c r="O466" s="1">
        <f>MONTH(orders[[#This Row],[OrderDate]])</f>
        <v>11</v>
      </c>
    </row>
    <row r="467" spans="1:15" x14ac:dyDescent="0.35">
      <c r="A467">
        <v>10713</v>
      </c>
      <c r="B467" s="1" t="s">
        <v>588</v>
      </c>
      <c r="C467">
        <v>1</v>
      </c>
      <c r="D467" s="2">
        <v>35025</v>
      </c>
      <c r="E467" s="2">
        <v>35053</v>
      </c>
      <c r="F467" s="2">
        <v>35027</v>
      </c>
      <c r="G467">
        <v>1</v>
      </c>
      <c r="H467">
        <v>167.05</v>
      </c>
      <c r="I467" s="1" t="s">
        <v>589</v>
      </c>
      <c r="J467" s="1" t="s">
        <v>591</v>
      </c>
      <c r="K467" s="1" t="s">
        <v>592</v>
      </c>
      <c r="L467" s="1" t="s">
        <v>593</v>
      </c>
      <c r="M467" s="1" t="s">
        <v>594</v>
      </c>
      <c r="N467" s="1" t="s">
        <v>292</v>
      </c>
      <c r="O467" s="1">
        <f>MONTH(orders[[#This Row],[OrderDate]])</f>
        <v>11</v>
      </c>
    </row>
    <row r="468" spans="1:15" x14ac:dyDescent="0.35">
      <c r="A468">
        <v>10714</v>
      </c>
      <c r="B468" s="1" t="s">
        <v>588</v>
      </c>
      <c r="C468">
        <v>5</v>
      </c>
      <c r="D468" s="2">
        <v>35025</v>
      </c>
      <c r="E468" s="2">
        <v>35053</v>
      </c>
      <c r="F468" s="2">
        <v>35030</v>
      </c>
      <c r="G468">
        <v>3</v>
      </c>
      <c r="H468">
        <v>24.49</v>
      </c>
      <c r="I468" s="1" t="s">
        <v>589</v>
      </c>
      <c r="J468" s="1" t="s">
        <v>591</v>
      </c>
      <c r="K468" s="1" t="s">
        <v>592</v>
      </c>
      <c r="L468" s="1" t="s">
        <v>593</v>
      </c>
      <c r="M468" s="1" t="s">
        <v>594</v>
      </c>
      <c r="N468" s="1" t="s">
        <v>292</v>
      </c>
      <c r="O468" s="1">
        <f>MONTH(orders[[#This Row],[OrderDate]])</f>
        <v>11</v>
      </c>
    </row>
    <row r="469" spans="1:15" x14ac:dyDescent="0.35">
      <c r="A469">
        <v>10715</v>
      </c>
      <c r="B469" s="1" t="s">
        <v>103</v>
      </c>
      <c r="C469">
        <v>3</v>
      </c>
      <c r="D469" s="2">
        <v>35026</v>
      </c>
      <c r="E469" s="2">
        <v>35040</v>
      </c>
      <c r="F469" s="2">
        <v>35032</v>
      </c>
      <c r="G469">
        <v>1</v>
      </c>
      <c r="H469">
        <v>63.2</v>
      </c>
      <c r="I469" s="1" t="s">
        <v>104</v>
      </c>
      <c r="J469" s="1" t="s">
        <v>106</v>
      </c>
      <c r="K469" s="1" t="s">
        <v>107</v>
      </c>
      <c r="L469" s="1" t="s">
        <v>1195</v>
      </c>
      <c r="M469" s="1" t="s">
        <v>108</v>
      </c>
      <c r="N469" s="1" t="s">
        <v>91</v>
      </c>
      <c r="O469" s="1">
        <f>MONTH(orders[[#This Row],[OrderDate]])</f>
        <v>11</v>
      </c>
    </row>
    <row r="470" spans="1:15" x14ac:dyDescent="0.35">
      <c r="A470">
        <v>10716</v>
      </c>
      <c r="B470" s="1" t="s">
        <v>535</v>
      </c>
      <c r="C470">
        <v>4</v>
      </c>
      <c r="D470" s="2">
        <v>35027</v>
      </c>
      <c r="E470" s="2">
        <v>35055</v>
      </c>
      <c r="F470" s="2">
        <v>35030</v>
      </c>
      <c r="G470">
        <v>2</v>
      </c>
      <c r="H470">
        <v>22.57</v>
      </c>
      <c r="I470" s="1" t="s">
        <v>536</v>
      </c>
      <c r="J470" s="1" t="s">
        <v>538</v>
      </c>
      <c r="K470" s="1" t="s">
        <v>133</v>
      </c>
      <c r="L470" s="1" t="s">
        <v>1195</v>
      </c>
      <c r="M470" s="1" t="s">
        <v>134</v>
      </c>
      <c r="N470" s="1" t="s">
        <v>135</v>
      </c>
      <c r="O470" s="1">
        <f>MONTH(orders[[#This Row],[OrderDate]])</f>
        <v>11</v>
      </c>
    </row>
    <row r="471" spans="1:15" x14ac:dyDescent="0.35">
      <c r="A471">
        <v>10717</v>
      </c>
      <c r="B471" s="1" t="s">
        <v>232</v>
      </c>
      <c r="C471">
        <v>1</v>
      </c>
      <c r="D471" s="2">
        <v>35027</v>
      </c>
      <c r="E471" s="2">
        <v>35055</v>
      </c>
      <c r="F471" s="2">
        <v>35032</v>
      </c>
      <c r="G471">
        <v>2</v>
      </c>
      <c r="H471">
        <v>59.25</v>
      </c>
      <c r="I471" s="1" t="s">
        <v>233</v>
      </c>
      <c r="J471" s="1" t="s">
        <v>235</v>
      </c>
      <c r="K471" s="1" t="s">
        <v>236</v>
      </c>
      <c r="L471" s="1" t="s">
        <v>1195</v>
      </c>
      <c r="M471" s="1" t="s">
        <v>237</v>
      </c>
      <c r="N471" s="1" t="s">
        <v>38</v>
      </c>
      <c r="O471" s="1">
        <f>MONTH(orders[[#This Row],[OrderDate]])</f>
        <v>11</v>
      </c>
    </row>
    <row r="472" spans="1:15" x14ac:dyDescent="0.35">
      <c r="A472">
        <v>10718</v>
      </c>
      <c r="B472" s="1" t="s">
        <v>345</v>
      </c>
      <c r="C472">
        <v>1</v>
      </c>
      <c r="D472" s="2">
        <v>35030</v>
      </c>
      <c r="E472" s="2">
        <v>35058</v>
      </c>
      <c r="F472" s="2">
        <v>35032</v>
      </c>
      <c r="G472">
        <v>3</v>
      </c>
      <c r="H472">
        <v>170.88</v>
      </c>
      <c r="I472" s="1" t="s">
        <v>346</v>
      </c>
      <c r="J472" s="1" t="s">
        <v>348</v>
      </c>
      <c r="K472" s="1" t="s">
        <v>349</v>
      </c>
      <c r="L472" s="1" t="s">
        <v>1195</v>
      </c>
      <c r="M472" s="1" t="s">
        <v>350</v>
      </c>
      <c r="N472" s="1" t="s">
        <v>38</v>
      </c>
      <c r="O472" s="1">
        <f>MONTH(orders[[#This Row],[OrderDate]])</f>
        <v>11</v>
      </c>
    </row>
    <row r="473" spans="1:15" x14ac:dyDescent="0.35">
      <c r="A473">
        <v>10719</v>
      </c>
      <c r="B473" s="1" t="s">
        <v>392</v>
      </c>
      <c r="C473">
        <v>8</v>
      </c>
      <c r="D473" s="2">
        <v>35030</v>
      </c>
      <c r="E473" s="2">
        <v>35058</v>
      </c>
      <c r="F473" s="2">
        <v>35039</v>
      </c>
      <c r="G473">
        <v>2</v>
      </c>
      <c r="H473">
        <v>51.44</v>
      </c>
      <c r="I473" s="1" t="s">
        <v>393</v>
      </c>
      <c r="J473" s="1" t="s">
        <v>1202</v>
      </c>
      <c r="K473" s="1" t="s">
        <v>395</v>
      </c>
      <c r="L473" s="1" t="s">
        <v>396</v>
      </c>
      <c r="M473" s="1" t="s">
        <v>397</v>
      </c>
      <c r="N473" s="1" t="s">
        <v>292</v>
      </c>
      <c r="O473" s="1">
        <f>MONTH(orders[[#This Row],[OrderDate]])</f>
        <v>11</v>
      </c>
    </row>
    <row r="474" spans="1:15" x14ac:dyDescent="0.35">
      <c r="A474">
        <v>10720</v>
      </c>
      <c r="B474" s="1" t="s">
        <v>515</v>
      </c>
      <c r="C474">
        <v>8</v>
      </c>
      <c r="D474" s="2">
        <v>35031</v>
      </c>
      <c r="E474" s="2">
        <v>35045</v>
      </c>
      <c r="F474" s="2">
        <v>35039</v>
      </c>
      <c r="G474">
        <v>2</v>
      </c>
      <c r="H474">
        <v>9.5299999999999994</v>
      </c>
      <c r="I474" s="1" t="s">
        <v>516</v>
      </c>
      <c r="J474" s="1" t="s">
        <v>518</v>
      </c>
      <c r="K474" s="1" t="s">
        <v>308</v>
      </c>
      <c r="L474" s="1" t="s">
        <v>309</v>
      </c>
      <c r="M474" s="1" t="s">
        <v>519</v>
      </c>
      <c r="N474" s="1" t="s">
        <v>161</v>
      </c>
      <c r="O474" s="1">
        <f>MONTH(orders[[#This Row],[OrderDate]])</f>
        <v>11</v>
      </c>
    </row>
    <row r="475" spans="1:15" x14ac:dyDescent="0.35">
      <c r="A475">
        <v>10721</v>
      </c>
      <c r="B475" s="1" t="s">
        <v>528</v>
      </c>
      <c r="C475">
        <v>5</v>
      </c>
      <c r="D475" s="2">
        <v>35032</v>
      </c>
      <c r="E475" s="2">
        <v>35060</v>
      </c>
      <c r="F475" s="2">
        <v>35034</v>
      </c>
      <c r="G475">
        <v>3</v>
      </c>
      <c r="H475">
        <v>48.92</v>
      </c>
      <c r="I475" s="1" t="s">
        <v>529</v>
      </c>
      <c r="J475" s="1" t="s">
        <v>531</v>
      </c>
      <c r="K475" s="1" t="s">
        <v>532</v>
      </c>
      <c r="L475" s="1" t="s">
        <v>1195</v>
      </c>
      <c r="M475" s="1" t="s">
        <v>533</v>
      </c>
      <c r="N475" s="1" t="s">
        <v>38</v>
      </c>
      <c r="O475" s="1">
        <f>MONTH(orders[[#This Row],[OrderDate]])</f>
        <v>11</v>
      </c>
    </row>
    <row r="476" spans="1:15" x14ac:dyDescent="0.35">
      <c r="A476">
        <v>10722</v>
      </c>
      <c r="B476" s="1" t="s">
        <v>588</v>
      </c>
      <c r="C476">
        <v>8</v>
      </c>
      <c r="D476" s="2">
        <v>35032</v>
      </c>
      <c r="E476" s="2">
        <v>35074</v>
      </c>
      <c r="F476" s="2">
        <v>35038</v>
      </c>
      <c r="G476">
        <v>1</v>
      </c>
      <c r="H476">
        <v>74.58</v>
      </c>
      <c r="I476" s="1" t="s">
        <v>589</v>
      </c>
      <c r="J476" s="1" t="s">
        <v>591</v>
      </c>
      <c r="K476" s="1" t="s">
        <v>592</v>
      </c>
      <c r="L476" s="1" t="s">
        <v>593</v>
      </c>
      <c r="M476" s="1" t="s">
        <v>594</v>
      </c>
      <c r="N476" s="1" t="s">
        <v>292</v>
      </c>
      <c r="O476" s="1">
        <f>MONTH(orders[[#This Row],[OrderDate]])</f>
        <v>11</v>
      </c>
    </row>
    <row r="477" spans="1:15" x14ac:dyDescent="0.35">
      <c r="A477">
        <v>10723</v>
      </c>
      <c r="B477" s="1" t="s">
        <v>725</v>
      </c>
      <c r="C477">
        <v>3</v>
      </c>
      <c r="D477" s="2">
        <v>35033</v>
      </c>
      <c r="E477" s="2">
        <v>35061</v>
      </c>
      <c r="F477" s="2">
        <v>35059</v>
      </c>
      <c r="G477">
        <v>1</v>
      </c>
      <c r="H477">
        <v>21.72</v>
      </c>
      <c r="I477" s="1" t="s">
        <v>726</v>
      </c>
      <c r="J477" s="1" t="s">
        <v>837</v>
      </c>
      <c r="K477" s="1" t="s">
        <v>728</v>
      </c>
      <c r="L477" s="1" t="s">
        <v>381</v>
      </c>
      <c r="M477" s="1" t="s">
        <v>838</v>
      </c>
      <c r="N477" s="1" t="s">
        <v>292</v>
      </c>
      <c r="O477" s="1">
        <f>MONTH(orders[[#This Row],[OrderDate]])</f>
        <v>11</v>
      </c>
    </row>
    <row r="478" spans="1:15" x14ac:dyDescent="0.35">
      <c r="A478">
        <v>10724</v>
      </c>
      <c r="B478" s="1" t="s">
        <v>442</v>
      </c>
      <c r="C478">
        <v>8</v>
      </c>
      <c r="D478" s="2">
        <v>35033</v>
      </c>
      <c r="E478" s="2">
        <v>35075</v>
      </c>
      <c r="F478" s="2">
        <v>35039</v>
      </c>
      <c r="G478">
        <v>2</v>
      </c>
      <c r="H478">
        <v>57.75</v>
      </c>
      <c r="I478" s="1" t="s">
        <v>443</v>
      </c>
      <c r="J478" s="1" t="s">
        <v>445</v>
      </c>
      <c r="K478" s="1" t="s">
        <v>446</v>
      </c>
      <c r="L478" s="1" t="s">
        <v>447</v>
      </c>
      <c r="M478" s="1" t="s">
        <v>448</v>
      </c>
      <c r="N478" s="1" t="s">
        <v>119</v>
      </c>
      <c r="O478" s="1">
        <f>MONTH(orders[[#This Row],[OrderDate]])</f>
        <v>11</v>
      </c>
    </row>
    <row r="479" spans="1:15" x14ac:dyDescent="0.35">
      <c r="A479">
        <v>10725</v>
      </c>
      <c r="B479" s="1" t="s">
        <v>202</v>
      </c>
      <c r="C479">
        <v>4</v>
      </c>
      <c r="D479" s="2">
        <v>35034</v>
      </c>
      <c r="E479" s="2">
        <v>35062</v>
      </c>
      <c r="F479" s="2">
        <v>35039</v>
      </c>
      <c r="G479">
        <v>3</v>
      </c>
      <c r="H479">
        <v>10.83</v>
      </c>
      <c r="I479" s="1" t="s">
        <v>203</v>
      </c>
      <c r="J479" s="1" t="s">
        <v>206</v>
      </c>
      <c r="K479" s="1" t="s">
        <v>158</v>
      </c>
      <c r="L479" s="1" t="s">
        <v>159</v>
      </c>
      <c r="M479" s="1" t="s">
        <v>207</v>
      </c>
      <c r="N479" s="1" t="s">
        <v>161</v>
      </c>
      <c r="O479" s="1">
        <f>MONTH(orders[[#This Row],[OrderDate]])</f>
        <v>12</v>
      </c>
    </row>
    <row r="480" spans="1:15" x14ac:dyDescent="0.35">
      <c r="A480">
        <v>10726</v>
      </c>
      <c r="B480" s="1" t="s">
        <v>185</v>
      </c>
      <c r="C480">
        <v>4</v>
      </c>
      <c r="D480" s="2">
        <v>35037</v>
      </c>
      <c r="E480" s="2">
        <v>35051</v>
      </c>
      <c r="F480" s="2">
        <v>35069</v>
      </c>
      <c r="G480">
        <v>1</v>
      </c>
      <c r="H480">
        <v>16.559999999999999</v>
      </c>
      <c r="I480" s="1" t="s">
        <v>186</v>
      </c>
      <c r="J480" s="1" t="s">
        <v>188</v>
      </c>
      <c r="K480" s="1" t="s">
        <v>61</v>
      </c>
      <c r="L480" s="1" t="s">
        <v>1195</v>
      </c>
      <c r="M480" s="1" t="s">
        <v>189</v>
      </c>
      <c r="N480" s="1" t="s">
        <v>63</v>
      </c>
      <c r="O480" s="1">
        <f>MONTH(orders[[#This Row],[OrderDate]])</f>
        <v>12</v>
      </c>
    </row>
    <row r="481" spans="1:15" x14ac:dyDescent="0.35">
      <c r="A481">
        <v>10727</v>
      </c>
      <c r="B481" s="1" t="s">
        <v>551</v>
      </c>
      <c r="C481">
        <v>2</v>
      </c>
      <c r="D481" s="2">
        <v>35037</v>
      </c>
      <c r="E481" s="2">
        <v>35065</v>
      </c>
      <c r="F481" s="2">
        <v>35069</v>
      </c>
      <c r="G481">
        <v>1</v>
      </c>
      <c r="H481">
        <v>89.9</v>
      </c>
      <c r="I481" s="1" t="s">
        <v>552</v>
      </c>
      <c r="J481" s="1" t="s">
        <v>554</v>
      </c>
      <c r="K481" s="1" t="s">
        <v>555</v>
      </c>
      <c r="L481" s="1" t="s">
        <v>1195</v>
      </c>
      <c r="M481" s="1" t="s">
        <v>556</v>
      </c>
      <c r="N481" s="1" t="s">
        <v>252</v>
      </c>
      <c r="O481" s="1">
        <f>MONTH(orders[[#This Row],[OrderDate]])</f>
        <v>12</v>
      </c>
    </row>
    <row r="482" spans="1:15" x14ac:dyDescent="0.35">
      <c r="A482">
        <v>10728</v>
      </c>
      <c r="B482" s="1" t="s">
        <v>522</v>
      </c>
      <c r="C482">
        <v>4</v>
      </c>
      <c r="D482" s="2">
        <v>35038</v>
      </c>
      <c r="E482" s="2">
        <v>35066</v>
      </c>
      <c r="F482" s="2">
        <v>35045</v>
      </c>
      <c r="G482">
        <v>2</v>
      </c>
      <c r="H482">
        <v>58.33</v>
      </c>
      <c r="I482" s="1" t="s">
        <v>523</v>
      </c>
      <c r="J482" s="1" t="s">
        <v>525</v>
      </c>
      <c r="K482" s="1" t="s">
        <v>158</v>
      </c>
      <c r="L482" s="1" t="s">
        <v>159</v>
      </c>
      <c r="M482" s="1" t="s">
        <v>526</v>
      </c>
      <c r="N482" s="1" t="s">
        <v>161</v>
      </c>
      <c r="O482" s="1">
        <f>MONTH(orders[[#This Row],[OrderDate]])</f>
        <v>12</v>
      </c>
    </row>
    <row r="483" spans="1:15" x14ac:dyDescent="0.35">
      <c r="A483">
        <v>10729</v>
      </c>
      <c r="B483" s="1" t="s">
        <v>408</v>
      </c>
      <c r="C483">
        <v>8</v>
      </c>
      <c r="D483" s="2">
        <v>35038</v>
      </c>
      <c r="E483" s="2">
        <v>35080</v>
      </c>
      <c r="F483" s="2">
        <v>35048</v>
      </c>
      <c r="G483">
        <v>3</v>
      </c>
      <c r="H483">
        <v>141.06</v>
      </c>
      <c r="I483" s="1" t="s">
        <v>409</v>
      </c>
      <c r="J483" s="1" t="s">
        <v>411</v>
      </c>
      <c r="K483" s="1" t="s">
        <v>412</v>
      </c>
      <c r="L483" s="1" t="s">
        <v>413</v>
      </c>
      <c r="M483" s="1" t="s">
        <v>414</v>
      </c>
      <c r="N483" s="1" t="s">
        <v>301</v>
      </c>
      <c r="O483" s="1">
        <f>MONTH(orders[[#This Row],[OrderDate]])</f>
        <v>12</v>
      </c>
    </row>
    <row r="484" spans="1:15" x14ac:dyDescent="0.35">
      <c r="A484">
        <v>10730</v>
      </c>
      <c r="B484" s="1" t="s">
        <v>103</v>
      </c>
      <c r="C484">
        <v>5</v>
      </c>
      <c r="D484" s="2">
        <v>35039</v>
      </c>
      <c r="E484" s="2">
        <v>35067</v>
      </c>
      <c r="F484" s="2">
        <v>35048</v>
      </c>
      <c r="G484">
        <v>1</v>
      </c>
      <c r="H484">
        <v>20.12</v>
      </c>
      <c r="I484" s="1" t="s">
        <v>104</v>
      </c>
      <c r="J484" s="1" t="s">
        <v>106</v>
      </c>
      <c r="K484" s="1" t="s">
        <v>107</v>
      </c>
      <c r="L484" s="1" t="s">
        <v>1195</v>
      </c>
      <c r="M484" s="1" t="s">
        <v>108</v>
      </c>
      <c r="N484" s="1" t="s">
        <v>91</v>
      </c>
      <c r="O484" s="1">
        <f>MONTH(orders[[#This Row],[OrderDate]])</f>
        <v>12</v>
      </c>
    </row>
    <row r="485" spans="1:15" x14ac:dyDescent="0.35">
      <c r="A485">
        <v>10731</v>
      </c>
      <c r="B485" s="1" t="s">
        <v>145</v>
      </c>
      <c r="C485">
        <v>7</v>
      </c>
      <c r="D485" s="2">
        <v>35040</v>
      </c>
      <c r="E485" s="2">
        <v>35068</v>
      </c>
      <c r="F485" s="2">
        <v>35048</v>
      </c>
      <c r="G485">
        <v>1</v>
      </c>
      <c r="H485">
        <v>96.65</v>
      </c>
      <c r="I485" s="1" t="s">
        <v>146</v>
      </c>
      <c r="J485" s="1" t="s">
        <v>834</v>
      </c>
      <c r="K485" s="1" t="s">
        <v>149</v>
      </c>
      <c r="L485" s="1" t="s">
        <v>1195</v>
      </c>
      <c r="M485" s="1" t="s">
        <v>150</v>
      </c>
      <c r="N485" s="1" t="s">
        <v>151</v>
      </c>
      <c r="O485" s="1">
        <f>MONTH(orders[[#This Row],[OrderDate]])</f>
        <v>12</v>
      </c>
    </row>
    <row r="486" spans="1:15" x14ac:dyDescent="0.35">
      <c r="A486">
        <v>10732</v>
      </c>
      <c r="B486" s="1" t="s">
        <v>103</v>
      </c>
      <c r="C486">
        <v>3</v>
      </c>
      <c r="D486" s="2">
        <v>35040</v>
      </c>
      <c r="E486" s="2">
        <v>35068</v>
      </c>
      <c r="F486" s="2">
        <v>35041</v>
      </c>
      <c r="G486">
        <v>1</v>
      </c>
      <c r="H486">
        <v>16.97</v>
      </c>
      <c r="I486" s="1" t="s">
        <v>104</v>
      </c>
      <c r="J486" s="1" t="s">
        <v>106</v>
      </c>
      <c r="K486" s="1" t="s">
        <v>107</v>
      </c>
      <c r="L486" s="1" t="s">
        <v>1195</v>
      </c>
      <c r="M486" s="1" t="s">
        <v>108</v>
      </c>
      <c r="N486" s="1" t="s">
        <v>91</v>
      </c>
      <c r="O486" s="1">
        <f>MONTH(orders[[#This Row],[OrderDate]])</f>
        <v>12</v>
      </c>
    </row>
    <row r="487" spans="1:15" x14ac:dyDescent="0.35">
      <c r="A487">
        <v>10733</v>
      </c>
      <c r="B487" s="1" t="s">
        <v>66</v>
      </c>
      <c r="C487">
        <v>1</v>
      </c>
      <c r="D487" s="2">
        <v>35041</v>
      </c>
      <c r="E487" s="2">
        <v>35069</v>
      </c>
      <c r="F487" s="2">
        <v>35044</v>
      </c>
      <c r="G487">
        <v>3</v>
      </c>
      <c r="H487">
        <v>110.11</v>
      </c>
      <c r="I487" s="1" t="s">
        <v>67</v>
      </c>
      <c r="J487" s="1" t="s">
        <v>70</v>
      </c>
      <c r="K487" s="1" t="s">
        <v>71</v>
      </c>
      <c r="L487" s="1" t="s">
        <v>1195</v>
      </c>
      <c r="M487" s="1" t="s">
        <v>72</v>
      </c>
      <c r="N487" s="1" t="s">
        <v>73</v>
      </c>
      <c r="O487" s="1">
        <f>MONTH(orders[[#This Row],[OrderDate]])</f>
        <v>12</v>
      </c>
    </row>
    <row r="488" spans="1:15" x14ac:dyDescent="0.35">
      <c r="A488">
        <v>10734</v>
      </c>
      <c r="B488" s="1" t="s">
        <v>278</v>
      </c>
      <c r="C488">
        <v>2</v>
      </c>
      <c r="D488" s="2">
        <v>35041</v>
      </c>
      <c r="E488" s="2">
        <v>35069</v>
      </c>
      <c r="F488" s="2">
        <v>35046</v>
      </c>
      <c r="G488">
        <v>3</v>
      </c>
      <c r="H488">
        <v>1.63</v>
      </c>
      <c r="I488" s="1" t="s">
        <v>279</v>
      </c>
      <c r="J488" s="1" t="s">
        <v>281</v>
      </c>
      <c r="K488" s="1" t="s">
        <v>282</v>
      </c>
      <c r="L488" s="1" t="s">
        <v>159</v>
      </c>
      <c r="M488" s="1" t="s">
        <v>283</v>
      </c>
      <c r="N488" s="1" t="s">
        <v>161</v>
      </c>
      <c r="O488" s="1">
        <f>MONTH(orders[[#This Row],[OrderDate]])</f>
        <v>12</v>
      </c>
    </row>
    <row r="489" spans="1:15" x14ac:dyDescent="0.35">
      <c r="A489">
        <v>10735</v>
      </c>
      <c r="B489" s="1" t="s">
        <v>392</v>
      </c>
      <c r="C489">
        <v>6</v>
      </c>
      <c r="D489" s="2">
        <v>35044</v>
      </c>
      <c r="E489" s="2">
        <v>35072</v>
      </c>
      <c r="F489" s="2">
        <v>35055</v>
      </c>
      <c r="G489">
        <v>2</v>
      </c>
      <c r="H489">
        <v>45.97</v>
      </c>
      <c r="I489" s="1" t="s">
        <v>393</v>
      </c>
      <c r="J489" s="1" t="s">
        <v>1202</v>
      </c>
      <c r="K489" s="1" t="s">
        <v>395</v>
      </c>
      <c r="L489" s="1" t="s">
        <v>396</v>
      </c>
      <c r="M489" s="1" t="s">
        <v>397</v>
      </c>
      <c r="N489" s="1" t="s">
        <v>292</v>
      </c>
      <c r="O489" s="1">
        <f>MONTH(orders[[#This Row],[OrderDate]])</f>
        <v>12</v>
      </c>
    </row>
    <row r="490" spans="1:15" x14ac:dyDescent="0.35">
      <c r="A490">
        <v>10736</v>
      </c>
      <c r="B490" s="1" t="s">
        <v>329</v>
      </c>
      <c r="C490">
        <v>9</v>
      </c>
      <c r="D490" s="2">
        <v>35045</v>
      </c>
      <c r="E490" s="2">
        <v>35073</v>
      </c>
      <c r="F490" s="2">
        <v>35055</v>
      </c>
      <c r="G490">
        <v>2</v>
      </c>
      <c r="H490">
        <v>44.1</v>
      </c>
      <c r="I490" s="1" t="s">
        <v>330</v>
      </c>
      <c r="J490" s="1" t="s">
        <v>332</v>
      </c>
      <c r="K490" s="1" t="s">
        <v>333</v>
      </c>
      <c r="L490" s="1" t="s">
        <v>334</v>
      </c>
      <c r="M490" s="1" t="s">
        <v>1195</v>
      </c>
      <c r="N490" s="1" t="s">
        <v>335</v>
      </c>
      <c r="O490" s="1">
        <f>MONTH(orders[[#This Row],[OrderDate]])</f>
        <v>12</v>
      </c>
    </row>
    <row r="491" spans="1:15" x14ac:dyDescent="0.35">
      <c r="A491">
        <v>10737</v>
      </c>
      <c r="B491" s="1" t="s">
        <v>694</v>
      </c>
      <c r="C491">
        <v>2</v>
      </c>
      <c r="D491" s="2">
        <v>35045</v>
      </c>
      <c r="E491" s="2">
        <v>35073</v>
      </c>
      <c r="F491" s="2">
        <v>35052</v>
      </c>
      <c r="G491">
        <v>2</v>
      </c>
      <c r="H491">
        <v>7.79</v>
      </c>
      <c r="I491" s="1" t="s">
        <v>695</v>
      </c>
      <c r="J491" s="1" t="s">
        <v>697</v>
      </c>
      <c r="K491" s="1" t="s">
        <v>698</v>
      </c>
      <c r="L491" s="1" t="s">
        <v>1195</v>
      </c>
      <c r="M491" s="1" t="s">
        <v>699</v>
      </c>
      <c r="N491" s="1" t="s">
        <v>91</v>
      </c>
      <c r="O491" s="1">
        <f>MONTH(orders[[#This Row],[OrderDate]])</f>
        <v>12</v>
      </c>
    </row>
    <row r="492" spans="1:15" x14ac:dyDescent="0.35">
      <c r="A492">
        <v>10738</v>
      </c>
      <c r="B492" s="1" t="s">
        <v>612</v>
      </c>
      <c r="C492">
        <v>2</v>
      </c>
      <c r="D492" s="2">
        <v>35046</v>
      </c>
      <c r="E492" s="2">
        <v>35074</v>
      </c>
      <c r="F492" s="2">
        <v>35052</v>
      </c>
      <c r="G492">
        <v>1</v>
      </c>
      <c r="H492">
        <v>2.91</v>
      </c>
      <c r="I492" s="1" t="s">
        <v>613</v>
      </c>
      <c r="J492" s="1" t="s">
        <v>615</v>
      </c>
      <c r="K492" s="1" t="s">
        <v>490</v>
      </c>
      <c r="L492" s="1" t="s">
        <v>1195</v>
      </c>
      <c r="M492" s="1" t="s">
        <v>616</v>
      </c>
      <c r="N492" s="1" t="s">
        <v>91</v>
      </c>
      <c r="O492" s="1">
        <f>MONTH(orders[[#This Row],[OrderDate]])</f>
        <v>12</v>
      </c>
    </row>
    <row r="493" spans="1:15" x14ac:dyDescent="0.35">
      <c r="A493">
        <v>10739</v>
      </c>
      <c r="B493" s="1" t="s">
        <v>694</v>
      </c>
      <c r="C493">
        <v>3</v>
      </c>
      <c r="D493" s="2">
        <v>35046</v>
      </c>
      <c r="E493" s="2">
        <v>35074</v>
      </c>
      <c r="F493" s="2">
        <v>35051</v>
      </c>
      <c r="G493">
        <v>3</v>
      </c>
      <c r="H493">
        <v>11.08</v>
      </c>
      <c r="I493" s="1" t="s">
        <v>695</v>
      </c>
      <c r="J493" s="1" t="s">
        <v>697</v>
      </c>
      <c r="K493" s="1" t="s">
        <v>698</v>
      </c>
      <c r="L493" s="1" t="s">
        <v>1195</v>
      </c>
      <c r="M493" s="1" t="s">
        <v>699</v>
      </c>
      <c r="N493" s="1" t="s">
        <v>91</v>
      </c>
      <c r="O493" s="1">
        <f>MONTH(orders[[#This Row],[OrderDate]])</f>
        <v>12</v>
      </c>
    </row>
    <row r="494" spans="1:15" x14ac:dyDescent="0.35">
      <c r="A494">
        <v>10740</v>
      </c>
      <c r="B494" s="1" t="s">
        <v>725</v>
      </c>
      <c r="C494">
        <v>4</v>
      </c>
      <c r="D494" s="2">
        <v>35047</v>
      </c>
      <c r="E494" s="2">
        <v>35075</v>
      </c>
      <c r="F494" s="2">
        <v>35059</v>
      </c>
      <c r="G494">
        <v>2</v>
      </c>
      <c r="H494">
        <v>81.88</v>
      </c>
      <c r="I494" s="1" t="s">
        <v>726</v>
      </c>
      <c r="J494" s="1" t="s">
        <v>837</v>
      </c>
      <c r="K494" s="1" t="s">
        <v>728</v>
      </c>
      <c r="L494" s="1" t="s">
        <v>381</v>
      </c>
      <c r="M494" s="1" t="s">
        <v>838</v>
      </c>
      <c r="N494" s="1" t="s">
        <v>292</v>
      </c>
      <c r="O494" s="1">
        <f>MONTH(orders[[#This Row],[OrderDate]])</f>
        <v>12</v>
      </c>
    </row>
    <row r="495" spans="1:15" x14ac:dyDescent="0.35">
      <c r="A495">
        <v>10741</v>
      </c>
      <c r="B495" s="1" t="s">
        <v>57</v>
      </c>
      <c r="C495">
        <v>4</v>
      </c>
      <c r="D495" s="2">
        <v>35048</v>
      </c>
      <c r="E495" s="2">
        <v>35062</v>
      </c>
      <c r="F495" s="2">
        <v>35052</v>
      </c>
      <c r="G495">
        <v>3</v>
      </c>
      <c r="H495">
        <v>10.96</v>
      </c>
      <c r="I495" s="1" t="s">
        <v>58</v>
      </c>
      <c r="J495" s="1" t="s">
        <v>1210</v>
      </c>
      <c r="K495" s="1" t="s">
        <v>839</v>
      </c>
      <c r="L495" s="1" t="s">
        <v>840</v>
      </c>
      <c r="M495" s="1" t="s">
        <v>841</v>
      </c>
      <c r="N495" s="1" t="s">
        <v>63</v>
      </c>
      <c r="O495" s="1">
        <f>MONTH(orders[[#This Row],[OrderDate]])</f>
        <v>12</v>
      </c>
    </row>
    <row r="496" spans="1:15" x14ac:dyDescent="0.35">
      <c r="A496">
        <v>10742</v>
      </c>
      <c r="B496" s="1" t="s">
        <v>111</v>
      </c>
      <c r="C496">
        <v>3</v>
      </c>
      <c r="D496" s="2">
        <v>35048</v>
      </c>
      <c r="E496" s="2">
        <v>35076</v>
      </c>
      <c r="F496" s="2">
        <v>35052</v>
      </c>
      <c r="G496">
        <v>3</v>
      </c>
      <c r="H496">
        <v>243.73</v>
      </c>
      <c r="I496" s="1" t="s">
        <v>112</v>
      </c>
      <c r="J496" s="1" t="s">
        <v>115</v>
      </c>
      <c r="K496" s="1" t="s">
        <v>116</v>
      </c>
      <c r="L496" s="1" t="s">
        <v>117</v>
      </c>
      <c r="M496" s="1" t="s">
        <v>118</v>
      </c>
      <c r="N496" s="1" t="s">
        <v>119</v>
      </c>
      <c r="O496" s="1">
        <f>MONTH(orders[[#This Row],[OrderDate]])</f>
        <v>12</v>
      </c>
    </row>
    <row r="497" spans="1:15" x14ac:dyDescent="0.35">
      <c r="A497">
        <v>10743</v>
      </c>
      <c r="B497" s="1" t="s">
        <v>57</v>
      </c>
      <c r="C497">
        <v>1</v>
      </c>
      <c r="D497" s="2">
        <v>35051</v>
      </c>
      <c r="E497" s="2">
        <v>35079</v>
      </c>
      <c r="F497" s="2">
        <v>35055</v>
      </c>
      <c r="G497">
        <v>2</v>
      </c>
      <c r="H497">
        <v>23.72</v>
      </c>
      <c r="I497" s="1" t="s">
        <v>58</v>
      </c>
      <c r="J497" s="1" t="s">
        <v>1210</v>
      </c>
      <c r="K497" s="1" t="s">
        <v>839</v>
      </c>
      <c r="L497" s="1" t="s">
        <v>840</v>
      </c>
      <c r="M497" s="1" t="s">
        <v>841</v>
      </c>
      <c r="N497" s="1" t="s">
        <v>63</v>
      </c>
      <c r="O497" s="1">
        <f>MONTH(orders[[#This Row],[OrderDate]])</f>
        <v>12</v>
      </c>
    </row>
    <row r="498" spans="1:15" x14ac:dyDescent="0.35">
      <c r="A498">
        <v>10744</v>
      </c>
      <c r="B498" s="1" t="s">
        <v>678</v>
      </c>
      <c r="C498">
        <v>6</v>
      </c>
      <c r="D498" s="2">
        <v>35051</v>
      </c>
      <c r="E498" s="2">
        <v>35079</v>
      </c>
      <c r="F498" s="2">
        <v>35058</v>
      </c>
      <c r="G498">
        <v>1</v>
      </c>
      <c r="H498">
        <v>69.19</v>
      </c>
      <c r="I498" s="1" t="s">
        <v>679</v>
      </c>
      <c r="J498" s="1" t="s">
        <v>681</v>
      </c>
      <c r="K498" s="1" t="s">
        <v>682</v>
      </c>
      <c r="L498" s="1" t="s">
        <v>1195</v>
      </c>
      <c r="M498" s="1" t="s">
        <v>683</v>
      </c>
      <c r="N498" s="1" t="s">
        <v>609</v>
      </c>
      <c r="O498" s="1">
        <f>MONTH(orders[[#This Row],[OrderDate]])</f>
        <v>12</v>
      </c>
    </row>
    <row r="499" spans="1:15" x14ac:dyDescent="0.35">
      <c r="A499">
        <v>10745</v>
      </c>
      <c r="B499" s="1" t="s">
        <v>528</v>
      </c>
      <c r="C499">
        <v>9</v>
      </c>
      <c r="D499" s="2">
        <v>35052</v>
      </c>
      <c r="E499" s="2">
        <v>35080</v>
      </c>
      <c r="F499" s="2">
        <v>35061</v>
      </c>
      <c r="G499">
        <v>1</v>
      </c>
      <c r="H499">
        <v>3.52</v>
      </c>
      <c r="I499" s="1" t="s">
        <v>529</v>
      </c>
      <c r="J499" s="1" t="s">
        <v>531</v>
      </c>
      <c r="K499" s="1" t="s">
        <v>532</v>
      </c>
      <c r="L499" s="1" t="s">
        <v>1195</v>
      </c>
      <c r="M499" s="1" t="s">
        <v>533</v>
      </c>
      <c r="N499" s="1" t="s">
        <v>38</v>
      </c>
      <c r="O499" s="1">
        <f>MONTH(orders[[#This Row],[OrderDate]])</f>
        <v>12</v>
      </c>
    </row>
    <row r="500" spans="1:15" x14ac:dyDescent="0.35">
      <c r="A500">
        <v>10746</v>
      </c>
      <c r="B500" s="1" t="s">
        <v>145</v>
      </c>
      <c r="C500">
        <v>1</v>
      </c>
      <c r="D500" s="2">
        <v>35053</v>
      </c>
      <c r="E500" s="2">
        <v>35081</v>
      </c>
      <c r="F500" s="2">
        <v>35055</v>
      </c>
      <c r="G500">
        <v>3</v>
      </c>
      <c r="H500">
        <v>31.43</v>
      </c>
      <c r="I500" s="1" t="s">
        <v>146</v>
      </c>
      <c r="J500" s="1" t="s">
        <v>834</v>
      </c>
      <c r="K500" s="1" t="s">
        <v>149</v>
      </c>
      <c r="L500" s="1" t="s">
        <v>1195</v>
      </c>
      <c r="M500" s="1" t="s">
        <v>150</v>
      </c>
      <c r="N500" s="1" t="s">
        <v>151</v>
      </c>
      <c r="O500" s="1">
        <f>MONTH(orders[[#This Row],[OrderDate]])</f>
        <v>12</v>
      </c>
    </row>
    <row r="501" spans="1:15" x14ac:dyDescent="0.35">
      <c r="A501">
        <v>10747</v>
      </c>
      <c r="B501" s="1" t="s">
        <v>501</v>
      </c>
      <c r="C501">
        <v>6</v>
      </c>
      <c r="D501" s="2">
        <v>35053</v>
      </c>
      <c r="E501" s="2">
        <v>35081</v>
      </c>
      <c r="F501" s="2">
        <v>35060</v>
      </c>
      <c r="G501">
        <v>1</v>
      </c>
      <c r="H501">
        <v>117.33</v>
      </c>
      <c r="I501" s="1" t="s">
        <v>502</v>
      </c>
      <c r="J501" s="1" t="s">
        <v>504</v>
      </c>
      <c r="K501" s="1" t="s">
        <v>505</v>
      </c>
      <c r="L501" s="1" t="s">
        <v>1195</v>
      </c>
      <c r="M501" s="1" t="s">
        <v>506</v>
      </c>
      <c r="N501" s="1" t="s">
        <v>199</v>
      </c>
      <c r="O501" s="1">
        <f>MONTH(orders[[#This Row],[OrderDate]])</f>
        <v>12</v>
      </c>
    </row>
    <row r="502" spans="1:15" x14ac:dyDescent="0.35">
      <c r="A502">
        <v>10748</v>
      </c>
      <c r="B502" s="1" t="s">
        <v>588</v>
      </c>
      <c r="C502">
        <v>3</v>
      </c>
      <c r="D502" s="2">
        <v>35054</v>
      </c>
      <c r="E502" s="2">
        <v>35082</v>
      </c>
      <c r="F502" s="2">
        <v>35062</v>
      </c>
      <c r="G502">
        <v>1</v>
      </c>
      <c r="H502">
        <v>232.55</v>
      </c>
      <c r="I502" s="1" t="s">
        <v>589</v>
      </c>
      <c r="J502" s="1" t="s">
        <v>591</v>
      </c>
      <c r="K502" s="1" t="s">
        <v>592</v>
      </c>
      <c r="L502" s="1" t="s">
        <v>593</v>
      </c>
      <c r="M502" s="1" t="s">
        <v>594</v>
      </c>
      <c r="N502" s="1" t="s">
        <v>292</v>
      </c>
      <c r="O502" s="1">
        <f>MONTH(orders[[#This Row],[OrderDate]])</f>
        <v>12</v>
      </c>
    </row>
    <row r="503" spans="1:15" x14ac:dyDescent="0.35">
      <c r="A503">
        <v>10749</v>
      </c>
      <c r="B503" s="1" t="s">
        <v>338</v>
      </c>
      <c r="C503">
        <v>4</v>
      </c>
      <c r="D503" s="2">
        <v>35054</v>
      </c>
      <c r="E503" s="2">
        <v>35082</v>
      </c>
      <c r="F503" s="2">
        <v>35083</v>
      </c>
      <c r="G503">
        <v>2</v>
      </c>
      <c r="H503">
        <v>61.53</v>
      </c>
      <c r="I503" s="1" t="s">
        <v>339</v>
      </c>
      <c r="J503" s="1" t="s">
        <v>1200</v>
      </c>
      <c r="K503" s="1" t="s">
        <v>341</v>
      </c>
      <c r="L503" s="1" t="s">
        <v>342</v>
      </c>
      <c r="M503" s="1" t="s">
        <v>343</v>
      </c>
      <c r="N503" s="1" t="s">
        <v>63</v>
      </c>
      <c r="O503" s="1">
        <f>MONTH(orders[[#This Row],[OrderDate]])</f>
        <v>12</v>
      </c>
    </row>
    <row r="504" spans="1:15" x14ac:dyDescent="0.35">
      <c r="A504">
        <v>10750</v>
      </c>
      <c r="B504" s="1" t="s">
        <v>710</v>
      </c>
      <c r="C504">
        <v>9</v>
      </c>
      <c r="D504" s="2">
        <v>35055</v>
      </c>
      <c r="E504" s="2">
        <v>35083</v>
      </c>
      <c r="F504" s="2">
        <v>35058</v>
      </c>
      <c r="G504">
        <v>1</v>
      </c>
      <c r="H504">
        <v>79.3</v>
      </c>
      <c r="I504" s="1" t="s">
        <v>711</v>
      </c>
      <c r="J504" s="1" t="s">
        <v>713</v>
      </c>
      <c r="K504" s="1" t="s">
        <v>714</v>
      </c>
      <c r="L504" s="1" t="s">
        <v>1195</v>
      </c>
      <c r="M504" s="1" t="s">
        <v>715</v>
      </c>
      <c r="N504" s="1" t="s">
        <v>716</v>
      </c>
      <c r="O504" s="1">
        <f>MONTH(orders[[#This Row],[OrderDate]])</f>
        <v>12</v>
      </c>
    </row>
    <row r="505" spans="1:15" x14ac:dyDescent="0.35">
      <c r="A505">
        <v>10751</v>
      </c>
      <c r="B505" s="1" t="s">
        <v>565</v>
      </c>
      <c r="C505">
        <v>3</v>
      </c>
      <c r="D505" s="2">
        <v>35058</v>
      </c>
      <c r="E505" s="2">
        <v>35086</v>
      </c>
      <c r="F505" s="2">
        <v>35067</v>
      </c>
      <c r="G505">
        <v>3</v>
      </c>
      <c r="H505">
        <v>130.79</v>
      </c>
      <c r="I505" s="1" t="s">
        <v>566</v>
      </c>
      <c r="J505" s="1" t="s">
        <v>835</v>
      </c>
      <c r="K505" s="1" t="s">
        <v>569</v>
      </c>
      <c r="L505" s="1" t="s">
        <v>1195</v>
      </c>
      <c r="M505" s="1" t="s">
        <v>836</v>
      </c>
      <c r="N505" s="1" t="s">
        <v>151</v>
      </c>
      <c r="O505" s="1">
        <f>MONTH(orders[[#This Row],[OrderDate]])</f>
        <v>12</v>
      </c>
    </row>
    <row r="506" spans="1:15" x14ac:dyDescent="0.35">
      <c r="A506">
        <v>10752</v>
      </c>
      <c r="B506" s="1" t="s">
        <v>458</v>
      </c>
      <c r="C506">
        <v>2</v>
      </c>
      <c r="D506" s="2">
        <v>35058</v>
      </c>
      <c r="E506" s="2">
        <v>35086</v>
      </c>
      <c r="F506" s="2">
        <v>35062</v>
      </c>
      <c r="G506">
        <v>3</v>
      </c>
      <c r="H506">
        <v>1.39</v>
      </c>
      <c r="I506" s="1" t="s">
        <v>459</v>
      </c>
      <c r="J506" s="1" t="s">
        <v>1203</v>
      </c>
      <c r="K506" s="1" t="s">
        <v>61</v>
      </c>
      <c r="L506" s="1" t="s">
        <v>1195</v>
      </c>
      <c r="M506" s="1" t="s">
        <v>461</v>
      </c>
      <c r="N506" s="1" t="s">
        <v>63</v>
      </c>
      <c r="O506" s="1">
        <f>MONTH(orders[[#This Row],[OrderDate]])</f>
        <v>12</v>
      </c>
    </row>
    <row r="507" spans="1:15" x14ac:dyDescent="0.35">
      <c r="A507">
        <v>10753</v>
      </c>
      <c r="B507" s="1" t="s">
        <v>246</v>
      </c>
      <c r="C507">
        <v>3</v>
      </c>
      <c r="D507" s="2">
        <v>35059</v>
      </c>
      <c r="E507" s="2">
        <v>35087</v>
      </c>
      <c r="F507" s="2">
        <v>35061</v>
      </c>
      <c r="G507">
        <v>1</v>
      </c>
      <c r="H507">
        <v>7.7</v>
      </c>
      <c r="I507" s="1" t="s">
        <v>247</v>
      </c>
      <c r="J507" s="1" t="s">
        <v>249</v>
      </c>
      <c r="K507" s="1" t="s">
        <v>250</v>
      </c>
      <c r="L507" s="1" t="s">
        <v>1195</v>
      </c>
      <c r="M507" s="1" t="s">
        <v>251</v>
      </c>
      <c r="N507" s="1" t="s">
        <v>252</v>
      </c>
      <c r="O507" s="1">
        <f>MONTH(orders[[#This Row],[OrderDate]])</f>
        <v>12</v>
      </c>
    </row>
    <row r="508" spans="1:15" x14ac:dyDescent="0.35">
      <c r="A508">
        <v>10754</v>
      </c>
      <c r="B508" s="1" t="s">
        <v>425</v>
      </c>
      <c r="C508">
        <v>6</v>
      </c>
      <c r="D508" s="2">
        <v>35059</v>
      </c>
      <c r="E508" s="2">
        <v>35087</v>
      </c>
      <c r="F508" s="2">
        <v>35061</v>
      </c>
      <c r="G508">
        <v>3</v>
      </c>
      <c r="H508">
        <v>2.38</v>
      </c>
      <c r="I508" s="1" t="s">
        <v>426</v>
      </c>
      <c r="J508" s="1" t="s">
        <v>428</v>
      </c>
      <c r="K508" s="1" t="s">
        <v>429</v>
      </c>
      <c r="L508" s="1" t="s">
        <v>1195</v>
      </c>
      <c r="M508" s="1" t="s">
        <v>430</v>
      </c>
      <c r="N508" s="1" t="s">
        <v>252</v>
      </c>
      <c r="O508" s="1">
        <f>MONTH(orders[[#This Row],[OrderDate]])</f>
        <v>12</v>
      </c>
    </row>
    <row r="509" spans="1:15" x14ac:dyDescent="0.35">
      <c r="A509">
        <v>10755</v>
      </c>
      <c r="B509" s="1" t="s">
        <v>103</v>
      </c>
      <c r="C509">
        <v>4</v>
      </c>
      <c r="D509" s="2">
        <v>35060</v>
      </c>
      <c r="E509" s="2">
        <v>35088</v>
      </c>
      <c r="F509" s="2">
        <v>35062</v>
      </c>
      <c r="G509">
        <v>2</v>
      </c>
      <c r="H509">
        <v>16.71</v>
      </c>
      <c r="I509" s="1" t="s">
        <v>104</v>
      </c>
      <c r="J509" s="1" t="s">
        <v>106</v>
      </c>
      <c r="K509" s="1" t="s">
        <v>107</v>
      </c>
      <c r="L509" s="1" t="s">
        <v>1195</v>
      </c>
      <c r="M509" s="1" t="s">
        <v>108</v>
      </c>
      <c r="N509" s="1" t="s">
        <v>91</v>
      </c>
      <c r="O509" s="1">
        <f>MONTH(orders[[#This Row],[OrderDate]])</f>
        <v>12</v>
      </c>
    </row>
    <row r="510" spans="1:15" x14ac:dyDescent="0.35">
      <c r="A510">
        <v>10756</v>
      </c>
      <c r="B510" s="1" t="s">
        <v>619</v>
      </c>
      <c r="C510">
        <v>8</v>
      </c>
      <c r="D510" s="2">
        <v>35061</v>
      </c>
      <c r="E510" s="2">
        <v>35089</v>
      </c>
      <c r="F510" s="2">
        <v>35066</v>
      </c>
      <c r="G510">
        <v>2</v>
      </c>
      <c r="H510">
        <v>73.209999999999994</v>
      </c>
      <c r="I510" s="1" t="s">
        <v>620</v>
      </c>
      <c r="J510" s="1" t="s">
        <v>622</v>
      </c>
      <c r="K510" s="1" t="s">
        <v>623</v>
      </c>
      <c r="L510" s="1" t="s">
        <v>624</v>
      </c>
      <c r="M510" s="1" t="s">
        <v>625</v>
      </c>
      <c r="N510" s="1" t="s">
        <v>292</v>
      </c>
      <c r="O510" s="1">
        <f>MONTH(orders[[#This Row],[OrderDate]])</f>
        <v>12</v>
      </c>
    </row>
    <row r="511" spans="1:15" x14ac:dyDescent="0.35">
      <c r="A511">
        <v>10757</v>
      </c>
      <c r="B511" s="1" t="s">
        <v>588</v>
      </c>
      <c r="C511">
        <v>6</v>
      </c>
      <c r="D511" s="2">
        <v>35061</v>
      </c>
      <c r="E511" s="2">
        <v>35089</v>
      </c>
      <c r="F511" s="2">
        <v>35079</v>
      </c>
      <c r="G511">
        <v>1</v>
      </c>
      <c r="H511">
        <v>8.19</v>
      </c>
      <c r="I511" s="1" t="s">
        <v>589</v>
      </c>
      <c r="J511" s="1" t="s">
        <v>591</v>
      </c>
      <c r="K511" s="1" t="s">
        <v>592</v>
      </c>
      <c r="L511" s="1" t="s">
        <v>593</v>
      </c>
      <c r="M511" s="1" t="s">
        <v>594</v>
      </c>
      <c r="N511" s="1" t="s">
        <v>292</v>
      </c>
      <c r="O511" s="1">
        <f>MONTH(orders[[#This Row],[OrderDate]])</f>
        <v>12</v>
      </c>
    </row>
    <row r="512" spans="1:15" x14ac:dyDescent="0.35">
      <c r="A512">
        <v>10758</v>
      </c>
      <c r="B512" s="1" t="s">
        <v>565</v>
      </c>
      <c r="C512">
        <v>3</v>
      </c>
      <c r="D512" s="2">
        <v>35062</v>
      </c>
      <c r="E512" s="2">
        <v>35090</v>
      </c>
      <c r="F512" s="2">
        <v>35068</v>
      </c>
      <c r="G512">
        <v>3</v>
      </c>
      <c r="H512">
        <v>138.16999999999999</v>
      </c>
      <c r="I512" s="1" t="s">
        <v>566</v>
      </c>
      <c r="J512" s="1" t="s">
        <v>835</v>
      </c>
      <c r="K512" s="1" t="s">
        <v>569</v>
      </c>
      <c r="L512" s="1" t="s">
        <v>1195</v>
      </c>
      <c r="M512" s="1" t="s">
        <v>836</v>
      </c>
      <c r="N512" s="1" t="s">
        <v>151</v>
      </c>
      <c r="O512" s="1">
        <f>MONTH(orders[[#This Row],[OrderDate]])</f>
        <v>12</v>
      </c>
    </row>
    <row r="513" spans="1:15" x14ac:dyDescent="0.35">
      <c r="A513">
        <v>10759</v>
      </c>
      <c r="B513" s="1" t="s">
        <v>41</v>
      </c>
      <c r="C513">
        <v>3</v>
      </c>
      <c r="D513" s="2">
        <v>35062</v>
      </c>
      <c r="E513" s="2">
        <v>35090</v>
      </c>
      <c r="F513" s="2">
        <v>35076</v>
      </c>
      <c r="G513">
        <v>3</v>
      </c>
      <c r="H513">
        <v>11.99</v>
      </c>
      <c r="I513" s="1" t="s">
        <v>42</v>
      </c>
      <c r="J513" s="1" t="s">
        <v>45</v>
      </c>
      <c r="K513" s="1" t="s">
        <v>46</v>
      </c>
      <c r="L513" s="1" t="s">
        <v>1195</v>
      </c>
      <c r="M513" s="1" t="s">
        <v>47</v>
      </c>
      <c r="N513" s="1" t="s">
        <v>48</v>
      </c>
      <c r="O513" s="1">
        <f>MONTH(orders[[#This Row],[OrderDate]])</f>
        <v>12</v>
      </c>
    </row>
    <row r="514" spans="1:15" x14ac:dyDescent="0.35">
      <c r="A514">
        <v>10760</v>
      </c>
      <c r="B514" s="1" t="s">
        <v>433</v>
      </c>
      <c r="C514">
        <v>4</v>
      </c>
      <c r="D514" s="2">
        <v>35065</v>
      </c>
      <c r="E514" s="2">
        <v>35093</v>
      </c>
      <c r="F514" s="2">
        <v>35074</v>
      </c>
      <c r="G514">
        <v>1</v>
      </c>
      <c r="H514">
        <v>155.63999999999999</v>
      </c>
      <c r="I514" s="1" t="s">
        <v>434</v>
      </c>
      <c r="J514" s="1" t="s">
        <v>436</v>
      </c>
      <c r="K514" s="1" t="s">
        <v>437</v>
      </c>
      <c r="L514" s="1" t="s">
        <v>1195</v>
      </c>
      <c r="M514" s="1" t="s">
        <v>438</v>
      </c>
      <c r="N514" s="1" t="s">
        <v>439</v>
      </c>
      <c r="O514" s="1">
        <f>MONTH(orders[[#This Row],[OrderDate]])</f>
        <v>1</v>
      </c>
    </row>
    <row r="515" spans="1:15" x14ac:dyDescent="0.35">
      <c r="A515">
        <v>10761</v>
      </c>
      <c r="B515" s="1" t="s">
        <v>541</v>
      </c>
      <c r="C515">
        <v>5</v>
      </c>
      <c r="D515" s="2">
        <v>35066</v>
      </c>
      <c r="E515" s="2">
        <v>35094</v>
      </c>
      <c r="F515" s="2">
        <v>35072</v>
      </c>
      <c r="G515">
        <v>2</v>
      </c>
      <c r="H515">
        <v>18.66</v>
      </c>
      <c r="I515" s="1" t="s">
        <v>542</v>
      </c>
      <c r="J515" s="1" t="s">
        <v>545</v>
      </c>
      <c r="K515" s="1" t="s">
        <v>546</v>
      </c>
      <c r="L515" s="1" t="s">
        <v>547</v>
      </c>
      <c r="M515" s="1" t="s">
        <v>548</v>
      </c>
      <c r="N515" s="1" t="s">
        <v>292</v>
      </c>
      <c r="O515" s="1">
        <f>MONTH(orders[[#This Row],[OrderDate]])</f>
        <v>1</v>
      </c>
    </row>
    <row r="516" spans="1:15" x14ac:dyDescent="0.35">
      <c r="A516">
        <v>10762</v>
      </c>
      <c r="B516" s="1" t="s">
        <v>225</v>
      </c>
      <c r="C516">
        <v>3</v>
      </c>
      <c r="D516" s="2">
        <v>35066</v>
      </c>
      <c r="E516" s="2">
        <v>35094</v>
      </c>
      <c r="F516" s="2">
        <v>35073</v>
      </c>
      <c r="G516">
        <v>1</v>
      </c>
      <c r="H516">
        <v>328.74</v>
      </c>
      <c r="I516" s="1" t="s">
        <v>226</v>
      </c>
      <c r="J516" s="1" t="s">
        <v>228</v>
      </c>
      <c r="K516" s="1" t="s">
        <v>229</v>
      </c>
      <c r="L516" s="1" t="s">
        <v>1195</v>
      </c>
      <c r="M516" s="1" t="s">
        <v>230</v>
      </c>
      <c r="N516" s="1" t="s">
        <v>73</v>
      </c>
      <c r="O516" s="1">
        <f>MONTH(orders[[#This Row],[OrderDate]])</f>
        <v>1</v>
      </c>
    </row>
    <row r="517" spans="1:15" x14ac:dyDescent="0.35">
      <c r="A517">
        <v>10763</v>
      </c>
      <c r="B517" s="1" t="s">
        <v>216</v>
      </c>
      <c r="C517">
        <v>3</v>
      </c>
      <c r="D517" s="2">
        <v>35067</v>
      </c>
      <c r="E517" s="2">
        <v>35095</v>
      </c>
      <c r="F517" s="2">
        <v>35072</v>
      </c>
      <c r="G517">
        <v>3</v>
      </c>
      <c r="H517">
        <v>37.35</v>
      </c>
      <c r="I517" s="1" t="s">
        <v>217</v>
      </c>
      <c r="J517" s="1" t="s">
        <v>220</v>
      </c>
      <c r="K517" s="1" t="s">
        <v>221</v>
      </c>
      <c r="L517" s="1" t="s">
        <v>1195</v>
      </c>
      <c r="M517" s="1" t="s">
        <v>222</v>
      </c>
      <c r="N517" s="1" t="s">
        <v>91</v>
      </c>
      <c r="O517" s="1">
        <f>MONTH(orders[[#This Row],[OrderDate]])</f>
        <v>1</v>
      </c>
    </row>
    <row r="518" spans="1:15" x14ac:dyDescent="0.35">
      <c r="A518">
        <v>10764</v>
      </c>
      <c r="B518" s="1" t="s">
        <v>192</v>
      </c>
      <c r="C518">
        <v>6</v>
      </c>
      <c r="D518" s="2">
        <v>35067</v>
      </c>
      <c r="E518" s="2">
        <v>35095</v>
      </c>
      <c r="F518" s="2">
        <v>35072</v>
      </c>
      <c r="G518">
        <v>3</v>
      </c>
      <c r="H518">
        <v>145.44999999999999</v>
      </c>
      <c r="I518" s="1" t="s">
        <v>193</v>
      </c>
      <c r="J518" s="1" t="s">
        <v>196</v>
      </c>
      <c r="K518" s="1" t="s">
        <v>197</v>
      </c>
      <c r="L518" s="1" t="s">
        <v>1195</v>
      </c>
      <c r="M518" s="1" t="s">
        <v>198</v>
      </c>
      <c r="N518" s="1" t="s">
        <v>199</v>
      </c>
      <c r="O518" s="1">
        <f>MONTH(orders[[#This Row],[OrderDate]])</f>
        <v>1</v>
      </c>
    </row>
    <row r="519" spans="1:15" x14ac:dyDescent="0.35">
      <c r="A519">
        <v>10765</v>
      </c>
      <c r="B519" s="1" t="s">
        <v>528</v>
      </c>
      <c r="C519">
        <v>3</v>
      </c>
      <c r="D519" s="2">
        <v>35068</v>
      </c>
      <c r="E519" s="2">
        <v>35096</v>
      </c>
      <c r="F519" s="2">
        <v>35073</v>
      </c>
      <c r="G519">
        <v>3</v>
      </c>
      <c r="H519">
        <v>42.74</v>
      </c>
      <c r="I519" s="1" t="s">
        <v>529</v>
      </c>
      <c r="J519" s="1" t="s">
        <v>531</v>
      </c>
      <c r="K519" s="1" t="s">
        <v>532</v>
      </c>
      <c r="L519" s="1" t="s">
        <v>1195</v>
      </c>
      <c r="M519" s="1" t="s">
        <v>533</v>
      </c>
      <c r="N519" s="1" t="s">
        <v>38</v>
      </c>
      <c r="O519" s="1">
        <f>MONTH(orders[[#This Row],[OrderDate]])</f>
        <v>1</v>
      </c>
    </row>
    <row r="520" spans="1:15" x14ac:dyDescent="0.35">
      <c r="A520">
        <v>10766</v>
      </c>
      <c r="B520" s="1" t="s">
        <v>478</v>
      </c>
      <c r="C520">
        <v>4</v>
      </c>
      <c r="D520" s="2">
        <v>35069</v>
      </c>
      <c r="E520" s="2">
        <v>35097</v>
      </c>
      <c r="F520" s="2">
        <v>35073</v>
      </c>
      <c r="G520">
        <v>1</v>
      </c>
      <c r="H520">
        <v>157.55000000000001</v>
      </c>
      <c r="I520" s="1" t="s">
        <v>479</v>
      </c>
      <c r="J520" s="1" t="s">
        <v>481</v>
      </c>
      <c r="K520" s="1" t="s">
        <v>482</v>
      </c>
      <c r="L520" s="1" t="s">
        <v>1195</v>
      </c>
      <c r="M520" s="1" t="s">
        <v>483</v>
      </c>
      <c r="N520" s="1" t="s">
        <v>38</v>
      </c>
      <c r="O520" s="1">
        <f>MONTH(orders[[#This Row],[OrderDate]])</f>
        <v>1</v>
      </c>
    </row>
    <row r="521" spans="1:15" x14ac:dyDescent="0.35">
      <c r="A521">
        <v>10767</v>
      </c>
      <c r="B521" s="1" t="s">
        <v>628</v>
      </c>
      <c r="C521">
        <v>4</v>
      </c>
      <c r="D521" s="2">
        <v>35069</v>
      </c>
      <c r="E521" s="2">
        <v>35097</v>
      </c>
      <c r="F521" s="2">
        <v>35079</v>
      </c>
      <c r="G521">
        <v>3</v>
      </c>
      <c r="H521">
        <v>1.59</v>
      </c>
      <c r="I521" s="1" t="s">
        <v>629</v>
      </c>
      <c r="J521" s="1" t="s">
        <v>631</v>
      </c>
      <c r="K521" s="1" t="s">
        <v>632</v>
      </c>
      <c r="L521" s="1" t="s">
        <v>1195</v>
      </c>
      <c r="M521" s="1" t="s">
        <v>633</v>
      </c>
      <c r="N521" s="1" t="s">
        <v>439</v>
      </c>
      <c r="O521" s="1">
        <f>MONTH(orders[[#This Row],[OrderDate]])</f>
        <v>1</v>
      </c>
    </row>
    <row r="522" spans="1:15" x14ac:dyDescent="0.35">
      <c r="A522">
        <v>10768</v>
      </c>
      <c r="B522" s="1" t="s">
        <v>57</v>
      </c>
      <c r="C522">
        <v>3</v>
      </c>
      <c r="D522" s="2">
        <v>35072</v>
      </c>
      <c r="E522" s="2">
        <v>35100</v>
      </c>
      <c r="F522" s="2">
        <v>35079</v>
      </c>
      <c r="G522">
        <v>2</v>
      </c>
      <c r="H522">
        <v>146.32</v>
      </c>
      <c r="I522" s="1" t="s">
        <v>58</v>
      </c>
      <c r="J522" s="1" t="s">
        <v>1210</v>
      </c>
      <c r="K522" s="1" t="s">
        <v>839</v>
      </c>
      <c r="L522" s="1" t="s">
        <v>840</v>
      </c>
      <c r="M522" s="1" t="s">
        <v>841</v>
      </c>
      <c r="N522" s="1" t="s">
        <v>63</v>
      </c>
      <c r="O522" s="1">
        <f>MONTH(orders[[#This Row],[OrderDate]])</f>
        <v>1</v>
      </c>
    </row>
    <row r="523" spans="1:15" x14ac:dyDescent="0.35">
      <c r="A523">
        <v>10769</v>
      </c>
      <c r="B523" s="1" t="s">
        <v>678</v>
      </c>
      <c r="C523">
        <v>3</v>
      </c>
      <c r="D523" s="2">
        <v>35072</v>
      </c>
      <c r="E523" s="2">
        <v>35100</v>
      </c>
      <c r="F523" s="2">
        <v>35076</v>
      </c>
      <c r="G523">
        <v>1</v>
      </c>
      <c r="H523">
        <v>65.06</v>
      </c>
      <c r="I523" s="1" t="s">
        <v>679</v>
      </c>
      <c r="J523" s="1" t="s">
        <v>681</v>
      </c>
      <c r="K523" s="1" t="s">
        <v>682</v>
      </c>
      <c r="L523" s="1" t="s">
        <v>1195</v>
      </c>
      <c r="M523" s="1" t="s">
        <v>683</v>
      </c>
      <c r="N523" s="1" t="s">
        <v>609</v>
      </c>
      <c r="O523" s="1">
        <f>MONTH(orders[[#This Row],[OrderDate]])</f>
        <v>1</v>
      </c>
    </row>
    <row r="524" spans="1:15" x14ac:dyDescent="0.35">
      <c r="A524">
        <v>10770</v>
      </c>
      <c r="B524" s="1" t="s">
        <v>304</v>
      </c>
      <c r="C524">
        <v>8</v>
      </c>
      <c r="D524" s="2">
        <v>35073</v>
      </c>
      <c r="E524" s="2">
        <v>35101</v>
      </c>
      <c r="F524" s="2">
        <v>35081</v>
      </c>
      <c r="G524">
        <v>3</v>
      </c>
      <c r="H524">
        <v>5.32</v>
      </c>
      <c r="I524" s="1" t="s">
        <v>305</v>
      </c>
      <c r="J524" s="1" t="s">
        <v>307</v>
      </c>
      <c r="K524" s="1" t="s">
        <v>308</v>
      </c>
      <c r="L524" s="1" t="s">
        <v>309</v>
      </c>
      <c r="M524" s="1" t="s">
        <v>310</v>
      </c>
      <c r="N524" s="1" t="s">
        <v>161</v>
      </c>
      <c r="O524" s="1">
        <f>MONTH(orders[[#This Row],[OrderDate]])</f>
        <v>1</v>
      </c>
    </row>
    <row r="525" spans="1:15" x14ac:dyDescent="0.35">
      <c r="A525">
        <v>10771</v>
      </c>
      <c r="B525" s="1" t="s">
        <v>192</v>
      </c>
      <c r="C525">
        <v>9</v>
      </c>
      <c r="D525" s="2">
        <v>35074</v>
      </c>
      <c r="E525" s="2">
        <v>35102</v>
      </c>
      <c r="F525" s="2">
        <v>35097</v>
      </c>
      <c r="G525">
        <v>2</v>
      </c>
      <c r="H525">
        <v>11.19</v>
      </c>
      <c r="I525" s="1" t="s">
        <v>193</v>
      </c>
      <c r="J525" s="1" t="s">
        <v>196</v>
      </c>
      <c r="K525" s="1" t="s">
        <v>197</v>
      </c>
      <c r="L525" s="1" t="s">
        <v>1195</v>
      </c>
      <c r="M525" s="1" t="s">
        <v>198</v>
      </c>
      <c r="N525" s="1" t="s">
        <v>199</v>
      </c>
      <c r="O525" s="1">
        <f>MONTH(orders[[#This Row],[OrderDate]])</f>
        <v>1</v>
      </c>
    </row>
    <row r="526" spans="1:15" x14ac:dyDescent="0.35">
      <c r="A526">
        <v>10772</v>
      </c>
      <c r="B526" s="1" t="s">
        <v>385</v>
      </c>
      <c r="C526">
        <v>3</v>
      </c>
      <c r="D526" s="2">
        <v>35074</v>
      </c>
      <c r="E526" s="2">
        <v>35102</v>
      </c>
      <c r="F526" s="2">
        <v>35083</v>
      </c>
      <c r="G526">
        <v>2</v>
      </c>
      <c r="H526">
        <v>91.28</v>
      </c>
      <c r="I526" s="1" t="s">
        <v>386</v>
      </c>
      <c r="J526" s="1" t="s">
        <v>388</v>
      </c>
      <c r="K526" s="1" t="s">
        <v>1201</v>
      </c>
      <c r="L526" s="1" t="s">
        <v>1195</v>
      </c>
      <c r="M526" s="1" t="s">
        <v>389</v>
      </c>
      <c r="N526" s="1" t="s">
        <v>38</v>
      </c>
      <c r="O526" s="1">
        <f>MONTH(orders[[#This Row],[OrderDate]])</f>
        <v>1</v>
      </c>
    </row>
    <row r="527" spans="1:15" x14ac:dyDescent="0.35">
      <c r="A527">
        <v>10773</v>
      </c>
      <c r="B527" s="1" t="s">
        <v>192</v>
      </c>
      <c r="C527">
        <v>1</v>
      </c>
      <c r="D527" s="2">
        <v>35075</v>
      </c>
      <c r="E527" s="2">
        <v>35103</v>
      </c>
      <c r="F527" s="2">
        <v>35080</v>
      </c>
      <c r="G527">
        <v>3</v>
      </c>
      <c r="H527">
        <v>96.43</v>
      </c>
      <c r="I527" s="1" t="s">
        <v>193</v>
      </c>
      <c r="J527" s="1" t="s">
        <v>196</v>
      </c>
      <c r="K527" s="1" t="s">
        <v>197</v>
      </c>
      <c r="L527" s="1" t="s">
        <v>1195</v>
      </c>
      <c r="M527" s="1" t="s">
        <v>198</v>
      </c>
      <c r="N527" s="1" t="s">
        <v>199</v>
      </c>
      <c r="O527" s="1">
        <f>MONTH(orders[[#This Row],[OrderDate]])</f>
        <v>1</v>
      </c>
    </row>
    <row r="528" spans="1:15" x14ac:dyDescent="0.35">
      <c r="A528">
        <v>10774</v>
      </c>
      <c r="B528" s="1" t="s">
        <v>225</v>
      </c>
      <c r="C528">
        <v>4</v>
      </c>
      <c r="D528" s="2">
        <v>35075</v>
      </c>
      <c r="E528" s="2">
        <v>35089</v>
      </c>
      <c r="F528" s="2">
        <v>35076</v>
      </c>
      <c r="G528">
        <v>1</v>
      </c>
      <c r="H528">
        <v>48.2</v>
      </c>
      <c r="I528" s="1" t="s">
        <v>226</v>
      </c>
      <c r="J528" s="1" t="s">
        <v>228</v>
      </c>
      <c r="K528" s="1" t="s">
        <v>229</v>
      </c>
      <c r="L528" s="1" t="s">
        <v>1195</v>
      </c>
      <c r="M528" s="1" t="s">
        <v>230</v>
      </c>
      <c r="N528" s="1" t="s">
        <v>73</v>
      </c>
      <c r="O528" s="1">
        <f>MONTH(orders[[#This Row],[OrderDate]])</f>
        <v>1</v>
      </c>
    </row>
    <row r="529" spans="1:15" x14ac:dyDescent="0.35">
      <c r="A529">
        <v>10775</v>
      </c>
      <c r="B529" s="1" t="s">
        <v>641</v>
      </c>
      <c r="C529">
        <v>7</v>
      </c>
      <c r="D529" s="2">
        <v>35076</v>
      </c>
      <c r="E529" s="2">
        <v>35104</v>
      </c>
      <c r="F529" s="2">
        <v>35090</v>
      </c>
      <c r="G529">
        <v>1</v>
      </c>
      <c r="H529">
        <v>20.25</v>
      </c>
      <c r="I529" s="1" t="s">
        <v>642</v>
      </c>
      <c r="J529" s="1" t="s">
        <v>644</v>
      </c>
      <c r="K529" s="1" t="s">
        <v>645</v>
      </c>
      <c r="L529" s="1" t="s">
        <v>646</v>
      </c>
      <c r="M529" s="1" t="s">
        <v>647</v>
      </c>
      <c r="N529" s="1" t="s">
        <v>292</v>
      </c>
      <c r="O529" s="1">
        <f>MONTH(orders[[#This Row],[OrderDate]])</f>
        <v>1</v>
      </c>
    </row>
    <row r="530" spans="1:15" x14ac:dyDescent="0.35">
      <c r="A530">
        <v>10776</v>
      </c>
      <c r="B530" s="1" t="s">
        <v>192</v>
      </c>
      <c r="C530">
        <v>1</v>
      </c>
      <c r="D530" s="2">
        <v>35079</v>
      </c>
      <c r="E530" s="2">
        <v>35107</v>
      </c>
      <c r="F530" s="2">
        <v>35082</v>
      </c>
      <c r="G530">
        <v>3</v>
      </c>
      <c r="H530">
        <v>351.53</v>
      </c>
      <c r="I530" s="1" t="s">
        <v>193</v>
      </c>
      <c r="J530" s="1" t="s">
        <v>196</v>
      </c>
      <c r="K530" s="1" t="s">
        <v>197</v>
      </c>
      <c r="L530" s="1" t="s">
        <v>1195</v>
      </c>
      <c r="M530" s="1" t="s">
        <v>198</v>
      </c>
      <c r="N530" s="1" t="s">
        <v>199</v>
      </c>
      <c r="O530" s="1">
        <f>MONTH(orders[[#This Row],[OrderDate]])</f>
        <v>1</v>
      </c>
    </row>
    <row r="531" spans="1:15" x14ac:dyDescent="0.35">
      <c r="A531">
        <v>10777</v>
      </c>
      <c r="B531" s="1" t="s">
        <v>278</v>
      </c>
      <c r="C531">
        <v>7</v>
      </c>
      <c r="D531" s="2">
        <v>35079</v>
      </c>
      <c r="E531" s="2">
        <v>35093</v>
      </c>
      <c r="F531" s="2">
        <v>35116</v>
      </c>
      <c r="G531">
        <v>2</v>
      </c>
      <c r="H531">
        <v>3.01</v>
      </c>
      <c r="I531" s="1" t="s">
        <v>279</v>
      </c>
      <c r="J531" s="1" t="s">
        <v>281</v>
      </c>
      <c r="K531" s="1" t="s">
        <v>282</v>
      </c>
      <c r="L531" s="1" t="s">
        <v>159</v>
      </c>
      <c r="M531" s="1" t="s">
        <v>283</v>
      </c>
      <c r="N531" s="1" t="s">
        <v>161</v>
      </c>
      <c r="O531" s="1">
        <f>MONTH(orders[[#This Row],[OrderDate]])</f>
        <v>1</v>
      </c>
    </row>
    <row r="532" spans="1:15" x14ac:dyDescent="0.35">
      <c r="A532">
        <v>10778</v>
      </c>
      <c r="B532" s="1" t="s">
        <v>66</v>
      </c>
      <c r="C532">
        <v>3</v>
      </c>
      <c r="D532" s="2">
        <v>35080</v>
      </c>
      <c r="E532" s="2">
        <v>35108</v>
      </c>
      <c r="F532" s="2">
        <v>35088</v>
      </c>
      <c r="G532">
        <v>1</v>
      </c>
      <c r="H532">
        <v>6.79</v>
      </c>
      <c r="I532" s="1" t="s">
        <v>67</v>
      </c>
      <c r="J532" s="1" t="s">
        <v>70</v>
      </c>
      <c r="K532" s="1" t="s">
        <v>71</v>
      </c>
      <c r="L532" s="1" t="s">
        <v>1195</v>
      </c>
      <c r="M532" s="1" t="s">
        <v>72</v>
      </c>
      <c r="N532" s="1" t="s">
        <v>73</v>
      </c>
      <c r="O532" s="1">
        <f>MONTH(orders[[#This Row],[OrderDate]])</f>
        <v>1</v>
      </c>
    </row>
    <row r="533" spans="1:15" x14ac:dyDescent="0.35">
      <c r="A533">
        <v>10779</v>
      </c>
      <c r="B533" s="1" t="s">
        <v>451</v>
      </c>
      <c r="C533">
        <v>3</v>
      </c>
      <c r="D533" s="2">
        <v>35080</v>
      </c>
      <c r="E533" s="2">
        <v>35108</v>
      </c>
      <c r="F533" s="2">
        <v>35109</v>
      </c>
      <c r="G533">
        <v>2</v>
      </c>
      <c r="H533">
        <v>58.13</v>
      </c>
      <c r="I533" s="1" t="s">
        <v>452</v>
      </c>
      <c r="J533" s="1" t="s">
        <v>454</v>
      </c>
      <c r="K533" s="1" t="s">
        <v>455</v>
      </c>
      <c r="L533" s="1" t="s">
        <v>1195</v>
      </c>
      <c r="M533" s="1" t="s">
        <v>456</v>
      </c>
      <c r="N533" s="1" t="s">
        <v>38</v>
      </c>
      <c r="O533" s="1">
        <f>MONTH(orders[[#This Row],[OrderDate]])</f>
        <v>1</v>
      </c>
    </row>
    <row r="534" spans="1:15" x14ac:dyDescent="0.35">
      <c r="A534">
        <v>10780</v>
      </c>
      <c r="B534" s="1" t="s">
        <v>399</v>
      </c>
      <c r="C534">
        <v>2</v>
      </c>
      <c r="D534" s="2">
        <v>35080</v>
      </c>
      <c r="E534" s="2">
        <v>35094</v>
      </c>
      <c r="F534" s="2">
        <v>35089</v>
      </c>
      <c r="G534">
        <v>1</v>
      </c>
      <c r="H534">
        <v>42.13</v>
      </c>
      <c r="I534" s="1" t="s">
        <v>400</v>
      </c>
      <c r="J534" s="1" t="s">
        <v>402</v>
      </c>
      <c r="K534" s="1" t="s">
        <v>403</v>
      </c>
      <c r="L534" s="1" t="s">
        <v>404</v>
      </c>
      <c r="M534" s="1" t="s">
        <v>405</v>
      </c>
      <c r="N534" s="1" t="s">
        <v>301</v>
      </c>
      <c r="O534" s="1">
        <f>MONTH(orders[[#This Row],[OrderDate]])</f>
        <v>1</v>
      </c>
    </row>
    <row r="535" spans="1:15" x14ac:dyDescent="0.35">
      <c r="A535">
        <v>10781</v>
      </c>
      <c r="B535" s="1" t="s">
        <v>710</v>
      </c>
      <c r="C535">
        <v>2</v>
      </c>
      <c r="D535" s="2">
        <v>35081</v>
      </c>
      <c r="E535" s="2">
        <v>35109</v>
      </c>
      <c r="F535" s="2">
        <v>35083</v>
      </c>
      <c r="G535">
        <v>3</v>
      </c>
      <c r="H535">
        <v>73.16</v>
      </c>
      <c r="I535" s="1" t="s">
        <v>711</v>
      </c>
      <c r="J535" s="1" t="s">
        <v>713</v>
      </c>
      <c r="K535" s="1" t="s">
        <v>714</v>
      </c>
      <c r="L535" s="1" t="s">
        <v>1195</v>
      </c>
      <c r="M535" s="1" t="s">
        <v>715</v>
      </c>
      <c r="N535" s="1" t="s">
        <v>716</v>
      </c>
      <c r="O535" s="1">
        <f>MONTH(orders[[#This Row],[OrderDate]])</f>
        <v>1</v>
      </c>
    </row>
    <row r="536" spans="1:15" x14ac:dyDescent="0.35">
      <c r="A536">
        <v>10782</v>
      </c>
      <c r="B536" s="1" t="s">
        <v>128</v>
      </c>
      <c r="C536">
        <v>9</v>
      </c>
      <c r="D536" s="2">
        <v>35081</v>
      </c>
      <c r="E536" s="2">
        <v>35109</v>
      </c>
      <c r="F536" s="2">
        <v>35086</v>
      </c>
      <c r="G536">
        <v>3</v>
      </c>
      <c r="H536">
        <v>1.1000000000000001</v>
      </c>
      <c r="I536" s="1" t="s">
        <v>129</v>
      </c>
      <c r="J536" s="1" t="s">
        <v>132</v>
      </c>
      <c r="K536" s="1" t="s">
        <v>133</v>
      </c>
      <c r="L536" s="1" t="s">
        <v>1195</v>
      </c>
      <c r="M536" s="1" t="s">
        <v>134</v>
      </c>
      <c r="N536" s="1" t="s">
        <v>135</v>
      </c>
      <c r="O536" s="1">
        <f>MONTH(orders[[#This Row],[OrderDate]])</f>
        <v>1</v>
      </c>
    </row>
    <row r="537" spans="1:15" x14ac:dyDescent="0.35">
      <c r="A537">
        <v>10783</v>
      </c>
      <c r="B537" s="1" t="s">
        <v>304</v>
      </c>
      <c r="C537">
        <v>4</v>
      </c>
      <c r="D537" s="2">
        <v>35082</v>
      </c>
      <c r="E537" s="2">
        <v>35110</v>
      </c>
      <c r="F537" s="2">
        <v>35083</v>
      </c>
      <c r="G537">
        <v>2</v>
      </c>
      <c r="H537">
        <v>124.98</v>
      </c>
      <c r="I537" s="1" t="s">
        <v>305</v>
      </c>
      <c r="J537" s="1" t="s">
        <v>307</v>
      </c>
      <c r="K537" s="1" t="s">
        <v>308</v>
      </c>
      <c r="L537" s="1" t="s">
        <v>309</v>
      </c>
      <c r="M537" s="1" t="s">
        <v>310</v>
      </c>
      <c r="N537" s="1" t="s">
        <v>161</v>
      </c>
      <c r="O537" s="1">
        <f>MONTH(orders[[#This Row],[OrderDate]])</f>
        <v>1</v>
      </c>
    </row>
    <row r="538" spans="1:15" x14ac:dyDescent="0.35">
      <c r="A538">
        <v>10784</v>
      </c>
      <c r="B538" s="1" t="s">
        <v>425</v>
      </c>
      <c r="C538">
        <v>4</v>
      </c>
      <c r="D538" s="2">
        <v>35082</v>
      </c>
      <c r="E538" s="2">
        <v>35110</v>
      </c>
      <c r="F538" s="2">
        <v>35086</v>
      </c>
      <c r="G538">
        <v>3</v>
      </c>
      <c r="H538">
        <v>70.09</v>
      </c>
      <c r="I538" s="1" t="s">
        <v>426</v>
      </c>
      <c r="J538" s="1" t="s">
        <v>428</v>
      </c>
      <c r="K538" s="1" t="s">
        <v>429</v>
      </c>
      <c r="L538" s="1" t="s">
        <v>1195</v>
      </c>
      <c r="M538" s="1" t="s">
        <v>430</v>
      </c>
      <c r="N538" s="1" t="s">
        <v>252</v>
      </c>
      <c r="O538" s="1">
        <f>MONTH(orders[[#This Row],[OrderDate]])</f>
        <v>1</v>
      </c>
    </row>
    <row r="539" spans="1:15" x14ac:dyDescent="0.35">
      <c r="A539">
        <v>10785</v>
      </c>
      <c r="B539" s="1" t="s">
        <v>294</v>
      </c>
      <c r="C539">
        <v>1</v>
      </c>
      <c r="D539" s="2">
        <v>35082</v>
      </c>
      <c r="E539" s="2">
        <v>35110</v>
      </c>
      <c r="F539" s="2">
        <v>35088</v>
      </c>
      <c r="G539">
        <v>3</v>
      </c>
      <c r="H539">
        <v>1.51</v>
      </c>
      <c r="I539" s="1" t="s">
        <v>295</v>
      </c>
      <c r="J539" s="1" t="s">
        <v>297</v>
      </c>
      <c r="K539" s="1" t="s">
        <v>298</v>
      </c>
      <c r="L539" s="1" t="s">
        <v>299</v>
      </c>
      <c r="M539" s="1" t="s">
        <v>300</v>
      </c>
      <c r="N539" s="1" t="s">
        <v>301</v>
      </c>
      <c r="O539" s="1">
        <f>MONTH(orders[[#This Row],[OrderDate]])</f>
        <v>1</v>
      </c>
    </row>
    <row r="540" spans="1:15" x14ac:dyDescent="0.35">
      <c r="A540">
        <v>10786</v>
      </c>
      <c r="B540" s="1" t="s">
        <v>522</v>
      </c>
      <c r="C540">
        <v>8</v>
      </c>
      <c r="D540" s="2">
        <v>35083</v>
      </c>
      <c r="E540" s="2">
        <v>35111</v>
      </c>
      <c r="F540" s="2">
        <v>35087</v>
      </c>
      <c r="G540">
        <v>1</v>
      </c>
      <c r="H540">
        <v>110.87</v>
      </c>
      <c r="I540" s="1" t="s">
        <v>523</v>
      </c>
      <c r="J540" s="1" t="s">
        <v>525</v>
      </c>
      <c r="K540" s="1" t="s">
        <v>158</v>
      </c>
      <c r="L540" s="1" t="s">
        <v>159</v>
      </c>
      <c r="M540" s="1" t="s">
        <v>526</v>
      </c>
      <c r="N540" s="1" t="s">
        <v>161</v>
      </c>
      <c r="O540" s="1">
        <f>MONTH(orders[[#This Row],[OrderDate]])</f>
        <v>1</v>
      </c>
    </row>
    <row r="541" spans="1:15" x14ac:dyDescent="0.35">
      <c r="A541">
        <v>10787</v>
      </c>
      <c r="B541" s="1" t="s">
        <v>360</v>
      </c>
      <c r="C541">
        <v>2</v>
      </c>
      <c r="D541" s="2">
        <v>35083</v>
      </c>
      <c r="E541" s="2">
        <v>35097</v>
      </c>
      <c r="F541" s="2">
        <v>35090</v>
      </c>
      <c r="G541">
        <v>1</v>
      </c>
      <c r="H541">
        <v>249.93</v>
      </c>
      <c r="I541" s="1" t="s">
        <v>361</v>
      </c>
      <c r="J541" s="1" t="s">
        <v>363</v>
      </c>
      <c r="K541" s="1" t="s">
        <v>364</v>
      </c>
      <c r="L541" s="1" t="s">
        <v>1195</v>
      </c>
      <c r="M541" s="1" t="s">
        <v>365</v>
      </c>
      <c r="N541" s="1" t="s">
        <v>91</v>
      </c>
      <c r="O541" s="1">
        <f>MONTH(orders[[#This Row],[OrderDate]])</f>
        <v>1</v>
      </c>
    </row>
    <row r="542" spans="1:15" x14ac:dyDescent="0.35">
      <c r="A542">
        <v>10788</v>
      </c>
      <c r="B542" s="1" t="s">
        <v>528</v>
      </c>
      <c r="C542">
        <v>1</v>
      </c>
      <c r="D542" s="2">
        <v>35086</v>
      </c>
      <c r="E542" s="2">
        <v>35114</v>
      </c>
      <c r="F542" s="2">
        <v>35114</v>
      </c>
      <c r="G542">
        <v>2</v>
      </c>
      <c r="H542">
        <v>42.7</v>
      </c>
      <c r="I542" s="1" t="s">
        <v>529</v>
      </c>
      <c r="J542" s="1" t="s">
        <v>531</v>
      </c>
      <c r="K542" s="1" t="s">
        <v>532</v>
      </c>
      <c r="L542" s="1" t="s">
        <v>1195</v>
      </c>
      <c r="M542" s="1" t="s">
        <v>533</v>
      </c>
      <c r="N542" s="1" t="s">
        <v>38</v>
      </c>
      <c r="O542" s="1">
        <f>MONTH(orders[[#This Row],[OrderDate]])</f>
        <v>1</v>
      </c>
    </row>
    <row r="543" spans="1:15" x14ac:dyDescent="0.35">
      <c r="A543">
        <v>10789</v>
      </c>
      <c r="B543" s="1" t="s">
        <v>216</v>
      </c>
      <c r="C543">
        <v>1</v>
      </c>
      <c r="D543" s="2">
        <v>35086</v>
      </c>
      <c r="E543" s="2">
        <v>35114</v>
      </c>
      <c r="F543" s="2">
        <v>35095</v>
      </c>
      <c r="G543">
        <v>2</v>
      </c>
      <c r="H543">
        <v>100.6</v>
      </c>
      <c r="I543" s="1" t="s">
        <v>217</v>
      </c>
      <c r="J543" s="1" t="s">
        <v>220</v>
      </c>
      <c r="K543" s="1" t="s">
        <v>221</v>
      </c>
      <c r="L543" s="1" t="s">
        <v>1195</v>
      </c>
      <c r="M543" s="1" t="s">
        <v>222</v>
      </c>
      <c r="N543" s="1" t="s">
        <v>91</v>
      </c>
      <c r="O543" s="1">
        <f>MONTH(orders[[#This Row],[OrderDate]])</f>
        <v>1</v>
      </c>
    </row>
    <row r="544" spans="1:15" x14ac:dyDescent="0.35">
      <c r="A544">
        <v>10790</v>
      </c>
      <c r="B544" s="1" t="s">
        <v>278</v>
      </c>
      <c r="C544">
        <v>6</v>
      </c>
      <c r="D544" s="2">
        <v>35086</v>
      </c>
      <c r="E544" s="2">
        <v>35114</v>
      </c>
      <c r="F544" s="2">
        <v>35090</v>
      </c>
      <c r="G544">
        <v>1</v>
      </c>
      <c r="H544">
        <v>28.23</v>
      </c>
      <c r="I544" s="1" t="s">
        <v>279</v>
      </c>
      <c r="J544" s="1" t="s">
        <v>281</v>
      </c>
      <c r="K544" s="1" t="s">
        <v>282</v>
      </c>
      <c r="L544" s="1" t="s">
        <v>159</v>
      </c>
      <c r="M544" s="1" t="s">
        <v>283</v>
      </c>
      <c r="N544" s="1" t="s">
        <v>161</v>
      </c>
      <c r="O544" s="1">
        <f>MONTH(orders[[#This Row],[OrderDate]])</f>
        <v>1</v>
      </c>
    </row>
    <row r="545" spans="1:15" x14ac:dyDescent="0.35">
      <c r="A545">
        <v>10791</v>
      </c>
      <c r="B545" s="1" t="s">
        <v>232</v>
      </c>
      <c r="C545">
        <v>6</v>
      </c>
      <c r="D545" s="2">
        <v>35087</v>
      </c>
      <c r="E545" s="2">
        <v>35115</v>
      </c>
      <c r="F545" s="2">
        <v>35096</v>
      </c>
      <c r="G545">
        <v>2</v>
      </c>
      <c r="H545">
        <v>16.850000000000001</v>
      </c>
      <c r="I545" s="1" t="s">
        <v>233</v>
      </c>
      <c r="J545" s="1" t="s">
        <v>235</v>
      </c>
      <c r="K545" s="1" t="s">
        <v>236</v>
      </c>
      <c r="L545" s="1" t="s">
        <v>1195</v>
      </c>
      <c r="M545" s="1" t="s">
        <v>237</v>
      </c>
      <c r="N545" s="1" t="s">
        <v>38</v>
      </c>
      <c r="O545" s="1">
        <f>MONTH(orders[[#This Row],[OrderDate]])</f>
        <v>1</v>
      </c>
    </row>
    <row r="546" spans="1:15" x14ac:dyDescent="0.35">
      <c r="A546">
        <v>10792</v>
      </c>
      <c r="B546" s="1" t="s">
        <v>740</v>
      </c>
      <c r="C546">
        <v>1</v>
      </c>
      <c r="D546" s="2">
        <v>35087</v>
      </c>
      <c r="E546" s="2">
        <v>35115</v>
      </c>
      <c r="F546" s="2">
        <v>35095</v>
      </c>
      <c r="G546">
        <v>3</v>
      </c>
      <c r="H546">
        <v>23.79</v>
      </c>
      <c r="I546" s="1" t="s">
        <v>844</v>
      </c>
      <c r="J546" s="1" t="s">
        <v>743</v>
      </c>
      <c r="K546" s="1" t="s">
        <v>744</v>
      </c>
      <c r="L546" s="1" t="s">
        <v>1195</v>
      </c>
      <c r="M546" s="1" t="s">
        <v>745</v>
      </c>
      <c r="N546" s="1" t="s">
        <v>746</v>
      </c>
      <c r="O546" s="1">
        <f>MONTH(orders[[#This Row],[OrderDate]])</f>
        <v>1</v>
      </c>
    </row>
    <row r="547" spans="1:15" x14ac:dyDescent="0.35">
      <c r="A547">
        <v>10793</v>
      </c>
      <c r="B547" s="1" t="s">
        <v>57</v>
      </c>
      <c r="C547">
        <v>3</v>
      </c>
      <c r="D547" s="2">
        <v>35088</v>
      </c>
      <c r="E547" s="2">
        <v>35116</v>
      </c>
      <c r="F547" s="2">
        <v>35103</v>
      </c>
      <c r="G547">
        <v>3</v>
      </c>
      <c r="H547">
        <v>4.5199999999999996</v>
      </c>
      <c r="I547" s="1" t="s">
        <v>58</v>
      </c>
      <c r="J547" s="1" t="s">
        <v>1210</v>
      </c>
      <c r="K547" s="1" t="s">
        <v>839</v>
      </c>
      <c r="L547" s="1" t="s">
        <v>840</v>
      </c>
      <c r="M547" s="1" t="s">
        <v>841</v>
      </c>
      <c r="N547" s="1" t="s">
        <v>63</v>
      </c>
      <c r="O547" s="1">
        <f>MONTH(orders[[#This Row],[OrderDate]])</f>
        <v>1</v>
      </c>
    </row>
    <row r="548" spans="1:15" x14ac:dyDescent="0.35">
      <c r="A548">
        <v>10794</v>
      </c>
      <c r="B548" s="1" t="s">
        <v>515</v>
      </c>
      <c r="C548">
        <v>6</v>
      </c>
      <c r="D548" s="2">
        <v>35088</v>
      </c>
      <c r="E548" s="2">
        <v>35116</v>
      </c>
      <c r="F548" s="2">
        <v>35097</v>
      </c>
      <c r="G548">
        <v>1</v>
      </c>
      <c r="H548">
        <v>21.49</v>
      </c>
      <c r="I548" s="1" t="s">
        <v>516</v>
      </c>
      <c r="J548" s="1" t="s">
        <v>518</v>
      </c>
      <c r="K548" s="1" t="s">
        <v>308</v>
      </c>
      <c r="L548" s="1" t="s">
        <v>309</v>
      </c>
      <c r="M548" s="1" t="s">
        <v>519</v>
      </c>
      <c r="N548" s="1" t="s">
        <v>161</v>
      </c>
      <c r="O548" s="1">
        <f>MONTH(orders[[#This Row],[OrderDate]])</f>
        <v>1</v>
      </c>
    </row>
    <row r="549" spans="1:15" x14ac:dyDescent="0.35">
      <c r="A549">
        <v>10795</v>
      </c>
      <c r="B549" s="1" t="s">
        <v>192</v>
      </c>
      <c r="C549">
        <v>8</v>
      </c>
      <c r="D549" s="2">
        <v>35088</v>
      </c>
      <c r="E549" s="2">
        <v>35116</v>
      </c>
      <c r="F549" s="2">
        <v>35115</v>
      </c>
      <c r="G549">
        <v>2</v>
      </c>
      <c r="H549">
        <v>126.66</v>
      </c>
      <c r="I549" s="1" t="s">
        <v>193</v>
      </c>
      <c r="J549" s="1" t="s">
        <v>196</v>
      </c>
      <c r="K549" s="1" t="s">
        <v>197</v>
      </c>
      <c r="L549" s="1" t="s">
        <v>1195</v>
      </c>
      <c r="M549" s="1" t="s">
        <v>198</v>
      </c>
      <c r="N549" s="1" t="s">
        <v>199</v>
      </c>
      <c r="O549" s="1">
        <f>MONTH(orders[[#This Row],[OrderDate]])</f>
        <v>1</v>
      </c>
    </row>
    <row r="550" spans="1:15" x14ac:dyDescent="0.35">
      <c r="A550">
        <v>10796</v>
      </c>
      <c r="B550" s="1" t="s">
        <v>313</v>
      </c>
      <c r="C550">
        <v>3</v>
      </c>
      <c r="D550" s="2">
        <v>35089</v>
      </c>
      <c r="E550" s="2">
        <v>35117</v>
      </c>
      <c r="F550" s="2">
        <v>35109</v>
      </c>
      <c r="G550">
        <v>1</v>
      </c>
      <c r="H550">
        <v>26.52</v>
      </c>
      <c r="I550" s="1" t="s">
        <v>314</v>
      </c>
      <c r="J550" s="1" t="s">
        <v>316</v>
      </c>
      <c r="K550" s="1" t="s">
        <v>317</v>
      </c>
      <c r="L550" s="1" t="s">
        <v>318</v>
      </c>
      <c r="M550" s="1" t="s">
        <v>319</v>
      </c>
      <c r="N550" s="1" t="s">
        <v>301</v>
      </c>
      <c r="O550" s="1">
        <f>MONTH(orders[[#This Row],[OrderDate]])</f>
        <v>1</v>
      </c>
    </row>
    <row r="551" spans="1:15" x14ac:dyDescent="0.35">
      <c r="A551">
        <v>10797</v>
      </c>
      <c r="B551" s="1" t="s">
        <v>169</v>
      </c>
      <c r="C551">
        <v>7</v>
      </c>
      <c r="D551" s="2">
        <v>35089</v>
      </c>
      <c r="E551" s="2">
        <v>35117</v>
      </c>
      <c r="F551" s="2">
        <v>35100</v>
      </c>
      <c r="G551">
        <v>2</v>
      </c>
      <c r="H551">
        <v>33.35</v>
      </c>
      <c r="I551" s="1" t="s">
        <v>170</v>
      </c>
      <c r="J551" s="1" t="s">
        <v>172</v>
      </c>
      <c r="K551" s="1" t="s">
        <v>173</v>
      </c>
      <c r="L551" s="1" t="s">
        <v>1195</v>
      </c>
      <c r="M551" s="1" t="s">
        <v>174</v>
      </c>
      <c r="N551" s="1" t="s">
        <v>38</v>
      </c>
      <c r="O551" s="1">
        <f>MONTH(orders[[#This Row],[OrderDate]])</f>
        <v>1</v>
      </c>
    </row>
    <row r="552" spans="1:15" x14ac:dyDescent="0.35">
      <c r="A552">
        <v>10798</v>
      </c>
      <c r="B552" s="1" t="s">
        <v>338</v>
      </c>
      <c r="C552">
        <v>2</v>
      </c>
      <c r="D552" s="2">
        <v>35090</v>
      </c>
      <c r="E552" s="2">
        <v>35118</v>
      </c>
      <c r="F552" s="2">
        <v>35100</v>
      </c>
      <c r="G552">
        <v>1</v>
      </c>
      <c r="H552">
        <v>2.33</v>
      </c>
      <c r="I552" s="1" t="s">
        <v>339</v>
      </c>
      <c r="J552" s="1" t="s">
        <v>1200</v>
      </c>
      <c r="K552" s="1" t="s">
        <v>341</v>
      </c>
      <c r="L552" s="1" t="s">
        <v>342</v>
      </c>
      <c r="M552" s="1" t="s">
        <v>343</v>
      </c>
      <c r="N552" s="1" t="s">
        <v>63</v>
      </c>
      <c r="O552" s="1">
        <f>MONTH(orders[[#This Row],[OrderDate]])</f>
        <v>1</v>
      </c>
    </row>
    <row r="553" spans="1:15" x14ac:dyDescent="0.35">
      <c r="A553">
        <v>10799</v>
      </c>
      <c r="B553" s="1" t="s">
        <v>345</v>
      </c>
      <c r="C553">
        <v>9</v>
      </c>
      <c r="D553" s="2">
        <v>35090</v>
      </c>
      <c r="E553" s="2">
        <v>35132</v>
      </c>
      <c r="F553" s="2">
        <v>35100</v>
      </c>
      <c r="G553">
        <v>3</v>
      </c>
      <c r="H553">
        <v>30.76</v>
      </c>
      <c r="I553" s="1" t="s">
        <v>346</v>
      </c>
      <c r="J553" s="1" t="s">
        <v>348</v>
      </c>
      <c r="K553" s="1" t="s">
        <v>349</v>
      </c>
      <c r="L553" s="1" t="s">
        <v>1195</v>
      </c>
      <c r="M553" s="1" t="s">
        <v>350</v>
      </c>
      <c r="N553" s="1" t="s">
        <v>38</v>
      </c>
      <c r="O553" s="1">
        <f>MONTH(orders[[#This Row],[OrderDate]])</f>
        <v>1</v>
      </c>
    </row>
    <row r="554" spans="1:15" x14ac:dyDescent="0.35">
      <c r="A554">
        <v>10800</v>
      </c>
      <c r="B554" s="1" t="s">
        <v>596</v>
      </c>
      <c r="C554">
        <v>1</v>
      </c>
      <c r="D554" s="2">
        <v>35090</v>
      </c>
      <c r="E554" s="2">
        <v>35118</v>
      </c>
      <c r="F554" s="2">
        <v>35100</v>
      </c>
      <c r="G554">
        <v>3</v>
      </c>
      <c r="H554">
        <v>137.44</v>
      </c>
      <c r="I554" s="1" t="s">
        <v>597</v>
      </c>
      <c r="J554" s="1" t="s">
        <v>599</v>
      </c>
      <c r="K554" s="1" t="s">
        <v>61</v>
      </c>
      <c r="L554" s="1" t="s">
        <v>1195</v>
      </c>
      <c r="M554" s="1" t="s">
        <v>600</v>
      </c>
      <c r="N554" s="1" t="s">
        <v>63</v>
      </c>
      <c r="O554" s="1">
        <f>MONTH(orders[[#This Row],[OrderDate]])</f>
        <v>1</v>
      </c>
    </row>
    <row r="555" spans="1:15" x14ac:dyDescent="0.35">
      <c r="A555">
        <v>10801</v>
      </c>
      <c r="B555" s="1" t="s">
        <v>94</v>
      </c>
      <c r="C555">
        <v>4</v>
      </c>
      <c r="D555" s="2">
        <v>35093</v>
      </c>
      <c r="E555" s="2">
        <v>35121</v>
      </c>
      <c r="F555" s="2">
        <v>35095</v>
      </c>
      <c r="G555">
        <v>2</v>
      </c>
      <c r="H555">
        <v>97.09</v>
      </c>
      <c r="I555" s="1" t="s">
        <v>95</v>
      </c>
      <c r="J555" s="1" t="s">
        <v>97</v>
      </c>
      <c r="K555" s="1" t="s">
        <v>98</v>
      </c>
      <c r="L555" s="1" t="s">
        <v>1195</v>
      </c>
      <c r="M555" s="1" t="s">
        <v>99</v>
      </c>
      <c r="N555" s="1" t="s">
        <v>100</v>
      </c>
      <c r="O555" s="1">
        <f>MONTH(orders[[#This Row],[OrderDate]])</f>
        <v>1</v>
      </c>
    </row>
    <row r="556" spans="1:15" x14ac:dyDescent="0.35">
      <c r="A556">
        <v>10802</v>
      </c>
      <c r="B556" s="1" t="s">
        <v>603</v>
      </c>
      <c r="C556">
        <v>4</v>
      </c>
      <c r="D556" s="2">
        <v>35093</v>
      </c>
      <c r="E556" s="2">
        <v>35121</v>
      </c>
      <c r="F556" s="2">
        <v>35097</v>
      </c>
      <c r="G556">
        <v>2</v>
      </c>
      <c r="H556">
        <v>257.26</v>
      </c>
      <c r="I556" s="1" t="s">
        <v>604</v>
      </c>
      <c r="J556" s="1" t="s">
        <v>606</v>
      </c>
      <c r="K556" s="1" t="s">
        <v>607</v>
      </c>
      <c r="L556" s="1" t="s">
        <v>1195</v>
      </c>
      <c r="M556" s="1" t="s">
        <v>608</v>
      </c>
      <c r="N556" s="1" t="s">
        <v>609</v>
      </c>
      <c r="O556" s="1">
        <f>MONTH(orders[[#This Row],[OrderDate]])</f>
        <v>1</v>
      </c>
    </row>
    <row r="557" spans="1:15" x14ac:dyDescent="0.35">
      <c r="A557">
        <v>10803</v>
      </c>
      <c r="B557" s="1" t="s">
        <v>718</v>
      </c>
      <c r="C557">
        <v>4</v>
      </c>
      <c r="D557" s="2">
        <v>35094</v>
      </c>
      <c r="E557" s="2">
        <v>35122</v>
      </c>
      <c r="F557" s="2">
        <v>35101</v>
      </c>
      <c r="G557">
        <v>1</v>
      </c>
      <c r="H557">
        <v>55.23</v>
      </c>
      <c r="I557" s="1" t="s">
        <v>719</v>
      </c>
      <c r="J557" s="1" t="s">
        <v>721</v>
      </c>
      <c r="K557" s="1" t="s">
        <v>722</v>
      </c>
      <c r="L557" s="1" t="s">
        <v>159</v>
      </c>
      <c r="M557" s="1" t="s">
        <v>723</v>
      </c>
      <c r="N557" s="1" t="s">
        <v>161</v>
      </c>
      <c r="O557" s="1">
        <f>MONTH(orders[[#This Row],[OrderDate]])</f>
        <v>1</v>
      </c>
    </row>
    <row r="558" spans="1:15" x14ac:dyDescent="0.35">
      <c r="A558">
        <v>10804</v>
      </c>
      <c r="B558" s="1" t="s">
        <v>596</v>
      </c>
      <c r="C558">
        <v>6</v>
      </c>
      <c r="D558" s="2">
        <v>35094</v>
      </c>
      <c r="E558" s="2">
        <v>35122</v>
      </c>
      <c r="F558" s="2">
        <v>35102</v>
      </c>
      <c r="G558">
        <v>2</v>
      </c>
      <c r="H558">
        <v>27.33</v>
      </c>
      <c r="I558" s="1" t="s">
        <v>597</v>
      </c>
      <c r="J558" s="1" t="s">
        <v>599</v>
      </c>
      <c r="K558" s="1" t="s">
        <v>61</v>
      </c>
      <c r="L558" s="1" t="s">
        <v>1195</v>
      </c>
      <c r="M558" s="1" t="s">
        <v>600</v>
      </c>
      <c r="N558" s="1" t="s">
        <v>63</v>
      </c>
      <c r="O558" s="1">
        <f>MONTH(orders[[#This Row],[OrderDate]])</f>
        <v>1</v>
      </c>
    </row>
    <row r="559" spans="1:15" x14ac:dyDescent="0.35">
      <c r="A559">
        <v>10805</v>
      </c>
      <c r="B559" s="1" t="s">
        <v>636</v>
      </c>
      <c r="C559">
        <v>2</v>
      </c>
      <c r="D559" s="2">
        <v>35094</v>
      </c>
      <c r="E559" s="2">
        <v>35122</v>
      </c>
      <c r="F559" s="2">
        <v>35104</v>
      </c>
      <c r="G559">
        <v>3</v>
      </c>
      <c r="H559">
        <v>237.34</v>
      </c>
      <c r="I559" s="1" t="s">
        <v>637</v>
      </c>
      <c r="J559" s="1" t="s">
        <v>1205</v>
      </c>
      <c r="K559" s="1" t="s">
        <v>421</v>
      </c>
      <c r="L559" s="1" t="s">
        <v>290</v>
      </c>
      <c r="M559" s="1" t="s">
        <v>639</v>
      </c>
      <c r="N559" s="1" t="s">
        <v>292</v>
      </c>
      <c r="O559" s="1">
        <f>MONTH(orders[[#This Row],[OrderDate]])</f>
        <v>1</v>
      </c>
    </row>
    <row r="560" spans="1:15" x14ac:dyDescent="0.35">
      <c r="A560">
        <v>10806</v>
      </c>
      <c r="B560" s="1" t="s">
        <v>686</v>
      </c>
      <c r="C560">
        <v>3</v>
      </c>
      <c r="D560" s="2">
        <v>35095</v>
      </c>
      <c r="E560" s="2">
        <v>35123</v>
      </c>
      <c r="F560" s="2">
        <v>35100</v>
      </c>
      <c r="G560">
        <v>2</v>
      </c>
      <c r="H560">
        <v>22.11</v>
      </c>
      <c r="I560" s="1" t="s">
        <v>687</v>
      </c>
      <c r="J560" s="1" t="s">
        <v>689</v>
      </c>
      <c r="K560" s="1" t="s">
        <v>690</v>
      </c>
      <c r="L560" s="1" t="s">
        <v>1195</v>
      </c>
      <c r="M560" s="1" t="s">
        <v>691</v>
      </c>
      <c r="N560" s="1" t="s">
        <v>91</v>
      </c>
      <c r="O560" s="1">
        <f>MONTH(orders[[#This Row],[OrderDate]])</f>
        <v>1</v>
      </c>
    </row>
    <row r="561" spans="1:15" x14ac:dyDescent="0.35">
      <c r="A561">
        <v>10807</v>
      </c>
      <c r="B561" s="1" t="s">
        <v>246</v>
      </c>
      <c r="C561">
        <v>4</v>
      </c>
      <c r="D561" s="2">
        <v>35095</v>
      </c>
      <c r="E561" s="2">
        <v>35123</v>
      </c>
      <c r="F561" s="2">
        <v>35125</v>
      </c>
      <c r="G561">
        <v>1</v>
      </c>
      <c r="H561">
        <v>1.36</v>
      </c>
      <c r="I561" s="1" t="s">
        <v>247</v>
      </c>
      <c r="J561" s="1" t="s">
        <v>249</v>
      </c>
      <c r="K561" s="1" t="s">
        <v>250</v>
      </c>
      <c r="L561" s="1" t="s">
        <v>1195</v>
      </c>
      <c r="M561" s="1" t="s">
        <v>251</v>
      </c>
      <c r="N561" s="1" t="s">
        <v>252</v>
      </c>
      <c r="O561" s="1">
        <f>MONTH(orders[[#This Row],[OrderDate]])</f>
        <v>1</v>
      </c>
    </row>
    <row r="562" spans="1:15" x14ac:dyDescent="0.35">
      <c r="A562">
        <v>10808</v>
      </c>
      <c r="B562" s="1" t="s">
        <v>469</v>
      </c>
      <c r="C562">
        <v>2</v>
      </c>
      <c r="D562" s="2">
        <v>35096</v>
      </c>
      <c r="E562" s="2">
        <v>35124</v>
      </c>
      <c r="F562" s="2">
        <v>35104</v>
      </c>
      <c r="G562">
        <v>3</v>
      </c>
      <c r="H562">
        <v>45.53</v>
      </c>
      <c r="I562" s="1" t="s">
        <v>470</v>
      </c>
      <c r="J562" s="1" t="s">
        <v>472</v>
      </c>
      <c r="K562" s="1" t="s">
        <v>473</v>
      </c>
      <c r="L562" s="1" t="s">
        <v>474</v>
      </c>
      <c r="M562" s="1" t="s">
        <v>475</v>
      </c>
      <c r="N562" s="1" t="s">
        <v>292</v>
      </c>
      <c r="O562" s="1">
        <f>MONTH(orders[[#This Row],[OrderDate]])</f>
        <v>2</v>
      </c>
    </row>
    <row r="563" spans="1:15" x14ac:dyDescent="0.35">
      <c r="A563">
        <v>10809</v>
      </c>
      <c r="B563" s="1" t="s">
        <v>718</v>
      </c>
      <c r="C563">
        <v>7</v>
      </c>
      <c r="D563" s="2">
        <v>35096</v>
      </c>
      <c r="E563" s="2">
        <v>35124</v>
      </c>
      <c r="F563" s="2">
        <v>35102</v>
      </c>
      <c r="G563">
        <v>1</v>
      </c>
      <c r="H563">
        <v>4.87</v>
      </c>
      <c r="I563" s="1" t="s">
        <v>719</v>
      </c>
      <c r="J563" s="1" t="s">
        <v>721</v>
      </c>
      <c r="K563" s="1" t="s">
        <v>722</v>
      </c>
      <c r="L563" s="1" t="s">
        <v>159</v>
      </c>
      <c r="M563" s="1" t="s">
        <v>723</v>
      </c>
      <c r="N563" s="1" t="s">
        <v>161</v>
      </c>
      <c r="O563" s="1">
        <f>MONTH(orders[[#This Row],[OrderDate]])</f>
        <v>2</v>
      </c>
    </row>
    <row r="564" spans="1:15" x14ac:dyDescent="0.35">
      <c r="A564">
        <v>10810</v>
      </c>
      <c r="B564" s="1" t="s">
        <v>368</v>
      </c>
      <c r="C564">
        <v>2</v>
      </c>
      <c r="D564" s="2">
        <v>35096</v>
      </c>
      <c r="E564" s="2">
        <v>35124</v>
      </c>
      <c r="F564" s="2">
        <v>35102</v>
      </c>
      <c r="G564">
        <v>3</v>
      </c>
      <c r="H564">
        <v>4.33</v>
      </c>
      <c r="I564" s="1" t="s">
        <v>369</v>
      </c>
      <c r="J564" s="1" t="s">
        <v>845</v>
      </c>
      <c r="K564" s="1" t="s">
        <v>372</v>
      </c>
      <c r="L564" s="1" t="s">
        <v>117</v>
      </c>
      <c r="M564" s="1" t="s">
        <v>373</v>
      </c>
      <c r="N564" s="1" t="s">
        <v>119</v>
      </c>
      <c r="O564" s="1">
        <f>MONTH(orders[[#This Row],[OrderDate]])</f>
        <v>2</v>
      </c>
    </row>
    <row r="565" spans="1:15" x14ac:dyDescent="0.35">
      <c r="A565">
        <v>10811</v>
      </c>
      <c r="B565" s="1" t="s">
        <v>408</v>
      </c>
      <c r="C565">
        <v>8</v>
      </c>
      <c r="D565" s="2">
        <v>35097</v>
      </c>
      <c r="E565" s="2">
        <v>35125</v>
      </c>
      <c r="F565" s="2">
        <v>35103</v>
      </c>
      <c r="G565">
        <v>1</v>
      </c>
      <c r="H565">
        <v>31.22</v>
      </c>
      <c r="I565" s="1" t="s">
        <v>409</v>
      </c>
      <c r="J565" s="1" t="s">
        <v>411</v>
      </c>
      <c r="K565" s="1" t="s">
        <v>412</v>
      </c>
      <c r="L565" s="1" t="s">
        <v>413</v>
      </c>
      <c r="M565" s="1" t="s">
        <v>414</v>
      </c>
      <c r="N565" s="1" t="s">
        <v>301</v>
      </c>
      <c r="O565" s="1">
        <f>MONTH(orders[[#This Row],[OrderDate]])</f>
        <v>2</v>
      </c>
    </row>
    <row r="566" spans="1:15" x14ac:dyDescent="0.35">
      <c r="A566">
        <v>10812</v>
      </c>
      <c r="B566" s="1" t="s">
        <v>551</v>
      </c>
      <c r="C566">
        <v>5</v>
      </c>
      <c r="D566" s="2">
        <v>35097</v>
      </c>
      <c r="E566" s="2">
        <v>35125</v>
      </c>
      <c r="F566" s="2">
        <v>35107</v>
      </c>
      <c r="G566">
        <v>1</v>
      </c>
      <c r="H566">
        <v>59.78</v>
      </c>
      <c r="I566" s="1" t="s">
        <v>552</v>
      </c>
      <c r="J566" s="1" t="s">
        <v>554</v>
      </c>
      <c r="K566" s="1" t="s">
        <v>555</v>
      </c>
      <c r="L566" s="1" t="s">
        <v>1195</v>
      </c>
      <c r="M566" s="1" t="s">
        <v>556</v>
      </c>
      <c r="N566" s="1" t="s">
        <v>252</v>
      </c>
      <c r="O566" s="1">
        <f>MONTH(orders[[#This Row],[OrderDate]])</f>
        <v>2</v>
      </c>
    </row>
    <row r="567" spans="1:15" x14ac:dyDescent="0.35">
      <c r="A567">
        <v>10813</v>
      </c>
      <c r="B567" s="1" t="s">
        <v>559</v>
      </c>
      <c r="C567">
        <v>1</v>
      </c>
      <c r="D567" s="2">
        <v>35100</v>
      </c>
      <c r="E567" s="2">
        <v>35128</v>
      </c>
      <c r="F567" s="2">
        <v>35104</v>
      </c>
      <c r="G567">
        <v>1</v>
      </c>
      <c r="H567">
        <v>47.38</v>
      </c>
      <c r="I567" s="1" t="s">
        <v>560</v>
      </c>
      <c r="J567" s="1" t="s">
        <v>562</v>
      </c>
      <c r="K567" s="1" t="s">
        <v>308</v>
      </c>
      <c r="L567" s="1" t="s">
        <v>309</v>
      </c>
      <c r="M567" s="1" t="s">
        <v>563</v>
      </c>
      <c r="N567" s="1" t="s">
        <v>161</v>
      </c>
      <c r="O567" s="1">
        <f>MONTH(orders[[#This Row],[OrderDate]])</f>
        <v>2</v>
      </c>
    </row>
    <row r="568" spans="1:15" x14ac:dyDescent="0.35">
      <c r="A568">
        <v>10814</v>
      </c>
      <c r="B568" s="1" t="s">
        <v>686</v>
      </c>
      <c r="C568">
        <v>3</v>
      </c>
      <c r="D568" s="2">
        <v>35100</v>
      </c>
      <c r="E568" s="2">
        <v>35128</v>
      </c>
      <c r="F568" s="2">
        <v>35109</v>
      </c>
      <c r="G568">
        <v>3</v>
      </c>
      <c r="H568">
        <v>130.94</v>
      </c>
      <c r="I568" s="1" t="s">
        <v>687</v>
      </c>
      <c r="J568" s="1" t="s">
        <v>689</v>
      </c>
      <c r="K568" s="1" t="s">
        <v>690</v>
      </c>
      <c r="L568" s="1" t="s">
        <v>1195</v>
      </c>
      <c r="M568" s="1" t="s">
        <v>691</v>
      </c>
      <c r="N568" s="1" t="s">
        <v>91</v>
      </c>
      <c r="O568" s="1">
        <f>MONTH(orders[[#This Row],[OrderDate]])</f>
        <v>2</v>
      </c>
    </row>
    <row r="569" spans="1:15" x14ac:dyDescent="0.35">
      <c r="A569">
        <v>10815</v>
      </c>
      <c r="B569" s="1" t="s">
        <v>588</v>
      </c>
      <c r="C569">
        <v>2</v>
      </c>
      <c r="D569" s="2">
        <v>35100</v>
      </c>
      <c r="E569" s="2">
        <v>35128</v>
      </c>
      <c r="F569" s="2">
        <v>35109</v>
      </c>
      <c r="G569">
        <v>3</v>
      </c>
      <c r="H569">
        <v>14.62</v>
      </c>
      <c r="I569" s="1" t="s">
        <v>589</v>
      </c>
      <c r="J569" s="1" t="s">
        <v>591</v>
      </c>
      <c r="K569" s="1" t="s">
        <v>592</v>
      </c>
      <c r="L569" s="1" t="s">
        <v>593</v>
      </c>
      <c r="M569" s="1" t="s">
        <v>594</v>
      </c>
      <c r="N569" s="1" t="s">
        <v>292</v>
      </c>
      <c r="O569" s="1">
        <f>MONTH(orders[[#This Row],[OrderDate]])</f>
        <v>2</v>
      </c>
    </row>
    <row r="570" spans="1:15" x14ac:dyDescent="0.35">
      <c r="A570">
        <v>10816</v>
      </c>
      <c r="B570" s="1" t="s">
        <v>285</v>
      </c>
      <c r="C570">
        <v>4</v>
      </c>
      <c r="D570" s="2">
        <v>35101</v>
      </c>
      <c r="E570" s="2">
        <v>35129</v>
      </c>
      <c r="F570" s="2">
        <v>35130</v>
      </c>
      <c r="G570">
        <v>2</v>
      </c>
      <c r="H570">
        <v>719.78</v>
      </c>
      <c r="I570" s="1" t="s">
        <v>286</v>
      </c>
      <c r="J570" s="1" t="s">
        <v>288</v>
      </c>
      <c r="K570" s="1" t="s">
        <v>289</v>
      </c>
      <c r="L570" s="1" t="s">
        <v>290</v>
      </c>
      <c r="M570" s="1" t="s">
        <v>291</v>
      </c>
      <c r="N570" s="1" t="s">
        <v>292</v>
      </c>
      <c r="O570" s="1">
        <f>MONTH(orders[[#This Row],[OrderDate]])</f>
        <v>2</v>
      </c>
    </row>
    <row r="571" spans="1:15" x14ac:dyDescent="0.35">
      <c r="A571">
        <v>10817</v>
      </c>
      <c r="B571" s="1" t="s">
        <v>345</v>
      </c>
      <c r="C571">
        <v>3</v>
      </c>
      <c r="D571" s="2">
        <v>35101</v>
      </c>
      <c r="E571" s="2">
        <v>35115</v>
      </c>
      <c r="F571" s="2">
        <v>35108</v>
      </c>
      <c r="G571">
        <v>2</v>
      </c>
      <c r="H571">
        <v>306.07</v>
      </c>
      <c r="I571" s="1" t="s">
        <v>346</v>
      </c>
      <c r="J571" s="1" t="s">
        <v>348</v>
      </c>
      <c r="K571" s="1" t="s">
        <v>349</v>
      </c>
      <c r="L571" s="1" t="s">
        <v>1195</v>
      </c>
      <c r="M571" s="1" t="s">
        <v>350</v>
      </c>
      <c r="N571" s="1" t="s">
        <v>38</v>
      </c>
      <c r="O571" s="1">
        <f>MONTH(orders[[#This Row],[OrderDate]])</f>
        <v>2</v>
      </c>
    </row>
    <row r="572" spans="1:15" x14ac:dyDescent="0.35">
      <c r="A572">
        <v>10818</v>
      </c>
      <c r="B572" s="1" t="s">
        <v>425</v>
      </c>
      <c r="C572">
        <v>7</v>
      </c>
      <c r="D572" s="2">
        <v>35102</v>
      </c>
      <c r="E572" s="2">
        <v>35130</v>
      </c>
      <c r="F572" s="2">
        <v>35107</v>
      </c>
      <c r="G572">
        <v>3</v>
      </c>
      <c r="H572">
        <v>65.48</v>
      </c>
      <c r="I572" s="1" t="s">
        <v>426</v>
      </c>
      <c r="J572" s="1" t="s">
        <v>428</v>
      </c>
      <c r="K572" s="1" t="s">
        <v>429</v>
      </c>
      <c r="L572" s="1" t="s">
        <v>1195</v>
      </c>
      <c r="M572" s="1" t="s">
        <v>430</v>
      </c>
      <c r="N572" s="1" t="s">
        <v>252</v>
      </c>
      <c r="O572" s="1">
        <f>MONTH(orders[[#This Row],[OrderDate]])</f>
        <v>2</v>
      </c>
    </row>
    <row r="573" spans="1:15" x14ac:dyDescent="0.35">
      <c r="A573">
        <v>10819</v>
      </c>
      <c r="B573" s="1" t="s">
        <v>128</v>
      </c>
      <c r="C573">
        <v>2</v>
      </c>
      <c r="D573" s="2">
        <v>35102</v>
      </c>
      <c r="E573" s="2">
        <v>35130</v>
      </c>
      <c r="F573" s="2">
        <v>35111</v>
      </c>
      <c r="G573">
        <v>3</v>
      </c>
      <c r="H573">
        <v>19.760000000000002</v>
      </c>
      <c r="I573" s="1" t="s">
        <v>129</v>
      </c>
      <c r="J573" s="1" t="s">
        <v>132</v>
      </c>
      <c r="K573" s="1" t="s">
        <v>133</v>
      </c>
      <c r="L573" s="1" t="s">
        <v>1195</v>
      </c>
      <c r="M573" s="1" t="s">
        <v>134</v>
      </c>
      <c r="N573" s="1" t="s">
        <v>135</v>
      </c>
      <c r="O573" s="1">
        <f>MONTH(orders[[#This Row],[OrderDate]])</f>
        <v>2</v>
      </c>
    </row>
    <row r="574" spans="1:15" x14ac:dyDescent="0.35">
      <c r="A574">
        <v>10820</v>
      </c>
      <c r="B574" s="1" t="s">
        <v>541</v>
      </c>
      <c r="C574">
        <v>3</v>
      </c>
      <c r="D574" s="2">
        <v>35102</v>
      </c>
      <c r="E574" s="2">
        <v>35130</v>
      </c>
      <c r="F574" s="2">
        <v>35108</v>
      </c>
      <c r="G574">
        <v>2</v>
      </c>
      <c r="H574">
        <v>37.520000000000003</v>
      </c>
      <c r="I574" s="1" t="s">
        <v>542</v>
      </c>
      <c r="J574" s="1" t="s">
        <v>545</v>
      </c>
      <c r="K574" s="1" t="s">
        <v>546</v>
      </c>
      <c r="L574" s="1" t="s">
        <v>547</v>
      </c>
      <c r="M574" s="1" t="s">
        <v>548</v>
      </c>
      <c r="N574" s="1" t="s">
        <v>292</v>
      </c>
      <c r="O574" s="1">
        <f>MONTH(orders[[#This Row],[OrderDate]])</f>
        <v>2</v>
      </c>
    </row>
    <row r="575" spans="1:15" x14ac:dyDescent="0.35">
      <c r="A575">
        <v>10821</v>
      </c>
      <c r="B575" s="1" t="s">
        <v>619</v>
      </c>
      <c r="C575">
        <v>1</v>
      </c>
      <c r="D575" s="2">
        <v>35103</v>
      </c>
      <c r="E575" s="2">
        <v>35131</v>
      </c>
      <c r="F575" s="2">
        <v>35110</v>
      </c>
      <c r="G575">
        <v>1</v>
      </c>
      <c r="H575">
        <v>36.68</v>
      </c>
      <c r="I575" s="1" t="s">
        <v>620</v>
      </c>
      <c r="J575" s="1" t="s">
        <v>622</v>
      </c>
      <c r="K575" s="1" t="s">
        <v>623</v>
      </c>
      <c r="L575" s="1" t="s">
        <v>624</v>
      </c>
      <c r="M575" s="1" t="s">
        <v>625</v>
      </c>
      <c r="N575" s="1" t="s">
        <v>292</v>
      </c>
      <c r="O575" s="1">
        <f>MONTH(orders[[#This Row],[OrderDate]])</f>
        <v>2</v>
      </c>
    </row>
    <row r="576" spans="1:15" x14ac:dyDescent="0.35">
      <c r="A576">
        <v>10822</v>
      </c>
      <c r="B576" s="1" t="s">
        <v>670</v>
      </c>
      <c r="C576">
        <v>6</v>
      </c>
      <c r="D576" s="2">
        <v>35103</v>
      </c>
      <c r="E576" s="2">
        <v>35131</v>
      </c>
      <c r="F576" s="2">
        <v>35111</v>
      </c>
      <c r="G576">
        <v>3</v>
      </c>
      <c r="H576">
        <v>7</v>
      </c>
      <c r="I576" s="1" t="s">
        <v>671</v>
      </c>
      <c r="J576" s="1" t="s">
        <v>673</v>
      </c>
      <c r="K576" s="1" t="s">
        <v>674</v>
      </c>
      <c r="L576" s="1" t="s">
        <v>381</v>
      </c>
      <c r="M576" s="1" t="s">
        <v>675</v>
      </c>
      <c r="N576" s="1" t="s">
        <v>292</v>
      </c>
      <c r="O576" s="1">
        <f>MONTH(orders[[#This Row],[OrderDate]])</f>
        <v>2</v>
      </c>
    </row>
    <row r="577" spans="1:15" x14ac:dyDescent="0.35">
      <c r="A577">
        <v>10823</v>
      </c>
      <c r="B577" s="1" t="s">
        <v>399</v>
      </c>
      <c r="C577">
        <v>5</v>
      </c>
      <c r="D577" s="2">
        <v>35104</v>
      </c>
      <c r="E577" s="2">
        <v>35132</v>
      </c>
      <c r="F577" s="2">
        <v>35108</v>
      </c>
      <c r="G577">
        <v>2</v>
      </c>
      <c r="H577">
        <v>163.97</v>
      </c>
      <c r="I577" s="1" t="s">
        <v>400</v>
      </c>
      <c r="J577" s="1" t="s">
        <v>402</v>
      </c>
      <c r="K577" s="1" t="s">
        <v>403</v>
      </c>
      <c r="L577" s="1" t="s">
        <v>404</v>
      </c>
      <c r="M577" s="1" t="s">
        <v>405</v>
      </c>
      <c r="N577" s="1" t="s">
        <v>301</v>
      </c>
      <c r="O577" s="1">
        <f>MONTH(orders[[#This Row],[OrderDate]])</f>
        <v>2</v>
      </c>
    </row>
    <row r="578" spans="1:15" x14ac:dyDescent="0.35">
      <c r="A578">
        <v>10824</v>
      </c>
      <c r="B578" s="1" t="s">
        <v>225</v>
      </c>
      <c r="C578">
        <v>8</v>
      </c>
      <c r="D578" s="2">
        <v>35104</v>
      </c>
      <c r="E578" s="2">
        <v>35132</v>
      </c>
      <c r="F578" s="2">
        <v>35125</v>
      </c>
      <c r="G578">
        <v>1</v>
      </c>
      <c r="H578">
        <v>1.23</v>
      </c>
      <c r="I578" s="1" t="s">
        <v>226</v>
      </c>
      <c r="J578" s="1" t="s">
        <v>228</v>
      </c>
      <c r="K578" s="1" t="s">
        <v>229</v>
      </c>
      <c r="L578" s="1" t="s">
        <v>1195</v>
      </c>
      <c r="M578" s="1" t="s">
        <v>230</v>
      </c>
      <c r="N578" s="1" t="s">
        <v>73</v>
      </c>
      <c r="O578" s="1">
        <f>MONTH(orders[[#This Row],[OrderDate]])</f>
        <v>2</v>
      </c>
    </row>
    <row r="579" spans="1:15" x14ac:dyDescent="0.35">
      <c r="A579">
        <v>10825</v>
      </c>
      <c r="B579" s="1" t="s">
        <v>169</v>
      </c>
      <c r="C579">
        <v>1</v>
      </c>
      <c r="D579" s="2">
        <v>35104</v>
      </c>
      <c r="E579" s="2">
        <v>35132</v>
      </c>
      <c r="F579" s="2">
        <v>35109</v>
      </c>
      <c r="G579">
        <v>1</v>
      </c>
      <c r="H579">
        <v>79.25</v>
      </c>
      <c r="I579" s="1" t="s">
        <v>170</v>
      </c>
      <c r="J579" s="1" t="s">
        <v>172</v>
      </c>
      <c r="K579" s="1" t="s">
        <v>173</v>
      </c>
      <c r="L579" s="1" t="s">
        <v>1195</v>
      </c>
      <c r="M579" s="1" t="s">
        <v>174</v>
      </c>
      <c r="N579" s="1" t="s">
        <v>38</v>
      </c>
      <c r="O579" s="1">
        <f>MONTH(orders[[#This Row],[OrderDate]])</f>
        <v>2</v>
      </c>
    </row>
    <row r="580" spans="1:15" x14ac:dyDescent="0.35">
      <c r="A580">
        <v>10826</v>
      </c>
      <c r="B580" s="1" t="s">
        <v>84</v>
      </c>
      <c r="C580">
        <v>6</v>
      </c>
      <c r="D580" s="2">
        <v>35107</v>
      </c>
      <c r="E580" s="2">
        <v>35135</v>
      </c>
      <c r="F580" s="2">
        <v>35132</v>
      </c>
      <c r="G580">
        <v>1</v>
      </c>
      <c r="H580">
        <v>7.09</v>
      </c>
      <c r="I580" s="1" t="s">
        <v>85</v>
      </c>
      <c r="J580" s="1" t="s">
        <v>88</v>
      </c>
      <c r="K580" s="1" t="s">
        <v>89</v>
      </c>
      <c r="L580" s="1" t="s">
        <v>1195</v>
      </c>
      <c r="M580" s="1" t="s">
        <v>90</v>
      </c>
      <c r="N580" s="1" t="s">
        <v>91</v>
      </c>
      <c r="O580" s="1">
        <f>MONTH(orders[[#This Row],[OrderDate]])</f>
        <v>2</v>
      </c>
    </row>
    <row r="581" spans="1:15" x14ac:dyDescent="0.35">
      <c r="A581">
        <v>10827</v>
      </c>
      <c r="B581" s="1" t="s">
        <v>103</v>
      </c>
      <c r="C581">
        <v>1</v>
      </c>
      <c r="D581" s="2">
        <v>35107</v>
      </c>
      <c r="E581" s="2">
        <v>35121</v>
      </c>
      <c r="F581" s="2">
        <v>35132</v>
      </c>
      <c r="G581">
        <v>2</v>
      </c>
      <c r="H581">
        <v>63.54</v>
      </c>
      <c r="I581" s="1" t="s">
        <v>104</v>
      </c>
      <c r="J581" s="1" t="s">
        <v>106</v>
      </c>
      <c r="K581" s="1" t="s">
        <v>107</v>
      </c>
      <c r="L581" s="1" t="s">
        <v>1195</v>
      </c>
      <c r="M581" s="1" t="s">
        <v>108</v>
      </c>
      <c r="N581" s="1" t="s">
        <v>91</v>
      </c>
      <c r="O581" s="1">
        <f>MONTH(orders[[#This Row],[OrderDate]])</f>
        <v>2</v>
      </c>
    </row>
    <row r="582" spans="1:15" x14ac:dyDescent="0.35">
      <c r="A582">
        <v>10828</v>
      </c>
      <c r="B582" s="1" t="s">
        <v>535</v>
      </c>
      <c r="C582">
        <v>9</v>
      </c>
      <c r="D582" s="2">
        <v>35108</v>
      </c>
      <c r="E582" s="2">
        <v>35122</v>
      </c>
      <c r="F582" s="2">
        <v>35130</v>
      </c>
      <c r="G582">
        <v>1</v>
      </c>
      <c r="H582">
        <v>90.85</v>
      </c>
      <c r="I582" s="1" t="s">
        <v>536</v>
      </c>
      <c r="J582" s="1" t="s">
        <v>538</v>
      </c>
      <c r="K582" s="1" t="s">
        <v>133</v>
      </c>
      <c r="L582" s="1" t="s">
        <v>1195</v>
      </c>
      <c r="M582" s="1" t="s">
        <v>134</v>
      </c>
      <c r="N582" s="1" t="s">
        <v>135</v>
      </c>
      <c r="O582" s="1">
        <f>MONTH(orders[[#This Row],[OrderDate]])</f>
        <v>2</v>
      </c>
    </row>
    <row r="583" spans="1:15" x14ac:dyDescent="0.35">
      <c r="A583">
        <v>10829</v>
      </c>
      <c r="B583" s="1" t="s">
        <v>338</v>
      </c>
      <c r="C583">
        <v>9</v>
      </c>
      <c r="D583" s="2">
        <v>35108</v>
      </c>
      <c r="E583" s="2">
        <v>35136</v>
      </c>
      <c r="F583" s="2">
        <v>35118</v>
      </c>
      <c r="G583">
        <v>1</v>
      </c>
      <c r="H583">
        <v>154.72</v>
      </c>
      <c r="I583" s="1" t="s">
        <v>339</v>
      </c>
      <c r="J583" s="1" t="s">
        <v>1200</v>
      </c>
      <c r="K583" s="1" t="s">
        <v>341</v>
      </c>
      <c r="L583" s="1" t="s">
        <v>342</v>
      </c>
      <c r="M583" s="1" t="s">
        <v>343</v>
      </c>
      <c r="N583" s="1" t="s">
        <v>63</v>
      </c>
      <c r="O583" s="1">
        <f>MONTH(orders[[#This Row],[OrderDate]])</f>
        <v>2</v>
      </c>
    </row>
    <row r="584" spans="1:15" x14ac:dyDescent="0.35">
      <c r="A584">
        <v>10830</v>
      </c>
      <c r="B584" s="1" t="s">
        <v>663</v>
      </c>
      <c r="C584">
        <v>4</v>
      </c>
      <c r="D584" s="2">
        <v>35108</v>
      </c>
      <c r="E584" s="2">
        <v>35150</v>
      </c>
      <c r="F584" s="2">
        <v>35116</v>
      </c>
      <c r="G584">
        <v>2</v>
      </c>
      <c r="H584">
        <v>81.83</v>
      </c>
      <c r="I584" s="1" t="s">
        <v>664</v>
      </c>
      <c r="J584" s="1" t="s">
        <v>666</v>
      </c>
      <c r="K584" s="1" t="s">
        <v>158</v>
      </c>
      <c r="L584" s="1" t="s">
        <v>159</v>
      </c>
      <c r="M584" s="1" t="s">
        <v>667</v>
      </c>
      <c r="N584" s="1" t="s">
        <v>161</v>
      </c>
      <c r="O584" s="1">
        <f>MONTH(orders[[#This Row],[OrderDate]])</f>
        <v>2</v>
      </c>
    </row>
    <row r="585" spans="1:15" x14ac:dyDescent="0.35">
      <c r="A585">
        <v>10831</v>
      </c>
      <c r="B585" s="1" t="s">
        <v>579</v>
      </c>
      <c r="C585">
        <v>3</v>
      </c>
      <c r="D585" s="2">
        <v>35109</v>
      </c>
      <c r="E585" s="2">
        <v>35137</v>
      </c>
      <c r="F585" s="2">
        <v>35118</v>
      </c>
      <c r="G585">
        <v>2</v>
      </c>
      <c r="H585">
        <v>72.19</v>
      </c>
      <c r="I585" s="1" t="s">
        <v>580</v>
      </c>
      <c r="J585" s="1" t="s">
        <v>582</v>
      </c>
      <c r="K585" s="1" t="s">
        <v>583</v>
      </c>
      <c r="L585" s="1" t="s">
        <v>1195</v>
      </c>
      <c r="M585" s="1" t="s">
        <v>584</v>
      </c>
      <c r="N585" s="1" t="s">
        <v>585</v>
      </c>
      <c r="O585" s="1">
        <f>MONTH(orders[[#This Row],[OrderDate]])</f>
        <v>2</v>
      </c>
    </row>
    <row r="586" spans="1:15" x14ac:dyDescent="0.35">
      <c r="A586">
        <v>10832</v>
      </c>
      <c r="B586" s="1" t="s">
        <v>360</v>
      </c>
      <c r="C586">
        <v>2</v>
      </c>
      <c r="D586" s="2">
        <v>35109</v>
      </c>
      <c r="E586" s="2">
        <v>35137</v>
      </c>
      <c r="F586" s="2">
        <v>35114</v>
      </c>
      <c r="G586">
        <v>2</v>
      </c>
      <c r="H586">
        <v>43.26</v>
      </c>
      <c r="I586" s="1" t="s">
        <v>361</v>
      </c>
      <c r="J586" s="1" t="s">
        <v>363</v>
      </c>
      <c r="K586" s="1" t="s">
        <v>364</v>
      </c>
      <c r="L586" s="1" t="s">
        <v>1195</v>
      </c>
      <c r="M586" s="1" t="s">
        <v>365</v>
      </c>
      <c r="N586" s="1" t="s">
        <v>91</v>
      </c>
      <c r="O586" s="1">
        <f>MONTH(orders[[#This Row],[OrderDate]])</f>
        <v>2</v>
      </c>
    </row>
    <row r="587" spans="1:15" x14ac:dyDescent="0.35">
      <c r="A587">
        <v>10833</v>
      </c>
      <c r="B587" s="1" t="s">
        <v>478</v>
      </c>
      <c r="C587">
        <v>6</v>
      </c>
      <c r="D587" s="2">
        <v>35110</v>
      </c>
      <c r="E587" s="2">
        <v>35138</v>
      </c>
      <c r="F587" s="2">
        <v>35118</v>
      </c>
      <c r="G587">
        <v>2</v>
      </c>
      <c r="H587">
        <v>71.489999999999995</v>
      </c>
      <c r="I587" s="1" t="s">
        <v>479</v>
      </c>
      <c r="J587" s="1" t="s">
        <v>481</v>
      </c>
      <c r="K587" s="1" t="s">
        <v>482</v>
      </c>
      <c r="L587" s="1" t="s">
        <v>1195</v>
      </c>
      <c r="M587" s="1" t="s">
        <v>483</v>
      </c>
      <c r="N587" s="1" t="s">
        <v>38</v>
      </c>
      <c r="O587" s="1">
        <f>MONTH(orders[[#This Row],[OrderDate]])</f>
        <v>2</v>
      </c>
    </row>
    <row r="588" spans="1:15" x14ac:dyDescent="0.35">
      <c r="A588">
        <v>10834</v>
      </c>
      <c r="B588" s="1" t="s">
        <v>663</v>
      </c>
      <c r="C588">
        <v>1</v>
      </c>
      <c r="D588" s="2">
        <v>35110</v>
      </c>
      <c r="E588" s="2">
        <v>35138</v>
      </c>
      <c r="F588" s="2">
        <v>35114</v>
      </c>
      <c r="G588">
        <v>3</v>
      </c>
      <c r="H588">
        <v>29.78</v>
      </c>
      <c r="I588" s="1" t="s">
        <v>664</v>
      </c>
      <c r="J588" s="1" t="s">
        <v>666</v>
      </c>
      <c r="K588" s="1" t="s">
        <v>158</v>
      </c>
      <c r="L588" s="1" t="s">
        <v>159</v>
      </c>
      <c r="M588" s="1" t="s">
        <v>667</v>
      </c>
      <c r="N588" s="1" t="s">
        <v>161</v>
      </c>
      <c r="O588" s="1">
        <f>MONTH(orders[[#This Row],[OrderDate]])</f>
        <v>2</v>
      </c>
    </row>
    <row r="589" spans="1:15" x14ac:dyDescent="0.35">
      <c r="A589">
        <v>10835</v>
      </c>
      <c r="B589" s="1" t="s">
        <v>30</v>
      </c>
      <c r="C589">
        <v>1</v>
      </c>
      <c r="D589" s="2">
        <v>35110</v>
      </c>
      <c r="E589" s="2">
        <v>35138</v>
      </c>
      <c r="F589" s="2">
        <v>35116</v>
      </c>
      <c r="G589">
        <v>3</v>
      </c>
      <c r="H589">
        <v>69.53</v>
      </c>
      <c r="I589" s="1" t="s">
        <v>846</v>
      </c>
      <c r="J589" s="1" t="s">
        <v>34</v>
      </c>
      <c r="K589" s="1" t="s">
        <v>35</v>
      </c>
      <c r="L589" s="1" t="s">
        <v>1195</v>
      </c>
      <c r="M589" s="1" t="s">
        <v>37</v>
      </c>
      <c r="N589" s="1" t="s">
        <v>38</v>
      </c>
      <c r="O589" s="1">
        <f>MONTH(orders[[#This Row],[OrderDate]])</f>
        <v>2</v>
      </c>
    </row>
    <row r="590" spans="1:15" x14ac:dyDescent="0.35">
      <c r="A590">
        <v>10836</v>
      </c>
      <c r="B590" s="1" t="s">
        <v>192</v>
      </c>
      <c r="C590">
        <v>7</v>
      </c>
      <c r="D590" s="2">
        <v>35111</v>
      </c>
      <c r="E590" s="2">
        <v>35139</v>
      </c>
      <c r="F590" s="2">
        <v>35116</v>
      </c>
      <c r="G590">
        <v>1</v>
      </c>
      <c r="H590">
        <v>411.88</v>
      </c>
      <c r="I590" s="1" t="s">
        <v>193</v>
      </c>
      <c r="J590" s="1" t="s">
        <v>196</v>
      </c>
      <c r="K590" s="1" t="s">
        <v>197</v>
      </c>
      <c r="L590" s="1" t="s">
        <v>1195</v>
      </c>
      <c r="M590" s="1" t="s">
        <v>198</v>
      </c>
      <c r="N590" s="1" t="s">
        <v>199</v>
      </c>
      <c r="O590" s="1">
        <f>MONTH(orders[[#This Row],[OrderDate]])</f>
        <v>2</v>
      </c>
    </row>
    <row r="591" spans="1:15" x14ac:dyDescent="0.35">
      <c r="A591">
        <v>10837</v>
      </c>
      <c r="B591" s="1" t="s">
        <v>66</v>
      </c>
      <c r="C591">
        <v>9</v>
      </c>
      <c r="D591" s="2">
        <v>35111</v>
      </c>
      <c r="E591" s="2">
        <v>35139</v>
      </c>
      <c r="F591" s="2">
        <v>35118</v>
      </c>
      <c r="G591">
        <v>3</v>
      </c>
      <c r="H591">
        <v>13.32</v>
      </c>
      <c r="I591" s="1" t="s">
        <v>67</v>
      </c>
      <c r="J591" s="1" t="s">
        <v>70</v>
      </c>
      <c r="K591" s="1" t="s">
        <v>71</v>
      </c>
      <c r="L591" s="1" t="s">
        <v>1195</v>
      </c>
      <c r="M591" s="1" t="s">
        <v>72</v>
      </c>
      <c r="N591" s="1" t="s">
        <v>73</v>
      </c>
      <c r="O591" s="1">
        <f>MONTH(orders[[#This Row],[OrderDate]])</f>
        <v>2</v>
      </c>
    </row>
    <row r="592" spans="1:15" x14ac:dyDescent="0.35">
      <c r="A592">
        <v>10838</v>
      </c>
      <c r="B592" s="1" t="s">
        <v>408</v>
      </c>
      <c r="C592">
        <v>3</v>
      </c>
      <c r="D592" s="2">
        <v>35114</v>
      </c>
      <c r="E592" s="2">
        <v>35142</v>
      </c>
      <c r="F592" s="2">
        <v>35118</v>
      </c>
      <c r="G592">
        <v>3</v>
      </c>
      <c r="H592">
        <v>59.28</v>
      </c>
      <c r="I592" s="1" t="s">
        <v>409</v>
      </c>
      <c r="J592" s="1" t="s">
        <v>411</v>
      </c>
      <c r="K592" s="1" t="s">
        <v>412</v>
      </c>
      <c r="L592" s="1" t="s">
        <v>413</v>
      </c>
      <c r="M592" s="1" t="s">
        <v>414</v>
      </c>
      <c r="N592" s="1" t="s">
        <v>301</v>
      </c>
      <c r="O592" s="1">
        <f>MONTH(orders[[#This Row],[OrderDate]])</f>
        <v>2</v>
      </c>
    </row>
    <row r="593" spans="1:15" x14ac:dyDescent="0.35">
      <c r="A593">
        <v>10839</v>
      </c>
      <c r="B593" s="1" t="s">
        <v>663</v>
      </c>
      <c r="C593">
        <v>3</v>
      </c>
      <c r="D593" s="2">
        <v>35114</v>
      </c>
      <c r="E593" s="2">
        <v>35142</v>
      </c>
      <c r="F593" s="2">
        <v>35117</v>
      </c>
      <c r="G593">
        <v>3</v>
      </c>
      <c r="H593">
        <v>35.43</v>
      </c>
      <c r="I593" s="1" t="s">
        <v>664</v>
      </c>
      <c r="J593" s="1" t="s">
        <v>666</v>
      </c>
      <c r="K593" s="1" t="s">
        <v>158</v>
      </c>
      <c r="L593" s="1" t="s">
        <v>159</v>
      </c>
      <c r="M593" s="1" t="s">
        <v>667</v>
      </c>
      <c r="N593" s="1" t="s">
        <v>161</v>
      </c>
      <c r="O593" s="1">
        <f>MONTH(orders[[#This Row],[OrderDate]])</f>
        <v>2</v>
      </c>
    </row>
    <row r="594" spans="1:15" x14ac:dyDescent="0.35">
      <c r="A594">
        <v>10840</v>
      </c>
      <c r="B594" s="1" t="s">
        <v>408</v>
      </c>
      <c r="C594">
        <v>4</v>
      </c>
      <c r="D594" s="2">
        <v>35114</v>
      </c>
      <c r="E594" s="2">
        <v>35156</v>
      </c>
      <c r="F594" s="2">
        <v>35142</v>
      </c>
      <c r="G594">
        <v>2</v>
      </c>
      <c r="H594">
        <v>2.71</v>
      </c>
      <c r="I594" s="1" t="s">
        <v>409</v>
      </c>
      <c r="J594" s="1" t="s">
        <v>411</v>
      </c>
      <c r="K594" s="1" t="s">
        <v>412</v>
      </c>
      <c r="L594" s="1" t="s">
        <v>413</v>
      </c>
      <c r="M594" s="1" t="s">
        <v>414</v>
      </c>
      <c r="N594" s="1" t="s">
        <v>301</v>
      </c>
      <c r="O594" s="1">
        <f>MONTH(orders[[#This Row],[OrderDate]])</f>
        <v>2</v>
      </c>
    </row>
    <row r="595" spans="1:15" x14ac:dyDescent="0.35">
      <c r="A595">
        <v>10841</v>
      </c>
      <c r="B595" s="1" t="s">
        <v>628</v>
      </c>
      <c r="C595">
        <v>5</v>
      </c>
      <c r="D595" s="2">
        <v>35115</v>
      </c>
      <c r="E595" s="2">
        <v>35143</v>
      </c>
      <c r="F595" s="2">
        <v>35124</v>
      </c>
      <c r="G595">
        <v>2</v>
      </c>
      <c r="H595">
        <v>424.3</v>
      </c>
      <c r="I595" s="1" t="s">
        <v>629</v>
      </c>
      <c r="J595" s="1" t="s">
        <v>631</v>
      </c>
      <c r="K595" s="1" t="s">
        <v>632</v>
      </c>
      <c r="L595" s="1" t="s">
        <v>1195</v>
      </c>
      <c r="M595" s="1" t="s">
        <v>633</v>
      </c>
      <c r="N595" s="1" t="s">
        <v>439</v>
      </c>
      <c r="O595" s="1">
        <f>MONTH(orders[[#This Row],[OrderDate]])</f>
        <v>2</v>
      </c>
    </row>
    <row r="596" spans="1:15" x14ac:dyDescent="0.35">
      <c r="A596">
        <v>10842</v>
      </c>
      <c r="B596" s="1" t="s">
        <v>658</v>
      </c>
      <c r="C596">
        <v>1</v>
      </c>
      <c r="D596" s="2">
        <v>35115</v>
      </c>
      <c r="E596" s="2">
        <v>35143</v>
      </c>
      <c r="F596" s="2">
        <v>35124</v>
      </c>
      <c r="G596">
        <v>3</v>
      </c>
      <c r="H596">
        <v>54.42</v>
      </c>
      <c r="I596" s="1" t="s">
        <v>659</v>
      </c>
      <c r="J596" s="1" t="s">
        <v>661</v>
      </c>
      <c r="K596" s="1" t="s">
        <v>46</v>
      </c>
      <c r="L596" s="1" t="s">
        <v>1195</v>
      </c>
      <c r="M596" s="1" t="s">
        <v>498</v>
      </c>
      <c r="N596" s="1" t="s">
        <v>48</v>
      </c>
      <c r="O596" s="1">
        <f>MONTH(orders[[#This Row],[OrderDate]])</f>
        <v>2</v>
      </c>
    </row>
    <row r="597" spans="1:15" x14ac:dyDescent="0.35">
      <c r="A597">
        <v>10843</v>
      </c>
      <c r="B597" s="1" t="s">
        <v>686</v>
      </c>
      <c r="C597">
        <v>4</v>
      </c>
      <c r="D597" s="2">
        <v>35116</v>
      </c>
      <c r="E597" s="2">
        <v>35144</v>
      </c>
      <c r="F597" s="2">
        <v>35121</v>
      </c>
      <c r="G597">
        <v>2</v>
      </c>
      <c r="H597">
        <v>9.26</v>
      </c>
      <c r="I597" s="1" t="s">
        <v>687</v>
      </c>
      <c r="J597" s="1" t="s">
        <v>689</v>
      </c>
      <c r="K597" s="1" t="s">
        <v>690</v>
      </c>
      <c r="L597" s="1" t="s">
        <v>1195</v>
      </c>
      <c r="M597" s="1" t="s">
        <v>691</v>
      </c>
      <c r="N597" s="1" t="s">
        <v>91</v>
      </c>
      <c r="O597" s="1">
        <f>MONTH(orders[[#This Row],[OrderDate]])</f>
        <v>2</v>
      </c>
    </row>
    <row r="598" spans="1:15" x14ac:dyDescent="0.35">
      <c r="A598">
        <v>10844</v>
      </c>
      <c r="B598" s="1" t="s">
        <v>501</v>
      </c>
      <c r="C598">
        <v>8</v>
      </c>
      <c r="D598" s="2">
        <v>35116</v>
      </c>
      <c r="E598" s="2">
        <v>35144</v>
      </c>
      <c r="F598" s="2">
        <v>35121</v>
      </c>
      <c r="G598">
        <v>2</v>
      </c>
      <c r="H598">
        <v>25.22</v>
      </c>
      <c r="I598" s="1" t="s">
        <v>502</v>
      </c>
      <c r="J598" s="1" t="s">
        <v>504</v>
      </c>
      <c r="K598" s="1" t="s">
        <v>505</v>
      </c>
      <c r="L598" s="1" t="s">
        <v>1195</v>
      </c>
      <c r="M598" s="1" t="s">
        <v>506</v>
      </c>
      <c r="N598" s="1" t="s">
        <v>199</v>
      </c>
      <c r="O598" s="1">
        <f>MONTH(orders[[#This Row],[OrderDate]])</f>
        <v>2</v>
      </c>
    </row>
    <row r="599" spans="1:15" x14ac:dyDescent="0.35">
      <c r="A599">
        <v>10845</v>
      </c>
      <c r="B599" s="1" t="s">
        <v>528</v>
      </c>
      <c r="C599">
        <v>8</v>
      </c>
      <c r="D599" s="2">
        <v>35116</v>
      </c>
      <c r="E599" s="2">
        <v>35130</v>
      </c>
      <c r="F599" s="2">
        <v>35125</v>
      </c>
      <c r="G599">
        <v>1</v>
      </c>
      <c r="H599">
        <v>212.98</v>
      </c>
      <c r="I599" s="1" t="s">
        <v>529</v>
      </c>
      <c r="J599" s="1" t="s">
        <v>531</v>
      </c>
      <c r="K599" s="1" t="s">
        <v>532</v>
      </c>
      <c r="L599" s="1" t="s">
        <v>1195</v>
      </c>
      <c r="M599" s="1" t="s">
        <v>533</v>
      </c>
      <c r="N599" s="1" t="s">
        <v>38</v>
      </c>
      <c r="O599" s="1">
        <f>MONTH(orders[[#This Row],[OrderDate]])</f>
        <v>2</v>
      </c>
    </row>
    <row r="600" spans="1:15" x14ac:dyDescent="0.35">
      <c r="A600">
        <v>10846</v>
      </c>
      <c r="B600" s="1" t="s">
        <v>628</v>
      </c>
      <c r="C600">
        <v>2</v>
      </c>
      <c r="D600" s="2">
        <v>35117</v>
      </c>
      <c r="E600" s="2">
        <v>35159</v>
      </c>
      <c r="F600" s="2">
        <v>35118</v>
      </c>
      <c r="G600">
        <v>3</v>
      </c>
      <c r="H600">
        <v>56.46</v>
      </c>
      <c r="I600" s="1" t="s">
        <v>629</v>
      </c>
      <c r="J600" s="1" t="s">
        <v>631</v>
      </c>
      <c r="K600" s="1" t="s">
        <v>632</v>
      </c>
      <c r="L600" s="1" t="s">
        <v>1195</v>
      </c>
      <c r="M600" s="1" t="s">
        <v>633</v>
      </c>
      <c r="N600" s="1" t="s">
        <v>439</v>
      </c>
      <c r="O600" s="1">
        <f>MONTH(orders[[#This Row],[OrderDate]])</f>
        <v>2</v>
      </c>
    </row>
    <row r="601" spans="1:15" x14ac:dyDescent="0.35">
      <c r="A601">
        <v>10847</v>
      </c>
      <c r="B601" s="1" t="s">
        <v>588</v>
      </c>
      <c r="C601">
        <v>4</v>
      </c>
      <c r="D601" s="2">
        <v>35117</v>
      </c>
      <c r="E601" s="2">
        <v>35131</v>
      </c>
      <c r="F601" s="2">
        <v>35136</v>
      </c>
      <c r="G601">
        <v>3</v>
      </c>
      <c r="H601">
        <v>487.57</v>
      </c>
      <c r="I601" s="1" t="s">
        <v>589</v>
      </c>
      <c r="J601" s="1" t="s">
        <v>591</v>
      </c>
      <c r="K601" s="1" t="s">
        <v>592</v>
      </c>
      <c r="L601" s="1" t="s">
        <v>593</v>
      </c>
      <c r="M601" s="1" t="s">
        <v>594</v>
      </c>
      <c r="N601" s="1" t="s">
        <v>292</v>
      </c>
      <c r="O601" s="1">
        <f>MONTH(orders[[#This Row],[OrderDate]])</f>
        <v>2</v>
      </c>
    </row>
    <row r="602" spans="1:15" x14ac:dyDescent="0.35">
      <c r="A602">
        <v>10848</v>
      </c>
      <c r="B602" s="1" t="s">
        <v>163</v>
      </c>
      <c r="C602">
        <v>7</v>
      </c>
      <c r="D602" s="2">
        <v>35118</v>
      </c>
      <c r="E602" s="2">
        <v>35146</v>
      </c>
      <c r="F602" s="2">
        <v>35124</v>
      </c>
      <c r="G602">
        <v>2</v>
      </c>
      <c r="H602">
        <v>38.24</v>
      </c>
      <c r="I602" s="1" t="s">
        <v>164</v>
      </c>
      <c r="J602" s="1" t="s">
        <v>1197</v>
      </c>
      <c r="K602" s="1" t="s">
        <v>61</v>
      </c>
      <c r="L602" s="1" t="s">
        <v>1195</v>
      </c>
      <c r="M602" s="1" t="s">
        <v>166</v>
      </c>
      <c r="N602" s="1" t="s">
        <v>63</v>
      </c>
      <c r="O602" s="1">
        <f>MONTH(orders[[#This Row],[OrderDate]])</f>
        <v>2</v>
      </c>
    </row>
    <row r="603" spans="1:15" x14ac:dyDescent="0.35">
      <c r="A603">
        <v>10849</v>
      </c>
      <c r="B603" s="1" t="s">
        <v>345</v>
      </c>
      <c r="C603">
        <v>9</v>
      </c>
      <c r="D603" s="2">
        <v>35118</v>
      </c>
      <c r="E603" s="2">
        <v>35146</v>
      </c>
      <c r="F603" s="2">
        <v>35125</v>
      </c>
      <c r="G603">
        <v>2</v>
      </c>
      <c r="H603">
        <v>0.56000000000000005</v>
      </c>
      <c r="I603" s="1" t="s">
        <v>346</v>
      </c>
      <c r="J603" s="1" t="s">
        <v>348</v>
      </c>
      <c r="K603" s="1" t="s">
        <v>349</v>
      </c>
      <c r="L603" s="1" t="s">
        <v>1195</v>
      </c>
      <c r="M603" s="1" t="s">
        <v>350</v>
      </c>
      <c r="N603" s="1" t="s">
        <v>38</v>
      </c>
      <c r="O603" s="1">
        <f>MONTH(orders[[#This Row],[OrderDate]])</f>
        <v>2</v>
      </c>
    </row>
    <row r="604" spans="1:15" x14ac:dyDescent="0.35">
      <c r="A604">
        <v>10850</v>
      </c>
      <c r="B604" s="1" t="s">
        <v>686</v>
      </c>
      <c r="C604">
        <v>1</v>
      </c>
      <c r="D604" s="2">
        <v>35118</v>
      </c>
      <c r="E604" s="2">
        <v>35160</v>
      </c>
      <c r="F604" s="2">
        <v>35125</v>
      </c>
      <c r="G604">
        <v>1</v>
      </c>
      <c r="H604">
        <v>49.19</v>
      </c>
      <c r="I604" s="1" t="s">
        <v>687</v>
      </c>
      <c r="J604" s="1" t="s">
        <v>689</v>
      </c>
      <c r="K604" s="1" t="s">
        <v>690</v>
      </c>
      <c r="L604" s="1" t="s">
        <v>1195</v>
      </c>
      <c r="M604" s="1" t="s">
        <v>691</v>
      </c>
      <c r="N604" s="1" t="s">
        <v>91</v>
      </c>
      <c r="O604" s="1">
        <f>MONTH(orders[[#This Row],[OrderDate]])</f>
        <v>2</v>
      </c>
    </row>
    <row r="605" spans="1:15" x14ac:dyDescent="0.35">
      <c r="A605">
        <v>10851</v>
      </c>
      <c r="B605" s="1" t="s">
        <v>559</v>
      </c>
      <c r="C605">
        <v>5</v>
      </c>
      <c r="D605" s="2">
        <v>35121</v>
      </c>
      <c r="E605" s="2">
        <v>35149</v>
      </c>
      <c r="F605" s="2">
        <v>35128</v>
      </c>
      <c r="G605">
        <v>1</v>
      </c>
      <c r="H605">
        <v>160.55000000000001</v>
      </c>
      <c r="I605" s="1" t="s">
        <v>560</v>
      </c>
      <c r="J605" s="1" t="s">
        <v>562</v>
      </c>
      <c r="K605" s="1" t="s">
        <v>308</v>
      </c>
      <c r="L605" s="1" t="s">
        <v>309</v>
      </c>
      <c r="M605" s="1" t="s">
        <v>563</v>
      </c>
      <c r="N605" s="1" t="s">
        <v>161</v>
      </c>
      <c r="O605" s="1">
        <f>MONTH(orders[[#This Row],[OrderDate]])</f>
        <v>2</v>
      </c>
    </row>
    <row r="606" spans="1:15" x14ac:dyDescent="0.35">
      <c r="A606">
        <v>10852</v>
      </c>
      <c r="B606" s="1" t="s">
        <v>541</v>
      </c>
      <c r="C606">
        <v>8</v>
      </c>
      <c r="D606" s="2">
        <v>35121</v>
      </c>
      <c r="E606" s="2">
        <v>35135</v>
      </c>
      <c r="F606" s="2">
        <v>35125</v>
      </c>
      <c r="G606">
        <v>1</v>
      </c>
      <c r="H606">
        <v>174.05</v>
      </c>
      <c r="I606" s="1" t="s">
        <v>542</v>
      </c>
      <c r="J606" s="1" t="s">
        <v>545</v>
      </c>
      <c r="K606" s="1" t="s">
        <v>546</v>
      </c>
      <c r="L606" s="1" t="s">
        <v>547</v>
      </c>
      <c r="M606" s="1" t="s">
        <v>548</v>
      </c>
      <c r="N606" s="1" t="s">
        <v>292</v>
      </c>
      <c r="O606" s="1">
        <f>MONTH(orders[[#This Row],[OrderDate]])</f>
        <v>2</v>
      </c>
    </row>
    <row r="607" spans="1:15" x14ac:dyDescent="0.35">
      <c r="A607">
        <v>10853</v>
      </c>
      <c r="B607" s="1" t="s">
        <v>76</v>
      </c>
      <c r="C607">
        <v>9</v>
      </c>
      <c r="D607" s="2">
        <v>35122</v>
      </c>
      <c r="E607" s="2">
        <v>35150</v>
      </c>
      <c r="F607" s="2">
        <v>35129</v>
      </c>
      <c r="G607">
        <v>2</v>
      </c>
      <c r="H607">
        <v>53.83</v>
      </c>
      <c r="I607" s="1" t="s">
        <v>77</v>
      </c>
      <c r="J607" s="1" t="s">
        <v>79</v>
      </c>
      <c r="K607" s="1" t="s">
        <v>80</v>
      </c>
      <c r="L607" s="1" t="s">
        <v>1195</v>
      </c>
      <c r="M607" s="1" t="s">
        <v>81</v>
      </c>
      <c r="N607" s="1" t="s">
        <v>38</v>
      </c>
      <c r="O607" s="1">
        <f>MONTH(orders[[#This Row],[OrderDate]])</f>
        <v>2</v>
      </c>
    </row>
    <row r="608" spans="1:15" x14ac:dyDescent="0.35">
      <c r="A608">
        <v>10854</v>
      </c>
      <c r="B608" s="1" t="s">
        <v>192</v>
      </c>
      <c r="C608">
        <v>3</v>
      </c>
      <c r="D608" s="2">
        <v>35122</v>
      </c>
      <c r="E608" s="2">
        <v>35150</v>
      </c>
      <c r="F608" s="2">
        <v>35131</v>
      </c>
      <c r="G608">
        <v>2</v>
      </c>
      <c r="H608">
        <v>100.22</v>
      </c>
      <c r="I608" s="1" t="s">
        <v>193</v>
      </c>
      <c r="J608" s="1" t="s">
        <v>196</v>
      </c>
      <c r="K608" s="1" t="s">
        <v>197</v>
      </c>
      <c r="L608" s="1" t="s">
        <v>1195</v>
      </c>
      <c r="M608" s="1" t="s">
        <v>198</v>
      </c>
      <c r="N608" s="1" t="s">
        <v>199</v>
      </c>
      <c r="O608" s="1">
        <f>MONTH(orders[[#This Row],[OrderDate]])</f>
        <v>2</v>
      </c>
    </row>
    <row r="609" spans="1:15" x14ac:dyDescent="0.35">
      <c r="A609">
        <v>10855</v>
      </c>
      <c r="B609" s="1" t="s">
        <v>469</v>
      </c>
      <c r="C609">
        <v>3</v>
      </c>
      <c r="D609" s="2">
        <v>35122</v>
      </c>
      <c r="E609" s="2">
        <v>35150</v>
      </c>
      <c r="F609" s="2">
        <v>35130</v>
      </c>
      <c r="G609">
        <v>1</v>
      </c>
      <c r="H609">
        <v>170.97</v>
      </c>
      <c r="I609" s="1" t="s">
        <v>470</v>
      </c>
      <c r="J609" s="1" t="s">
        <v>472</v>
      </c>
      <c r="K609" s="1" t="s">
        <v>473</v>
      </c>
      <c r="L609" s="1" t="s">
        <v>474</v>
      </c>
      <c r="M609" s="1" t="s">
        <v>475</v>
      </c>
      <c r="N609" s="1" t="s">
        <v>292</v>
      </c>
      <c r="O609" s="1">
        <f>MONTH(orders[[#This Row],[OrderDate]])</f>
        <v>2</v>
      </c>
    </row>
    <row r="610" spans="1:15" x14ac:dyDescent="0.35">
      <c r="A610">
        <v>10856</v>
      </c>
      <c r="B610" s="1" t="s">
        <v>51</v>
      </c>
      <c r="C610">
        <v>3</v>
      </c>
      <c r="D610" s="2">
        <v>35123</v>
      </c>
      <c r="E610" s="2">
        <v>35151</v>
      </c>
      <c r="F610" s="2">
        <v>35136</v>
      </c>
      <c r="G610">
        <v>2</v>
      </c>
      <c r="H610">
        <v>58.43</v>
      </c>
      <c r="I610" s="1" t="s">
        <v>52</v>
      </c>
      <c r="J610" s="1" t="s">
        <v>54</v>
      </c>
      <c r="K610" s="1" t="s">
        <v>46</v>
      </c>
      <c r="L610" s="1" t="s">
        <v>1195</v>
      </c>
      <c r="M610" s="1" t="s">
        <v>55</v>
      </c>
      <c r="N610" s="1" t="s">
        <v>48</v>
      </c>
      <c r="O610" s="1">
        <f>MONTH(orders[[#This Row],[OrderDate]])</f>
        <v>2</v>
      </c>
    </row>
    <row r="611" spans="1:15" x14ac:dyDescent="0.35">
      <c r="A611">
        <v>10857</v>
      </c>
      <c r="B611" s="1" t="s">
        <v>66</v>
      </c>
      <c r="C611">
        <v>8</v>
      </c>
      <c r="D611" s="2">
        <v>35123</v>
      </c>
      <c r="E611" s="2">
        <v>35151</v>
      </c>
      <c r="F611" s="2">
        <v>35132</v>
      </c>
      <c r="G611">
        <v>2</v>
      </c>
      <c r="H611">
        <v>188.85</v>
      </c>
      <c r="I611" s="1" t="s">
        <v>67</v>
      </c>
      <c r="J611" s="1" t="s">
        <v>70</v>
      </c>
      <c r="K611" s="1" t="s">
        <v>71</v>
      </c>
      <c r="L611" s="1" t="s">
        <v>1195</v>
      </c>
      <c r="M611" s="1" t="s">
        <v>72</v>
      </c>
      <c r="N611" s="1" t="s">
        <v>73</v>
      </c>
      <c r="O611" s="1">
        <f>MONTH(orders[[#This Row],[OrderDate]])</f>
        <v>2</v>
      </c>
    </row>
    <row r="612" spans="1:15" x14ac:dyDescent="0.35">
      <c r="A612">
        <v>10858</v>
      </c>
      <c r="B612" s="1" t="s">
        <v>352</v>
      </c>
      <c r="C612">
        <v>2</v>
      </c>
      <c r="D612" s="2">
        <v>35124</v>
      </c>
      <c r="E612" s="2">
        <v>35152</v>
      </c>
      <c r="F612" s="2">
        <v>35129</v>
      </c>
      <c r="G612">
        <v>1</v>
      </c>
      <c r="H612">
        <v>52.51</v>
      </c>
      <c r="I612" s="1" t="s">
        <v>353</v>
      </c>
      <c r="J612" s="1" t="s">
        <v>355</v>
      </c>
      <c r="K612" s="1" t="s">
        <v>356</v>
      </c>
      <c r="L612" s="1" t="s">
        <v>1195</v>
      </c>
      <c r="M612" s="1" t="s">
        <v>357</v>
      </c>
      <c r="N612" s="1" t="s">
        <v>91</v>
      </c>
      <c r="O612" s="1">
        <f>MONTH(orders[[#This Row],[OrderDate]])</f>
        <v>2</v>
      </c>
    </row>
    <row r="613" spans="1:15" x14ac:dyDescent="0.35">
      <c r="A613">
        <v>10859</v>
      </c>
      <c r="B613" s="1" t="s">
        <v>232</v>
      </c>
      <c r="C613">
        <v>1</v>
      </c>
      <c r="D613" s="2">
        <v>35124</v>
      </c>
      <c r="E613" s="2">
        <v>35152</v>
      </c>
      <c r="F613" s="2">
        <v>35128</v>
      </c>
      <c r="G613">
        <v>2</v>
      </c>
      <c r="H613">
        <v>76.099999999999994</v>
      </c>
      <c r="I613" s="1" t="s">
        <v>233</v>
      </c>
      <c r="J613" s="1" t="s">
        <v>235</v>
      </c>
      <c r="K613" s="1" t="s">
        <v>236</v>
      </c>
      <c r="L613" s="1" t="s">
        <v>1195</v>
      </c>
      <c r="M613" s="1" t="s">
        <v>237</v>
      </c>
      <c r="N613" s="1" t="s">
        <v>38</v>
      </c>
      <c r="O613" s="1">
        <f>MONTH(orders[[#This Row],[OrderDate]])</f>
        <v>2</v>
      </c>
    </row>
    <row r="614" spans="1:15" x14ac:dyDescent="0.35">
      <c r="A614">
        <v>10860</v>
      </c>
      <c r="B614" s="1" t="s">
        <v>240</v>
      </c>
      <c r="C614">
        <v>3</v>
      </c>
      <c r="D614" s="2">
        <v>35124</v>
      </c>
      <c r="E614" s="2">
        <v>35152</v>
      </c>
      <c r="F614" s="2">
        <v>35130</v>
      </c>
      <c r="G614">
        <v>3</v>
      </c>
      <c r="H614">
        <v>19.260000000000002</v>
      </c>
      <c r="I614" s="1" t="s">
        <v>241</v>
      </c>
      <c r="J614" s="1" t="s">
        <v>243</v>
      </c>
      <c r="K614" s="1" t="s">
        <v>181</v>
      </c>
      <c r="L614" s="1" t="s">
        <v>1195</v>
      </c>
      <c r="M614" s="1" t="s">
        <v>182</v>
      </c>
      <c r="N614" s="1" t="s">
        <v>91</v>
      </c>
      <c r="O614" s="1">
        <f>MONTH(orders[[#This Row],[OrderDate]])</f>
        <v>2</v>
      </c>
    </row>
    <row r="615" spans="1:15" x14ac:dyDescent="0.35">
      <c r="A615">
        <v>10861</v>
      </c>
      <c r="B615" s="1" t="s">
        <v>725</v>
      </c>
      <c r="C615">
        <v>4</v>
      </c>
      <c r="D615" s="2">
        <v>35125</v>
      </c>
      <c r="E615" s="2">
        <v>35153</v>
      </c>
      <c r="F615" s="2">
        <v>35143</v>
      </c>
      <c r="G615">
        <v>2</v>
      </c>
      <c r="H615">
        <v>14.93</v>
      </c>
      <c r="I615" s="1" t="s">
        <v>726</v>
      </c>
      <c r="J615" s="1" t="s">
        <v>837</v>
      </c>
      <c r="K615" s="1" t="s">
        <v>728</v>
      </c>
      <c r="L615" s="1" t="s">
        <v>381</v>
      </c>
      <c r="M615" s="1" t="s">
        <v>838</v>
      </c>
      <c r="N615" s="1" t="s">
        <v>292</v>
      </c>
      <c r="O615" s="1">
        <f>MONTH(orders[[#This Row],[OrderDate]])</f>
        <v>3</v>
      </c>
    </row>
    <row r="616" spans="1:15" x14ac:dyDescent="0.35">
      <c r="A616">
        <v>10862</v>
      </c>
      <c r="B616" s="1" t="s">
        <v>385</v>
      </c>
      <c r="C616">
        <v>8</v>
      </c>
      <c r="D616" s="2">
        <v>35125</v>
      </c>
      <c r="E616" s="2">
        <v>35167</v>
      </c>
      <c r="F616" s="2">
        <v>35128</v>
      </c>
      <c r="G616">
        <v>2</v>
      </c>
      <c r="H616">
        <v>53.23</v>
      </c>
      <c r="I616" s="1" t="s">
        <v>386</v>
      </c>
      <c r="J616" s="1" t="s">
        <v>388</v>
      </c>
      <c r="K616" s="1" t="s">
        <v>1201</v>
      </c>
      <c r="L616" s="1" t="s">
        <v>1195</v>
      </c>
      <c r="M616" s="1" t="s">
        <v>389</v>
      </c>
      <c r="N616" s="1" t="s">
        <v>38</v>
      </c>
      <c r="O616" s="1">
        <f>MONTH(orders[[#This Row],[OrderDate]])</f>
        <v>3</v>
      </c>
    </row>
    <row r="617" spans="1:15" x14ac:dyDescent="0.35">
      <c r="A617">
        <v>10863</v>
      </c>
      <c r="B617" s="1" t="s">
        <v>313</v>
      </c>
      <c r="C617">
        <v>4</v>
      </c>
      <c r="D617" s="2">
        <v>35128</v>
      </c>
      <c r="E617" s="2">
        <v>35156</v>
      </c>
      <c r="F617" s="2">
        <v>35143</v>
      </c>
      <c r="G617">
        <v>2</v>
      </c>
      <c r="H617">
        <v>30.26</v>
      </c>
      <c r="I617" s="1" t="s">
        <v>314</v>
      </c>
      <c r="J617" s="1" t="s">
        <v>316</v>
      </c>
      <c r="K617" s="1" t="s">
        <v>317</v>
      </c>
      <c r="L617" s="1" t="s">
        <v>318</v>
      </c>
      <c r="M617" s="1" t="s">
        <v>319</v>
      </c>
      <c r="N617" s="1" t="s">
        <v>301</v>
      </c>
      <c r="O617" s="1">
        <f>MONTH(orders[[#This Row],[OrderDate]])</f>
        <v>3</v>
      </c>
    </row>
    <row r="618" spans="1:15" x14ac:dyDescent="0.35">
      <c r="A618">
        <v>10864</v>
      </c>
      <c r="B618" s="1" t="s">
        <v>57</v>
      </c>
      <c r="C618">
        <v>4</v>
      </c>
      <c r="D618" s="2">
        <v>35128</v>
      </c>
      <c r="E618" s="2">
        <v>35156</v>
      </c>
      <c r="F618" s="2">
        <v>35135</v>
      </c>
      <c r="G618">
        <v>2</v>
      </c>
      <c r="H618">
        <v>3.04</v>
      </c>
      <c r="I618" s="1" t="s">
        <v>58</v>
      </c>
      <c r="J618" s="1" t="s">
        <v>1210</v>
      </c>
      <c r="K618" s="1" t="s">
        <v>839</v>
      </c>
      <c r="L618" s="1" t="s">
        <v>840</v>
      </c>
      <c r="M618" s="1" t="s">
        <v>841</v>
      </c>
      <c r="N618" s="1" t="s">
        <v>63</v>
      </c>
      <c r="O618" s="1">
        <f>MONTH(orders[[#This Row],[OrderDate]])</f>
        <v>3</v>
      </c>
    </row>
    <row r="619" spans="1:15" x14ac:dyDescent="0.35">
      <c r="A619">
        <v>10865</v>
      </c>
      <c r="B619" s="1" t="s">
        <v>528</v>
      </c>
      <c r="C619">
        <v>2</v>
      </c>
      <c r="D619" s="2">
        <v>35128</v>
      </c>
      <c r="E619" s="2">
        <v>35142</v>
      </c>
      <c r="F619" s="2">
        <v>35138</v>
      </c>
      <c r="G619">
        <v>1</v>
      </c>
      <c r="H619">
        <v>348.14</v>
      </c>
      <c r="I619" s="1" t="s">
        <v>529</v>
      </c>
      <c r="J619" s="1" t="s">
        <v>531</v>
      </c>
      <c r="K619" s="1" t="s">
        <v>532</v>
      </c>
      <c r="L619" s="1" t="s">
        <v>1195</v>
      </c>
      <c r="M619" s="1" t="s">
        <v>533</v>
      </c>
      <c r="N619" s="1" t="s">
        <v>38</v>
      </c>
      <c r="O619" s="1">
        <f>MONTH(orders[[#This Row],[OrderDate]])</f>
        <v>3</v>
      </c>
    </row>
    <row r="620" spans="1:15" x14ac:dyDescent="0.35">
      <c r="A620">
        <v>10866</v>
      </c>
      <c r="B620" s="1" t="s">
        <v>66</v>
      </c>
      <c r="C620">
        <v>5</v>
      </c>
      <c r="D620" s="2">
        <v>35129</v>
      </c>
      <c r="E620" s="2">
        <v>35157</v>
      </c>
      <c r="F620" s="2">
        <v>35138</v>
      </c>
      <c r="G620">
        <v>1</v>
      </c>
      <c r="H620">
        <v>109.11</v>
      </c>
      <c r="I620" s="1" t="s">
        <v>67</v>
      </c>
      <c r="J620" s="1" t="s">
        <v>70</v>
      </c>
      <c r="K620" s="1" t="s">
        <v>71</v>
      </c>
      <c r="L620" s="1" t="s">
        <v>1195</v>
      </c>
      <c r="M620" s="1" t="s">
        <v>72</v>
      </c>
      <c r="N620" s="1" t="s">
        <v>73</v>
      </c>
      <c r="O620" s="1">
        <f>MONTH(orders[[#This Row],[OrderDate]])</f>
        <v>3</v>
      </c>
    </row>
    <row r="621" spans="1:15" x14ac:dyDescent="0.35">
      <c r="A621">
        <v>10867</v>
      </c>
      <c r="B621" s="1" t="s">
        <v>417</v>
      </c>
      <c r="C621">
        <v>6</v>
      </c>
      <c r="D621" s="2">
        <v>35129</v>
      </c>
      <c r="E621" s="2">
        <v>35171</v>
      </c>
      <c r="F621" s="2">
        <v>35137</v>
      </c>
      <c r="G621">
        <v>1</v>
      </c>
      <c r="H621">
        <v>1.93</v>
      </c>
      <c r="I621" s="1" t="s">
        <v>418</v>
      </c>
      <c r="J621" s="1" t="s">
        <v>420</v>
      </c>
      <c r="K621" s="1" t="s">
        <v>421</v>
      </c>
      <c r="L621" s="1" t="s">
        <v>290</v>
      </c>
      <c r="M621" s="1" t="s">
        <v>422</v>
      </c>
      <c r="N621" s="1" t="s">
        <v>292</v>
      </c>
      <c r="O621" s="1">
        <f>MONTH(orders[[#This Row],[OrderDate]])</f>
        <v>3</v>
      </c>
    </row>
    <row r="622" spans="1:15" x14ac:dyDescent="0.35">
      <c r="A622">
        <v>10868</v>
      </c>
      <c r="B622" s="1" t="s">
        <v>522</v>
      </c>
      <c r="C622">
        <v>7</v>
      </c>
      <c r="D622" s="2">
        <v>35130</v>
      </c>
      <c r="E622" s="2">
        <v>35158</v>
      </c>
      <c r="F622" s="2">
        <v>35149</v>
      </c>
      <c r="G622">
        <v>2</v>
      </c>
      <c r="H622">
        <v>191.27</v>
      </c>
      <c r="I622" s="1" t="s">
        <v>523</v>
      </c>
      <c r="J622" s="1" t="s">
        <v>525</v>
      </c>
      <c r="K622" s="1" t="s">
        <v>158</v>
      </c>
      <c r="L622" s="1" t="s">
        <v>159</v>
      </c>
      <c r="M622" s="1" t="s">
        <v>526</v>
      </c>
      <c r="N622" s="1" t="s">
        <v>161</v>
      </c>
      <c r="O622" s="1">
        <f>MONTH(orders[[#This Row],[OrderDate]])</f>
        <v>3</v>
      </c>
    </row>
    <row r="623" spans="1:15" x14ac:dyDescent="0.35">
      <c r="A623">
        <v>10869</v>
      </c>
      <c r="B623" s="1" t="s">
        <v>596</v>
      </c>
      <c r="C623">
        <v>5</v>
      </c>
      <c r="D623" s="2">
        <v>35130</v>
      </c>
      <c r="E623" s="2">
        <v>35158</v>
      </c>
      <c r="F623" s="2">
        <v>35135</v>
      </c>
      <c r="G623">
        <v>1</v>
      </c>
      <c r="H623">
        <v>143.28</v>
      </c>
      <c r="I623" s="1" t="s">
        <v>597</v>
      </c>
      <c r="J623" s="1" t="s">
        <v>599</v>
      </c>
      <c r="K623" s="1" t="s">
        <v>61</v>
      </c>
      <c r="L623" s="1" t="s">
        <v>1195</v>
      </c>
      <c r="M623" s="1" t="s">
        <v>600</v>
      </c>
      <c r="N623" s="1" t="s">
        <v>63</v>
      </c>
      <c r="O623" s="1">
        <f>MONTH(orders[[#This Row],[OrderDate]])</f>
        <v>3</v>
      </c>
    </row>
    <row r="624" spans="1:15" x14ac:dyDescent="0.35">
      <c r="A624">
        <v>10870</v>
      </c>
      <c r="B624" s="1" t="s">
        <v>740</v>
      </c>
      <c r="C624">
        <v>5</v>
      </c>
      <c r="D624" s="2">
        <v>35130</v>
      </c>
      <c r="E624" s="2">
        <v>35158</v>
      </c>
      <c r="F624" s="2">
        <v>35139</v>
      </c>
      <c r="G624">
        <v>3</v>
      </c>
      <c r="H624">
        <v>12.04</v>
      </c>
      <c r="I624" s="1" t="s">
        <v>844</v>
      </c>
      <c r="J624" s="1" t="s">
        <v>743</v>
      </c>
      <c r="K624" s="1" t="s">
        <v>744</v>
      </c>
      <c r="L624" s="1" t="s">
        <v>1195</v>
      </c>
      <c r="M624" s="1" t="s">
        <v>745</v>
      </c>
      <c r="N624" s="1" t="s">
        <v>746</v>
      </c>
      <c r="O624" s="1">
        <f>MONTH(orders[[#This Row],[OrderDate]])</f>
        <v>3</v>
      </c>
    </row>
    <row r="625" spans="1:15" x14ac:dyDescent="0.35">
      <c r="A625">
        <v>10871</v>
      </c>
      <c r="B625" s="1" t="s">
        <v>103</v>
      </c>
      <c r="C625">
        <v>9</v>
      </c>
      <c r="D625" s="2">
        <v>35131</v>
      </c>
      <c r="E625" s="2">
        <v>35159</v>
      </c>
      <c r="F625" s="2">
        <v>35136</v>
      </c>
      <c r="G625">
        <v>2</v>
      </c>
      <c r="H625">
        <v>112.27</v>
      </c>
      <c r="I625" s="1" t="s">
        <v>104</v>
      </c>
      <c r="J625" s="1" t="s">
        <v>106</v>
      </c>
      <c r="K625" s="1" t="s">
        <v>107</v>
      </c>
      <c r="L625" s="1" t="s">
        <v>1195</v>
      </c>
      <c r="M625" s="1" t="s">
        <v>108</v>
      </c>
      <c r="N625" s="1" t="s">
        <v>91</v>
      </c>
      <c r="O625" s="1">
        <f>MONTH(orders[[#This Row],[OrderDate]])</f>
        <v>3</v>
      </c>
    </row>
    <row r="626" spans="1:15" x14ac:dyDescent="0.35">
      <c r="A626">
        <v>10872</v>
      </c>
      <c r="B626" s="1" t="s">
        <v>271</v>
      </c>
      <c r="C626">
        <v>5</v>
      </c>
      <c r="D626" s="2">
        <v>35131</v>
      </c>
      <c r="E626" s="2">
        <v>35159</v>
      </c>
      <c r="F626" s="2">
        <v>35135</v>
      </c>
      <c r="G626">
        <v>2</v>
      </c>
      <c r="H626">
        <v>175.32</v>
      </c>
      <c r="I626" s="1" t="s">
        <v>272</v>
      </c>
      <c r="J626" s="1" t="s">
        <v>274</v>
      </c>
      <c r="K626" s="1" t="s">
        <v>275</v>
      </c>
      <c r="L626" s="1" t="s">
        <v>1195</v>
      </c>
      <c r="M626" s="1" t="s">
        <v>276</v>
      </c>
      <c r="N626" s="1" t="s">
        <v>100</v>
      </c>
      <c r="O626" s="1">
        <f>MONTH(orders[[#This Row],[OrderDate]])</f>
        <v>3</v>
      </c>
    </row>
    <row r="627" spans="1:15" x14ac:dyDescent="0.35">
      <c r="A627">
        <v>10873</v>
      </c>
      <c r="B627" s="1" t="s">
        <v>732</v>
      </c>
      <c r="C627">
        <v>4</v>
      </c>
      <c r="D627" s="2">
        <v>35132</v>
      </c>
      <c r="E627" s="2">
        <v>35160</v>
      </c>
      <c r="F627" s="2">
        <v>35135</v>
      </c>
      <c r="G627">
        <v>1</v>
      </c>
      <c r="H627">
        <v>0.82</v>
      </c>
      <c r="I627" s="1" t="s">
        <v>733</v>
      </c>
      <c r="J627" s="1" t="s">
        <v>736</v>
      </c>
      <c r="K627" s="1" t="s">
        <v>737</v>
      </c>
      <c r="L627" s="1" t="s">
        <v>1195</v>
      </c>
      <c r="M627" s="1" t="s">
        <v>738</v>
      </c>
      <c r="N627" s="1" t="s">
        <v>716</v>
      </c>
      <c r="O627" s="1">
        <f>MONTH(orders[[#This Row],[OrderDate]])</f>
        <v>3</v>
      </c>
    </row>
    <row r="628" spans="1:15" x14ac:dyDescent="0.35">
      <c r="A628">
        <v>10874</v>
      </c>
      <c r="B628" s="1" t="s">
        <v>271</v>
      </c>
      <c r="C628">
        <v>5</v>
      </c>
      <c r="D628" s="2">
        <v>35132</v>
      </c>
      <c r="E628" s="2">
        <v>35160</v>
      </c>
      <c r="F628" s="2">
        <v>35137</v>
      </c>
      <c r="G628">
        <v>2</v>
      </c>
      <c r="H628">
        <v>19.579999999999998</v>
      </c>
      <c r="I628" s="1" t="s">
        <v>272</v>
      </c>
      <c r="J628" s="1" t="s">
        <v>274</v>
      </c>
      <c r="K628" s="1" t="s">
        <v>275</v>
      </c>
      <c r="L628" s="1" t="s">
        <v>1195</v>
      </c>
      <c r="M628" s="1" t="s">
        <v>276</v>
      </c>
      <c r="N628" s="1" t="s">
        <v>100</v>
      </c>
      <c r="O628" s="1">
        <f>MONTH(orders[[#This Row],[OrderDate]])</f>
        <v>3</v>
      </c>
    </row>
    <row r="629" spans="1:15" x14ac:dyDescent="0.35">
      <c r="A629">
        <v>10875</v>
      </c>
      <c r="B629" s="1" t="s">
        <v>66</v>
      </c>
      <c r="C629">
        <v>4</v>
      </c>
      <c r="D629" s="2">
        <v>35132</v>
      </c>
      <c r="E629" s="2">
        <v>35160</v>
      </c>
      <c r="F629" s="2">
        <v>35157</v>
      </c>
      <c r="G629">
        <v>2</v>
      </c>
      <c r="H629">
        <v>32.369999999999997</v>
      </c>
      <c r="I629" s="1" t="s">
        <v>67</v>
      </c>
      <c r="J629" s="1" t="s">
        <v>70</v>
      </c>
      <c r="K629" s="1" t="s">
        <v>71</v>
      </c>
      <c r="L629" s="1" t="s">
        <v>1195</v>
      </c>
      <c r="M629" s="1" t="s">
        <v>72</v>
      </c>
      <c r="N629" s="1" t="s">
        <v>73</v>
      </c>
      <c r="O629" s="1">
        <f>MONTH(orders[[#This Row],[OrderDate]])</f>
        <v>3</v>
      </c>
    </row>
    <row r="630" spans="1:15" x14ac:dyDescent="0.35">
      <c r="A630">
        <v>10876</v>
      </c>
      <c r="B630" s="1" t="s">
        <v>103</v>
      </c>
      <c r="C630">
        <v>7</v>
      </c>
      <c r="D630" s="2">
        <v>35135</v>
      </c>
      <c r="E630" s="2">
        <v>35163</v>
      </c>
      <c r="F630" s="2">
        <v>35138</v>
      </c>
      <c r="G630">
        <v>3</v>
      </c>
      <c r="H630">
        <v>60.42</v>
      </c>
      <c r="I630" s="1" t="s">
        <v>104</v>
      </c>
      <c r="J630" s="1" t="s">
        <v>106</v>
      </c>
      <c r="K630" s="1" t="s">
        <v>107</v>
      </c>
      <c r="L630" s="1" t="s">
        <v>1195</v>
      </c>
      <c r="M630" s="1" t="s">
        <v>108</v>
      </c>
      <c r="N630" s="1" t="s">
        <v>91</v>
      </c>
      <c r="O630" s="1">
        <f>MONTH(orders[[#This Row],[OrderDate]])</f>
        <v>3</v>
      </c>
    </row>
    <row r="631" spans="1:15" x14ac:dyDescent="0.35">
      <c r="A631">
        <v>10877</v>
      </c>
      <c r="B631" s="1" t="s">
        <v>559</v>
      </c>
      <c r="C631">
        <v>1</v>
      </c>
      <c r="D631" s="2">
        <v>35135</v>
      </c>
      <c r="E631" s="2">
        <v>35163</v>
      </c>
      <c r="F631" s="2">
        <v>35145</v>
      </c>
      <c r="G631">
        <v>1</v>
      </c>
      <c r="H631">
        <v>38.06</v>
      </c>
      <c r="I631" s="1" t="s">
        <v>560</v>
      </c>
      <c r="J631" s="1" t="s">
        <v>562</v>
      </c>
      <c r="K631" s="1" t="s">
        <v>308</v>
      </c>
      <c r="L631" s="1" t="s">
        <v>309</v>
      </c>
      <c r="M631" s="1" t="s">
        <v>563</v>
      </c>
      <c r="N631" s="1" t="s">
        <v>161</v>
      </c>
      <c r="O631" s="1">
        <f>MONTH(orders[[#This Row],[OrderDate]])</f>
        <v>3</v>
      </c>
    </row>
    <row r="632" spans="1:15" x14ac:dyDescent="0.35">
      <c r="A632">
        <v>10878</v>
      </c>
      <c r="B632" s="1" t="s">
        <v>528</v>
      </c>
      <c r="C632">
        <v>4</v>
      </c>
      <c r="D632" s="2">
        <v>35136</v>
      </c>
      <c r="E632" s="2">
        <v>35164</v>
      </c>
      <c r="F632" s="2">
        <v>35138</v>
      </c>
      <c r="G632">
        <v>1</v>
      </c>
      <c r="H632">
        <v>46.69</v>
      </c>
      <c r="I632" s="1" t="s">
        <v>529</v>
      </c>
      <c r="J632" s="1" t="s">
        <v>531</v>
      </c>
      <c r="K632" s="1" t="s">
        <v>532</v>
      </c>
      <c r="L632" s="1" t="s">
        <v>1195</v>
      </c>
      <c r="M632" s="1" t="s">
        <v>533</v>
      </c>
      <c r="N632" s="1" t="s">
        <v>38</v>
      </c>
      <c r="O632" s="1">
        <f>MONTH(orders[[#This Row],[OrderDate]])</f>
        <v>3</v>
      </c>
    </row>
    <row r="633" spans="1:15" x14ac:dyDescent="0.35">
      <c r="A633">
        <v>10879</v>
      </c>
      <c r="B633" s="1" t="s">
        <v>732</v>
      </c>
      <c r="C633">
        <v>3</v>
      </c>
      <c r="D633" s="2">
        <v>35136</v>
      </c>
      <c r="E633" s="2">
        <v>35164</v>
      </c>
      <c r="F633" s="2">
        <v>35138</v>
      </c>
      <c r="G633">
        <v>3</v>
      </c>
      <c r="H633">
        <v>8.5</v>
      </c>
      <c r="I633" s="1" t="s">
        <v>733</v>
      </c>
      <c r="J633" s="1" t="s">
        <v>736</v>
      </c>
      <c r="K633" s="1" t="s">
        <v>737</v>
      </c>
      <c r="L633" s="1" t="s">
        <v>1195</v>
      </c>
      <c r="M633" s="1" t="s">
        <v>738</v>
      </c>
      <c r="N633" s="1" t="s">
        <v>716</v>
      </c>
      <c r="O633" s="1">
        <f>MONTH(orders[[#This Row],[OrderDate]])</f>
        <v>3</v>
      </c>
    </row>
    <row r="634" spans="1:15" x14ac:dyDescent="0.35">
      <c r="A634">
        <v>10880</v>
      </c>
      <c r="B634" s="1" t="s">
        <v>225</v>
      </c>
      <c r="C634">
        <v>7</v>
      </c>
      <c r="D634" s="2">
        <v>35136</v>
      </c>
      <c r="E634" s="2">
        <v>35178</v>
      </c>
      <c r="F634" s="2">
        <v>35144</v>
      </c>
      <c r="G634">
        <v>1</v>
      </c>
      <c r="H634">
        <v>88.01</v>
      </c>
      <c r="I634" s="1" t="s">
        <v>226</v>
      </c>
      <c r="J634" s="1" t="s">
        <v>228</v>
      </c>
      <c r="K634" s="1" t="s">
        <v>229</v>
      </c>
      <c r="L634" s="1" t="s">
        <v>1195</v>
      </c>
      <c r="M634" s="1" t="s">
        <v>230</v>
      </c>
      <c r="N634" s="1" t="s">
        <v>73</v>
      </c>
      <c r="O634" s="1">
        <f>MONTH(orders[[#This Row],[OrderDate]])</f>
        <v>3</v>
      </c>
    </row>
    <row r="635" spans="1:15" x14ac:dyDescent="0.35">
      <c r="A635">
        <v>10881</v>
      </c>
      <c r="B635" s="1" t="s">
        <v>128</v>
      </c>
      <c r="C635">
        <v>4</v>
      </c>
      <c r="D635" s="2">
        <v>35137</v>
      </c>
      <c r="E635" s="2">
        <v>35165</v>
      </c>
      <c r="F635" s="2">
        <v>35144</v>
      </c>
      <c r="G635">
        <v>1</v>
      </c>
      <c r="H635">
        <v>2.84</v>
      </c>
      <c r="I635" s="1" t="s">
        <v>129</v>
      </c>
      <c r="J635" s="1" t="s">
        <v>132</v>
      </c>
      <c r="K635" s="1" t="s">
        <v>133</v>
      </c>
      <c r="L635" s="1" t="s">
        <v>1195</v>
      </c>
      <c r="M635" s="1" t="s">
        <v>134</v>
      </c>
      <c r="N635" s="1" t="s">
        <v>135</v>
      </c>
      <c r="O635" s="1">
        <f>MONTH(orders[[#This Row],[OrderDate]])</f>
        <v>3</v>
      </c>
    </row>
    <row r="636" spans="1:15" x14ac:dyDescent="0.35">
      <c r="A636">
        <v>10882</v>
      </c>
      <c r="B636" s="1" t="s">
        <v>588</v>
      </c>
      <c r="C636">
        <v>4</v>
      </c>
      <c r="D636" s="2">
        <v>35137</v>
      </c>
      <c r="E636" s="2">
        <v>35165</v>
      </c>
      <c r="F636" s="2">
        <v>35146</v>
      </c>
      <c r="G636">
        <v>3</v>
      </c>
      <c r="H636">
        <v>23.1</v>
      </c>
      <c r="I636" s="1" t="s">
        <v>589</v>
      </c>
      <c r="J636" s="1" t="s">
        <v>591</v>
      </c>
      <c r="K636" s="1" t="s">
        <v>592</v>
      </c>
      <c r="L636" s="1" t="s">
        <v>593</v>
      </c>
      <c r="M636" s="1" t="s">
        <v>594</v>
      </c>
      <c r="N636" s="1" t="s">
        <v>292</v>
      </c>
      <c r="O636" s="1">
        <f>MONTH(orders[[#This Row],[OrderDate]])</f>
        <v>3</v>
      </c>
    </row>
    <row r="637" spans="1:15" x14ac:dyDescent="0.35">
      <c r="A637">
        <v>10883</v>
      </c>
      <c r="B637" s="1" t="s">
        <v>417</v>
      </c>
      <c r="C637">
        <v>8</v>
      </c>
      <c r="D637" s="2">
        <v>35138</v>
      </c>
      <c r="E637" s="2">
        <v>35166</v>
      </c>
      <c r="F637" s="2">
        <v>35146</v>
      </c>
      <c r="G637">
        <v>3</v>
      </c>
      <c r="H637">
        <v>0.53</v>
      </c>
      <c r="I637" s="1" t="s">
        <v>418</v>
      </c>
      <c r="J637" s="1" t="s">
        <v>420</v>
      </c>
      <c r="K637" s="1" t="s">
        <v>421</v>
      </c>
      <c r="L637" s="1" t="s">
        <v>290</v>
      </c>
      <c r="M637" s="1" t="s">
        <v>422</v>
      </c>
      <c r="N637" s="1" t="s">
        <v>292</v>
      </c>
      <c r="O637" s="1">
        <f>MONTH(orders[[#This Row],[OrderDate]])</f>
        <v>3</v>
      </c>
    </row>
    <row r="638" spans="1:15" x14ac:dyDescent="0.35">
      <c r="A638">
        <v>10884</v>
      </c>
      <c r="B638" s="1" t="s">
        <v>392</v>
      </c>
      <c r="C638">
        <v>4</v>
      </c>
      <c r="D638" s="2">
        <v>35138</v>
      </c>
      <c r="E638" s="2">
        <v>35166</v>
      </c>
      <c r="F638" s="2">
        <v>35139</v>
      </c>
      <c r="G638">
        <v>2</v>
      </c>
      <c r="H638">
        <v>90.97</v>
      </c>
      <c r="I638" s="1" t="s">
        <v>393</v>
      </c>
      <c r="J638" s="1" t="s">
        <v>1202</v>
      </c>
      <c r="K638" s="1" t="s">
        <v>395</v>
      </c>
      <c r="L638" s="1" t="s">
        <v>396</v>
      </c>
      <c r="M638" s="1" t="s">
        <v>397</v>
      </c>
      <c r="N638" s="1" t="s">
        <v>292</v>
      </c>
      <c r="O638" s="1">
        <f>MONTH(orders[[#This Row],[OrderDate]])</f>
        <v>3</v>
      </c>
    </row>
    <row r="639" spans="1:15" x14ac:dyDescent="0.35">
      <c r="A639">
        <v>10885</v>
      </c>
      <c r="B639" s="1" t="s">
        <v>628</v>
      </c>
      <c r="C639">
        <v>6</v>
      </c>
      <c r="D639" s="2">
        <v>35138</v>
      </c>
      <c r="E639" s="2">
        <v>35166</v>
      </c>
      <c r="F639" s="2">
        <v>35144</v>
      </c>
      <c r="G639">
        <v>3</v>
      </c>
      <c r="H639">
        <v>5.64</v>
      </c>
      <c r="I639" s="1" t="s">
        <v>629</v>
      </c>
      <c r="J639" s="1" t="s">
        <v>631</v>
      </c>
      <c r="K639" s="1" t="s">
        <v>632</v>
      </c>
      <c r="L639" s="1" t="s">
        <v>1195</v>
      </c>
      <c r="M639" s="1" t="s">
        <v>633</v>
      </c>
      <c r="N639" s="1" t="s">
        <v>439</v>
      </c>
      <c r="O639" s="1">
        <f>MONTH(orders[[#This Row],[OrderDate]])</f>
        <v>3</v>
      </c>
    </row>
    <row r="640" spans="1:15" x14ac:dyDescent="0.35">
      <c r="A640">
        <v>10886</v>
      </c>
      <c r="B640" s="1" t="s">
        <v>304</v>
      </c>
      <c r="C640">
        <v>1</v>
      </c>
      <c r="D640" s="2">
        <v>35139</v>
      </c>
      <c r="E640" s="2">
        <v>35167</v>
      </c>
      <c r="F640" s="2">
        <v>35156</v>
      </c>
      <c r="G640">
        <v>1</v>
      </c>
      <c r="H640">
        <v>4.99</v>
      </c>
      <c r="I640" s="1" t="s">
        <v>305</v>
      </c>
      <c r="J640" s="1" t="s">
        <v>307</v>
      </c>
      <c r="K640" s="1" t="s">
        <v>308</v>
      </c>
      <c r="L640" s="1" t="s">
        <v>309</v>
      </c>
      <c r="M640" s="1" t="s">
        <v>310</v>
      </c>
      <c r="N640" s="1" t="s">
        <v>161</v>
      </c>
      <c r="O640" s="1">
        <f>MONTH(orders[[#This Row],[OrderDate]])</f>
        <v>3</v>
      </c>
    </row>
    <row r="641" spans="1:15" x14ac:dyDescent="0.35">
      <c r="A641">
        <v>10887</v>
      </c>
      <c r="B641" s="1" t="s">
        <v>263</v>
      </c>
      <c r="C641">
        <v>8</v>
      </c>
      <c r="D641" s="2">
        <v>35139</v>
      </c>
      <c r="E641" s="2">
        <v>35167</v>
      </c>
      <c r="F641" s="2">
        <v>35142</v>
      </c>
      <c r="G641">
        <v>3</v>
      </c>
      <c r="H641">
        <v>1.25</v>
      </c>
      <c r="I641" s="1" t="s">
        <v>842</v>
      </c>
      <c r="J641" s="1" t="s">
        <v>266</v>
      </c>
      <c r="K641" s="1" t="s">
        <v>267</v>
      </c>
      <c r="L641" s="1" t="s">
        <v>1195</v>
      </c>
      <c r="M641" s="1" t="s">
        <v>843</v>
      </c>
      <c r="N641" s="1" t="s">
        <v>100</v>
      </c>
      <c r="O641" s="1">
        <f>MONTH(orders[[#This Row],[OrderDate]])</f>
        <v>3</v>
      </c>
    </row>
    <row r="642" spans="1:15" x14ac:dyDescent="0.35">
      <c r="A642">
        <v>10888</v>
      </c>
      <c r="B642" s="1" t="s">
        <v>271</v>
      </c>
      <c r="C642">
        <v>1</v>
      </c>
      <c r="D642" s="2">
        <v>35142</v>
      </c>
      <c r="E642" s="2">
        <v>35170</v>
      </c>
      <c r="F642" s="2">
        <v>35149</v>
      </c>
      <c r="G642">
        <v>2</v>
      </c>
      <c r="H642">
        <v>51.87</v>
      </c>
      <c r="I642" s="1" t="s">
        <v>272</v>
      </c>
      <c r="J642" s="1" t="s">
        <v>274</v>
      </c>
      <c r="K642" s="1" t="s">
        <v>275</v>
      </c>
      <c r="L642" s="1" t="s">
        <v>1195</v>
      </c>
      <c r="M642" s="1" t="s">
        <v>276</v>
      </c>
      <c r="N642" s="1" t="s">
        <v>100</v>
      </c>
      <c r="O642" s="1">
        <f>MONTH(orders[[#This Row],[OrderDate]])</f>
        <v>3</v>
      </c>
    </row>
    <row r="643" spans="1:15" x14ac:dyDescent="0.35">
      <c r="A643">
        <v>10889</v>
      </c>
      <c r="B643" s="1" t="s">
        <v>541</v>
      </c>
      <c r="C643">
        <v>9</v>
      </c>
      <c r="D643" s="2">
        <v>35142</v>
      </c>
      <c r="E643" s="2">
        <v>35170</v>
      </c>
      <c r="F643" s="2">
        <v>35149</v>
      </c>
      <c r="G643">
        <v>3</v>
      </c>
      <c r="H643">
        <v>280.61</v>
      </c>
      <c r="I643" s="1" t="s">
        <v>542</v>
      </c>
      <c r="J643" s="1" t="s">
        <v>545</v>
      </c>
      <c r="K643" s="1" t="s">
        <v>546</v>
      </c>
      <c r="L643" s="1" t="s">
        <v>547</v>
      </c>
      <c r="M643" s="1" t="s">
        <v>548</v>
      </c>
      <c r="N643" s="1" t="s">
        <v>292</v>
      </c>
      <c r="O643" s="1">
        <f>MONTH(orders[[#This Row],[OrderDate]])</f>
        <v>3</v>
      </c>
    </row>
    <row r="644" spans="1:15" x14ac:dyDescent="0.35">
      <c r="A644">
        <v>10890</v>
      </c>
      <c r="B644" s="1" t="s">
        <v>177</v>
      </c>
      <c r="C644">
        <v>7</v>
      </c>
      <c r="D644" s="2">
        <v>35142</v>
      </c>
      <c r="E644" s="2">
        <v>35170</v>
      </c>
      <c r="F644" s="2">
        <v>35144</v>
      </c>
      <c r="G644">
        <v>1</v>
      </c>
      <c r="H644">
        <v>32.76</v>
      </c>
      <c r="I644" s="1" t="s">
        <v>178</v>
      </c>
      <c r="J644" s="1" t="s">
        <v>180</v>
      </c>
      <c r="K644" s="1" t="s">
        <v>181</v>
      </c>
      <c r="L644" s="1" t="s">
        <v>1195</v>
      </c>
      <c r="M644" s="1" t="s">
        <v>182</v>
      </c>
      <c r="N644" s="1" t="s">
        <v>91</v>
      </c>
      <c r="O644" s="1">
        <f>MONTH(orders[[#This Row],[OrderDate]])</f>
        <v>3</v>
      </c>
    </row>
    <row r="645" spans="1:15" x14ac:dyDescent="0.35">
      <c r="A645">
        <v>10891</v>
      </c>
      <c r="B645" s="1" t="s">
        <v>385</v>
      </c>
      <c r="C645">
        <v>7</v>
      </c>
      <c r="D645" s="2">
        <v>35143</v>
      </c>
      <c r="E645" s="2">
        <v>35171</v>
      </c>
      <c r="F645" s="2">
        <v>35145</v>
      </c>
      <c r="G645">
        <v>2</v>
      </c>
      <c r="H645">
        <v>20.37</v>
      </c>
      <c r="I645" s="1" t="s">
        <v>386</v>
      </c>
      <c r="J645" s="1" t="s">
        <v>388</v>
      </c>
      <c r="K645" s="1" t="s">
        <v>1201</v>
      </c>
      <c r="L645" s="1" t="s">
        <v>1195</v>
      </c>
      <c r="M645" s="1" t="s">
        <v>389</v>
      </c>
      <c r="N645" s="1" t="s">
        <v>38</v>
      </c>
      <c r="O645" s="1">
        <f>MONTH(orders[[#This Row],[OrderDate]])</f>
        <v>3</v>
      </c>
    </row>
    <row r="646" spans="1:15" x14ac:dyDescent="0.35">
      <c r="A646">
        <v>10892</v>
      </c>
      <c r="B646" s="1" t="s">
        <v>433</v>
      </c>
      <c r="C646">
        <v>4</v>
      </c>
      <c r="D646" s="2">
        <v>35143</v>
      </c>
      <c r="E646" s="2">
        <v>35171</v>
      </c>
      <c r="F646" s="2">
        <v>35145</v>
      </c>
      <c r="G646">
        <v>2</v>
      </c>
      <c r="H646">
        <v>120.27</v>
      </c>
      <c r="I646" s="1" t="s">
        <v>434</v>
      </c>
      <c r="J646" s="1" t="s">
        <v>436</v>
      </c>
      <c r="K646" s="1" t="s">
        <v>437</v>
      </c>
      <c r="L646" s="1" t="s">
        <v>1195</v>
      </c>
      <c r="M646" s="1" t="s">
        <v>438</v>
      </c>
      <c r="N646" s="1" t="s">
        <v>439</v>
      </c>
      <c r="O646" s="1">
        <f>MONTH(orders[[#This Row],[OrderDate]])</f>
        <v>3</v>
      </c>
    </row>
    <row r="647" spans="1:15" x14ac:dyDescent="0.35">
      <c r="A647">
        <v>10893</v>
      </c>
      <c r="B647" s="1" t="s">
        <v>345</v>
      </c>
      <c r="C647">
        <v>9</v>
      </c>
      <c r="D647" s="2">
        <v>35144</v>
      </c>
      <c r="E647" s="2">
        <v>35172</v>
      </c>
      <c r="F647" s="2">
        <v>35146</v>
      </c>
      <c r="G647">
        <v>2</v>
      </c>
      <c r="H647">
        <v>77.78</v>
      </c>
      <c r="I647" s="1" t="s">
        <v>346</v>
      </c>
      <c r="J647" s="1" t="s">
        <v>348</v>
      </c>
      <c r="K647" s="1" t="s">
        <v>349</v>
      </c>
      <c r="L647" s="1" t="s">
        <v>1195</v>
      </c>
      <c r="M647" s="1" t="s">
        <v>350</v>
      </c>
      <c r="N647" s="1" t="s">
        <v>38</v>
      </c>
      <c r="O647" s="1">
        <f>MONTH(orders[[#This Row],[OrderDate]])</f>
        <v>3</v>
      </c>
    </row>
    <row r="648" spans="1:15" x14ac:dyDescent="0.35">
      <c r="A648">
        <v>10894</v>
      </c>
      <c r="B648" s="1" t="s">
        <v>588</v>
      </c>
      <c r="C648">
        <v>1</v>
      </c>
      <c r="D648" s="2">
        <v>35144</v>
      </c>
      <c r="E648" s="2">
        <v>35172</v>
      </c>
      <c r="F648" s="2">
        <v>35146</v>
      </c>
      <c r="G648">
        <v>1</v>
      </c>
      <c r="H648">
        <v>116.13</v>
      </c>
      <c r="I648" s="1" t="s">
        <v>589</v>
      </c>
      <c r="J648" s="1" t="s">
        <v>591</v>
      </c>
      <c r="K648" s="1" t="s">
        <v>592</v>
      </c>
      <c r="L648" s="1" t="s">
        <v>593</v>
      </c>
      <c r="M648" s="1" t="s">
        <v>594</v>
      </c>
      <c r="N648" s="1" t="s">
        <v>292</v>
      </c>
      <c r="O648" s="1">
        <f>MONTH(orders[[#This Row],[OrderDate]])</f>
        <v>3</v>
      </c>
    </row>
    <row r="649" spans="1:15" x14ac:dyDescent="0.35">
      <c r="A649">
        <v>10895</v>
      </c>
      <c r="B649" s="1" t="s">
        <v>192</v>
      </c>
      <c r="C649">
        <v>3</v>
      </c>
      <c r="D649" s="2">
        <v>35144</v>
      </c>
      <c r="E649" s="2">
        <v>35172</v>
      </c>
      <c r="F649" s="2">
        <v>35149</v>
      </c>
      <c r="G649">
        <v>1</v>
      </c>
      <c r="H649">
        <v>162.75</v>
      </c>
      <c r="I649" s="1" t="s">
        <v>193</v>
      </c>
      <c r="J649" s="1" t="s">
        <v>196</v>
      </c>
      <c r="K649" s="1" t="s">
        <v>197</v>
      </c>
      <c r="L649" s="1" t="s">
        <v>1195</v>
      </c>
      <c r="M649" s="1" t="s">
        <v>198</v>
      </c>
      <c r="N649" s="1" t="s">
        <v>199</v>
      </c>
      <c r="O649" s="1">
        <f>MONTH(orders[[#This Row],[OrderDate]])</f>
        <v>3</v>
      </c>
    </row>
    <row r="650" spans="1:15" x14ac:dyDescent="0.35">
      <c r="A650">
        <v>10896</v>
      </c>
      <c r="B650" s="1" t="s">
        <v>433</v>
      </c>
      <c r="C650">
        <v>7</v>
      </c>
      <c r="D650" s="2">
        <v>35145</v>
      </c>
      <c r="E650" s="2">
        <v>35173</v>
      </c>
      <c r="F650" s="2">
        <v>35153</v>
      </c>
      <c r="G650">
        <v>3</v>
      </c>
      <c r="H650">
        <v>32.450000000000003</v>
      </c>
      <c r="I650" s="1" t="s">
        <v>434</v>
      </c>
      <c r="J650" s="1" t="s">
        <v>436</v>
      </c>
      <c r="K650" s="1" t="s">
        <v>437</v>
      </c>
      <c r="L650" s="1" t="s">
        <v>1195</v>
      </c>
      <c r="M650" s="1" t="s">
        <v>438</v>
      </c>
      <c r="N650" s="1" t="s">
        <v>439</v>
      </c>
      <c r="O650" s="1">
        <f>MONTH(orders[[#This Row],[OrderDate]])</f>
        <v>3</v>
      </c>
    </row>
    <row r="651" spans="1:15" x14ac:dyDescent="0.35">
      <c r="A651">
        <v>10897</v>
      </c>
      <c r="B651" s="1" t="s">
        <v>329</v>
      </c>
      <c r="C651">
        <v>3</v>
      </c>
      <c r="D651" s="2">
        <v>35145</v>
      </c>
      <c r="E651" s="2">
        <v>35173</v>
      </c>
      <c r="F651" s="2">
        <v>35151</v>
      </c>
      <c r="G651">
        <v>2</v>
      </c>
      <c r="H651">
        <v>603.54</v>
      </c>
      <c r="I651" s="1" t="s">
        <v>330</v>
      </c>
      <c r="J651" s="1" t="s">
        <v>332</v>
      </c>
      <c r="K651" s="1" t="s">
        <v>333</v>
      </c>
      <c r="L651" s="1" t="s">
        <v>334</v>
      </c>
      <c r="M651" s="1" t="s">
        <v>1195</v>
      </c>
      <c r="N651" s="1" t="s">
        <v>335</v>
      </c>
      <c r="O651" s="1">
        <f>MONTH(orders[[#This Row],[OrderDate]])</f>
        <v>3</v>
      </c>
    </row>
    <row r="652" spans="1:15" x14ac:dyDescent="0.35">
      <c r="A652">
        <v>10898</v>
      </c>
      <c r="B652" s="1" t="s">
        <v>464</v>
      </c>
      <c r="C652">
        <v>4</v>
      </c>
      <c r="D652" s="2">
        <v>35146</v>
      </c>
      <c r="E652" s="2">
        <v>35174</v>
      </c>
      <c r="F652" s="2">
        <v>35160</v>
      </c>
      <c r="G652">
        <v>2</v>
      </c>
      <c r="H652">
        <v>1.27</v>
      </c>
      <c r="I652" s="1" t="s">
        <v>465</v>
      </c>
      <c r="J652" s="1" t="s">
        <v>1204</v>
      </c>
      <c r="K652" s="1" t="s">
        <v>133</v>
      </c>
      <c r="L652" s="1" t="s">
        <v>1195</v>
      </c>
      <c r="M652" s="1" t="s">
        <v>134</v>
      </c>
      <c r="N652" s="1" t="s">
        <v>135</v>
      </c>
      <c r="O652" s="1">
        <f>MONTH(orders[[#This Row],[OrderDate]])</f>
        <v>3</v>
      </c>
    </row>
    <row r="653" spans="1:15" x14ac:dyDescent="0.35">
      <c r="A653">
        <v>10899</v>
      </c>
      <c r="B653" s="1" t="s">
        <v>399</v>
      </c>
      <c r="C653">
        <v>5</v>
      </c>
      <c r="D653" s="2">
        <v>35146</v>
      </c>
      <c r="E653" s="2">
        <v>35174</v>
      </c>
      <c r="F653" s="2">
        <v>35152</v>
      </c>
      <c r="G653">
        <v>3</v>
      </c>
      <c r="H653">
        <v>1.21</v>
      </c>
      <c r="I653" s="1" t="s">
        <v>400</v>
      </c>
      <c r="J653" s="1" t="s">
        <v>402</v>
      </c>
      <c r="K653" s="1" t="s">
        <v>403</v>
      </c>
      <c r="L653" s="1" t="s">
        <v>404</v>
      </c>
      <c r="M653" s="1" t="s">
        <v>405</v>
      </c>
      <c r="N653" s="1" t="s">
        <v>301</v>
      </c>
      <c r="O653" s="1">
        <f>MONTH(orders[[#This Row],[OrderDate]])</f>
        <v>3</v>
      </c>
    </row>
    <row r="654" spans="1:15" x14ac:dyDescent="0.35">
      <c r="A654">
        <v>10900</v>
      </c>
      <c r="B654" s="1" t="s">
        <v>718</v>
      </c>
      <c r="C654">
        <v>1</v>
      </c>
      <c r="D654" s="2">
        <v>35146</v>
      </c>
      <c r="E654" s="2">
        <v>35174</v>
      </c>
      <c r="F654" s="2">
        <v>35158</v>
      </c>
      <c r="G654">
        <v>2</v>
      </c>
      <c r="H654">
        <v>1.66</v>
      </c>
      <c r="I654" s="1" t="s">
        <v>719</v>
      </c>
      <c r="J654" s="1" t="s">
        <v>721</v>
      </c>
      <c r="K654" s="1" t="s">
        <v>722</v>
      </c>
      <c r="L654" s="1" t="s">
        <v>159</v>
      </c>
      <c r="M654" s="1" t="s">
        <v>723</v>
      </c>
      <c r="N654" s="1" t="s">
        <v>161</v>
      </c>
      <c r="O654" s="1">
        <f>MONTH(orders[[#This Row],[OrderDate]])</f>
        <v>3</v>
      </c>
    </row>
    <row r="655" spans="1:15" x14ac:dyDescent="0.35">
      <c r="A655">
        <v>10901</v>
      </c>
      <c r="B655" s="1" t="s">
        <v>313</v>
      </c>
      <c r="C655">
        <v>4</v>
      </c>
      <c r="D655" s="2">
        <v>35149</v>
      </c>
      <c r="E655" s="2">
        <v>35177</v>
      </c>
      <c r="F655" s="2">
        <v>35152</v>
      </c>
      <c r="G655">
        <v>1</v>
      </c>
      <c r="H655">
        <v>62.09</v>
      </c>
      <c r="I655" s="1" t="s">
        <v>314</v>
      </c>
      <c r="J655" s="1" t="s">
        <v>316</v>
      </c>
      <c r="K655" s="1" t="s">
        <v>317</v>
      </c>
      <c r="L655" s="1" t="s">
        <v>318</v>
      </c>
      <c r="M655" s="1" t="s">
        <v>319</v>
      </c>
      <c r="N655" s="1" t="s">
        <v>301</v>
      </c>
      <c r="O655" s="1">
        <f>MONTH(orders[[#This Row],[OrderDate]])</f>
        <v>3</v>
      </c>
    </row>
    <row r="656" spans="1:15" x14ac:dyDescent="0.35">
      <c r="A656">
        <v>10902</v>
      </c>
      <c r="B656" s="1" t="s">
        <v>225</v>
      </c>
      <c r="C656">
        <v>1</v>
      </c>
      <c r="D656" s="2">
        <v>35149</v>
      </c>
      <c r="E656" s="2">
        <v>35177</v>
      </c>
      <c r="F656" s="2">
        <v>35157</v>
      </c>
      <c r="G656">
        <v>1</v>
      </c>
      <c r="H656">
        <v>44.15</v>
      </c>
      <c r="I656" s="1" t="s">
        <v>226</v>
      </c>
      <c r="J656" s="1" t="s">
        <v>228</v>
      </c>
      <c r="K656" s="1" t="s">
        <v>229</v>
      </c>
      <c r="L656" s="1" t="s">
        <v>1195</v>
      </c>
      <c r="M656" s="1" t="s">
        <v>230</v>
      </c>
      <c r="N656" s="1" t="s">
        <v>73</v>
      </c>
      <c r="O656" s="1">
        <f>MONTH(orders[[#This Row],[OrderDate]])</f>
        <v>3</v>
      </c>
    </row>
    <row r="657" spans="1:15" x14ac:dyDescent="0.35">
      <c r="A657">
        <v>10903</v>
      </c>
      <c r="B657" s="1" t="s">
        <v>304</v>
      </c>
      <c r="C657">
        <v>3</v>
      </c>
      <c r="D657" s="2">
        <v>35150</v>
      </c>
      <c r="E657" s="2">
        <v>35178</v>
      </c>
      <c r="F657" s="2">
        <v>35158</v>
      </c>
      <c r="G657">
        <v>3</v>
      </c>
      <c r="H657">
        <v>36.71</v>
      </c>
      <c r="I657" s="1" t="s">
        <v>305</v>
      </c>
      <c r="J657" s="1" t="s">
        <v>307</v>
      </c>
      <c r="K657" s="1" t="s">
        <v>308</v>
      </c>
      <c r="L657" s="1" t="s">
        <v>309</v>
      </c>
      <c r="M657" s="1" t="s">
        <v>310</v>
      </c>
      <c r="N657" s="1" t="s">
        <v>161</v>
      </c>
      <c r="O657" s="1">
        <f>MONTH(orders[[#This Row],[OrderDate]])</f>
        <v>3</v>
      </c>
    </row>
    <row r="658" spans="1:15" x14ac:dyDescent="0.35">
      <c r="A658">
        <v>10904</v>
      </c>
      <c r="B658" s="1" t="s">
        <v>725</v>
      </c>
      <c r="C658">
        <v>3</v>
      </c>
      <c r="D658" s="2">
        <v>35150</v>
      </c>
      <c r="E658" s="2">
        <v>35178</v>
      </c>
      <c r="F658" s="2">
        <v>35153</v>
      </c>
      <c r="G658">
        <v>3</v>
      </c>
      <c r="H658">
        <v>162.94999999999999</v>
      </c>
      <c r="I658" s="1" t="s">
        <v>726</v>
      </c>
      <c r="J658" s="1" t="s">
        <v>837</v>
      </c>
      <c r="K658" s="1" t="s">
        <v>728</v>
      </c>
      <c r="L658" s="1" t="s">
        <v>381</v>
      </c>
      <c r="M658" s="1" t="s">
        <v>838</v>
      </c>
      <c r="N658" s="1" t="s">
        <v>292</v>
      </c>
      <c r="O658" s="1">
        <f>MONTH(orders[[#This Row],[OrderDate]])</f>
        <v>3</v>
      </c>
    </row>
    <row r="659" spans="1:15" x14ac:dyDescent="0.35">
      <c r="A659">
        <v>10905</v>
      </c>
      <c r="B659" s="1" t="s">
        <v>718</v>
      </c>
      <c r="C659">
        <v>9</v>
      </c>
      <c r="D659" s="2">
        <v>35150</v>
      </c>
      <c r="E659" s="2">
        <v>35178</v>
      </c>
      <c r="F659" s="2">
        <v>35160</v>
      </c>
      <c r="G659">
        <v>2</v>
      </c>
      <c r="H659">
        <v>13.72</v>
      </c>
      <c r="I659" s="1" t="s">
        <v>719</v>
      </c>
      <c r="J659" s="1" t="s">
        <v>721</v>
      </c>
      <c r="K659" s="1" t="s">
        <v>722</v>
      </c>
      <c r="L659" s="1" t="s">
        <v>159</v>
      </c>
      <c r="M659" s="1" t="s">
        <v>723</v>
      </c>
      <c r="N659" s="1" t="s">
        <v>161</v>
      </c>
      <c r="O659" s="1">
        <f>MONTH(orders[[#This Row],[OrderDate]])</f>
        <v>3</v>
      </c>
    </row>
    <row r="660" spans="1:15" x14ac:dyDescent="0.35">
      <c r="A660">
        <v>10906</v>
      </c>
      <c r="B660" s="1" t="s">
        <v>740</v>
      </c>
      <c r="C660">
        <v>4</v>
      </c>
      <c r="D660" s="2">
        <v>35151</v>
      </c>
      <c r="E660" s="2">
        <v>35165</v>
      </c>
      <c r="F660" s="2">
        <v>35157</v>
      </c>
      <c r="G660">
        <v>3</v>
      </c>
      <c r="H660">
        <v>26.29</v>
      </c>
      <c r="I660" s="1" t="s">
        <v>844</v>
      </c>
      <c r="J660" s="1" t="s">
        <v>743</v>
      </c>
      <c r="K660" s="1" t="s">
        <v>744</v>
      </c>
      <c r="L660" s="1" t="s">
        <v>1195</v>
      </c>
      <c r="M660" s="1" t="s">
        <v>745</v>
      </c>
      <c r="N660" s="1" t="s">
        <v>746</v>
      </c>
      <c r="O660" s="1">
        <f>MONTH(orders[[#This Row],[OrderDate]])</f>
        <v>3</v>
      </c>
    </row>
    <row r="661" spans="1:15" x14ac:dyDescent="0.35">
      <c r="A661">
        <v>10907</v>
      </c>
      <c r="B661" s="1" t="s">
        <v>612</v>
      </c>
      <c r="C661">
        <v>6</v>
      </c>
      <c r="D661" s="2">
        <v>35151</v>
      </c>
      <c r="E661" s="2">
        <v>35179</v>
      </c>
      <c r="F661" s="2">
        <v>35153</v>
      </c>
      <c r="G661">
        <v>3</v>
      </c>
      <c r="H661">
        <v>9.19</v>
      </c>
      <c r="I661" s="1" t="s">
        <v>613</v>
      </c>
      <c r="J661" s="1" t="s">
        <v>615</v>
      </c>
      <c r="K661" s="1" t="s">
        <v>490</v>
      </c>
      <c r="L661" s="1" t="s">
        <v>1195</v>
      </c>
      <c r="M661" s="1" t="s">
        <v>616</v>
      </c>
      <c r="N661" s="1" t="s">
        <v>91</v>
      </c>
      <c r="O661" s="1">
        <f>MONTH(orders[[#This Row],[OrderDate]])</f>
        <v>3</v>
      </c>
    </row>
    <row r="662" spans="1:15" x14ac:dyDescent="0.35">
      <c r="A662">
        <v>10908</v>
      </c>
      <c r="B662" s="1" t="s">
        <v>551</v>
      </c>
      <c r="C662">
        <v>4</v>
      </c>
      <c r="D662" s="2">
        <v>35152</v>
      </c>
      <c r="E662" s="2">
        <v>35180</v>
      </c>
      <c r="F662" s="2">
        <v>35160</v>
      </c>
      <c r="G662">
        <v>2</v>
      </c>
      <c r="H662">
        <v>32.96</v>
      </c>
      <c r="I662" s="1" t="s">
        <v>552</v>
      </c>
      <c r="J662" s="1" t="s">
        <v>554</v>
      </c>
      <c r="K662" s="1" t="s">
        <v>555</v>
      </c>
      <c r="L662" s="1" t="s">
        <v>1195</v>
      </c>
      <c r="M662" s="1" t="s">
        <v>556</v>
      </c>
      <c r="N662" s="1" t="s">
        <v>252</v>
      </c>
      <c r="O662" s="1">
        <f>MONTH(orders[[#This Row],[OrderDate]])</f>
        <v>3</v>
      </c>
    </row>
    <row r="663" spans="1:15" x14ac:dyDescent="0.35">
      <c r="A663">
        <v>10909</v>
      </c>
      <c r="B663" s="1" t="s">
        <v>579</v>
      </c>
      <c r="C663">
        <v>1</v>
      </c>
      <c r="D663" s="2">
        <v>35152</v>
      </c>
      <c r="E663" s="2">
        <v>35180</v>
      </c>
      <c r="F663" s="2">
        <v>35164</v>
      </c>
      <c r="G663">
        <v>2</v>
      </c>
      <c r="H663">
        <v>53.05</v>
      </c>
      <c r="I663" s="1" t="s">
        <v>580</v>
      </c>
      <c r="J663" s="1" t="s">
        <v>582</v>
      </c>
      <c r="K663" s="1" t="s">
        <v>583</v>
      </c>
      <c r="L663" s="1" t="s">
        <v>1195</v>
      </c>
      <c r="M663" s="1" t="s">
        <v>584</v>
      </c>
      <c r="N663" s="1" t="s">
        <v>585</v>
      </c>
      <c r="O663" s="1">
        <f>MONTH(orders[[#This Row],[OrderDate]])</f>
        <v>3</v>
      </c>
    </row>
    <row r="664" spans="1:15" x14ac:dyDescent="0.35">
      <c r="A664">
        <v>10910</v>
      </c>
      <c r="B664" s="1" t="s">
        <v>732</v>
      </c>
      <c r="C664">
        <v>1</v>
      </c>
      <c r="D664" s="2">
        <v>35152</v>
      </c>
      <c r="E664" s="2">
        <v>35180</v>
      </c>
      <c r="F664" s="2">
        <v>35158</v>
      </c>
      <c r="G664">
        <v>3</v>
      </c>
      <c r="H664">
        <v>38.11</v>
      </c>
      <c r="I664" s="1" t="s">
        <v>733</v>
      </c>
      <c r="J664" s="1" t="s">
        <v>736</v>
      </c>
      <c r="K664" s="1" t="s">
        <v>737</v>
      </c>
      <c r="L664" s="1" t="s">
        <v>1195</v>
      </c>
      <c r="M664" s="1" t="s">
        <v>738</v>
      </c>
      <c r="N664" s="1" t="s">
        <v>716</v>
      </c>
      <c r="O664" s="1">
        <f>MONTH(orders[[#This Row],[OrderDate]])</f>
        <v>3</v>
      </c>
    </row>
    <row r="665" spans="1:15" x14ac:dyDescent="0.35">
      <c r="A665">
        <v>10911</v>
      </c>
      <c r="B665" s="1" t="s">
        <v>271</v>
      </c>
      <c r="C665">
        <v>3</v>
      </c>
      <c r="D665" s="2">
        <v>35152</v>
      </c>
      <c r="E665" s="2">
        <v>35180</v>
      </c>
      <c r="F665" s="2">
        <v>35159</v>
      </c>
      <c r="G665">
        <v>1</v>
      </c>
      <c r="H665">
        <v>38.19</v>
      </c>
      <c r="I665" s="1" t="s">
        <v>272</v>
      </c>
      <c r="J665" s="1" t="s">
        <v>274</v>
      </c>
      <c r="K665" s="1" t="s">
        <v>275</v>
      </c>
      <c r="L665" s="1" t="s">
        <v>1195</v>
      </c>
      <c r="M665" s="1" t="s">
        <v>276</v>
      </c>
      <c r="N665" s="1" t="s">
        <v>100</v>
      </c>
      <c r="O665" s="1">
        <f>MONTH(orders[[#This Row],[OrderDate]])</f>
        <v>3</v>
      </c>
    </row>
    <row r="666" spans="1:15" x14ac:dyDescent="0.35">
      <c r="A666">
        <v>10912</v>
      </c>
      <c r="B666" s="1" t="s">
        <v>329</v>
      </c>
      <c r="C666">
        <v>2</v>
      </c>
      <c r="D666" s="2">
        <v>35152</v>
      </c>
      <c r="E666" s="2">
        <v>35180</v>
      </c>
      <c r="F666" s="2">
        <v>35172</v>
      </c>
      <c r="G666">
        <v>2</v>
      </c>
      <c r="H666">
        <v>580.91</v>
      </c>
      <c r="I666" s="1" t="s">
        <v>330</v>
      </c>
      <c r="J666" s="1" t="s">
        <v>332</v>
      </c>
      <c r="K666" s="1" t="s">
        <v>333</v>
      </c>
      <c r="L666" s="1" t="s">
        <v>334</v>
      </c>
      <c r="M666" s="1" t="s">
        <v>1195</v>
      </c>
      <c r="N666" s="1" t="s">
        <v>335</v>
      </c>
      <c r="O666" s="1">
        <f>MONTH(orders[[#This Row],[OrderDate]])</f>
        <v>3</v>
      </c>
    </row>
    <row r="667" spans="1:15" x14ac:dyDescent="0.35">
      <c r="A667">
        <v>10913</v>
      </c>
      <c r="B667" s="1" t="s">
        <v>522</v>
      </c>
      <c r="C667">
        <v>4</v>
      </c>
      <c r="D667" s="2">
        <v>35152</v>
      </c>
      <c r="E667" s="2">
        <v>35180</v>
      </c>
      <c r="F667" s="2">
        <v>35158</v>
      </c>
      <c r="G667">
        <v>1</v>
      </c>
      <c r="H667">
        <v>33.049999999999997</v>
      </c>
      <c r="I667" s="1" t="s">
        <v>523</v>
      </c>
      <c r="J667" s="1" t="s">
        <v>525</v>
      </c>
      <c r="K667" s="1" t="s">
        <v>158</v>
      </c>
      <c r="L667" s="1" t="s">
        <v>159</v>
      </c>
      <c r="M667" s="1" t="s">
        <v>526</v>
      </c>
      <c r="N667" s="1" t="s">
        <v>161</v>
      </c>
      <c r="O667" s="1">
        <f>MONTH(orders[[#This Row],[OrderDate]])</f>
        <v>3</v>
      </c>
    </row>
    <row r="668" spans="1:15" x14ac:dyDescent="0.35">
      <c r="A668">
        <v>10914</v>
      </c>
      <c r="B668" s="1" t="s">
        <v>522</v>
      </c>
      <c r="C668">
        <v>6</v>
      </c>
      <c r="D668" s="2">
        <v>35153</v>
      </c>
      <c r="E668" s="2">
        <v>35181</v>
      </c>
      <c r="F668" s="2">
        <v>35156</v>
      </c>
      <c r="G668">
        <v>1</v>
      </c>
      <c r="H668">
        <v>21.19</v>
      </c>
      <c r="I668" s="1" t="s">
        <v>523</v>
      </c>
      <c r="J668" s="1" t="s">
        <v>525</v>
      </c>
      <c r="K668" s="1" t="s">
        <v>158</v>
      </c>
      <c r="L668" s="1" t="s">
        <v>159</v>
      </c>
      <c r="M668" s="1" t="s">
        <v>526</v>
      </c>
      <c r="N668" s="1" t="s">
        <v>161</v>
      </c>
      <c r="O668" s="1">
        <f>MONTH(orders[[#This Row],[OrderDate]])</f>
        <v>3</v>
      </c>
    </row>
    <row r="669" spans="1:15" x14ac:dyDescent="0.35">
      <c r="A669">
        <v>10915</v>
      </c>
      <c r="B669" s="1" t="s">
        <v>658</v>
      </c>
      <c r="C669">
        <v>2</v>
      </c>
      <c r="D669" s="2">
        <v>35153</v>
      </c>
      <c r="E669" s="2">
        <v>35181</v>
      </c>
      <c r="F669" s="2">
        <v>35156</v>
      </c>
      <c r="G669">
        <v>2</v>
      </c>
      <c r="H669">
        <v>3.51</v>
      </c>
      <c r="I669" s="1" t="s">
        <v>659</v>
      </c>
      <c r="J669" s="1" t="s">
        <v>661</v>
      </c>
      <c r="K669" s="1" t="s">
        <v>46</v>
      </c>
      <c r="L669" s="1" t="s">
        <v>1195</v>
      </c>
      <c r="M669" s="1" t="s">
        <v>498</v>
      </c>
      <c r="N669" s="1" t="s">
        <v>48</v>
      </c>
      <c r="O669" s="1">
        <f>MONTH(orders[[#This Row],[OrderDate]])</f>
        <v>3</v>
      </c>
    </row>
    <row r="670" spans="1:15" x14ac:dyDescent="0.35">
      <c r="A670">
        <v>10916</v>
      </c>
      <c r="B670" s="1" t="s">
        <v>535</v>
      </c>
      <c r="C670">
        <v>1</v>
      </c>
      <c r="D670" s="2">
        <v>35153</v>
      </c>
      <c r="E670" s="2">
        <v>35181</v>
      </c>
      <c r="F670" s="2">
        <v>35163</v>
      </c>
      <c r="G670">
        <v>2</v>
      </c>
      <c r="H670">
        <v>63.77</v>
      </c>
      <c r="I670" s="1" t="s">
        <v>536</v>
      </c>
      <c r="J670" s="1" t="s">
        <v>538</v>
      </c>
      <c r="K670" s="1" t="s">
        <v>133</v>
      </c>
      <c r="L670" s="1" t="s">
        <v>1195</v>
      </c>
      <c r="M670" s="1" t="s">
        <v>134</v>
      </c>
      <c r="N670" s="1" t="s">
        <v>135</v>
      </c>
      <c r="O670" s="1">
        <f>MONTH(orders[[#This Row],[OrderDate]])</f>
        <v>3</v>
      </c>
    </row>
    <row r="671" spans="1:15" x14ac:dyDescent="0.35">
      <c r="A671">
        <v>10917</v>
      </c>
      <c r="B671" s="1" t="s">
        <v>572</v>
      </c>
      <c r="C671">
        <v>4</v>
      </c>
      <c r="D671" s="2">
        <v>35156</v>
      </c>
      <c r="E671" s="2">
        <v>35184</v>
      </c>
      <c r="F671" s="2">
        <v>35165</v>
      </c>
      <c r="G671">
        <v>2</v>
      </c>
      <c r="H671">
        <v>8.2899999999999991</v>
      </c>
      <c r="I671" s="1" t="s">
        <v>573</v>
      </c>
      <c r="J671" s="1" t="s">
        <v>575</v>
      </c>
      <c r="K671" s="1" t="s">
        <v>98</v>
      </c>
      <c r="L671" s="1" t="s">
        <v>1195</v>
      </c>
      <c r="M671" s="1" t="s">
        <v>576</v>
      </c>
      <c r="N671" s="1" t="s">
        <v>100</v>
      </c>
      <c r="O671" s="1">
        <f>MONTH(orders[[#This Row],[OrderDate]])</f>
        <v>4</v>
      </c>
    </row>
    <row r="672" spans="1:15" x14ac:dyDescent="0.35">
      <c r="A672">
        <v>10918</v>
      </c>
      <c r="B672" s="1" t="s">
        <v>111</v>
      </c>
      <c r="C672">
        <v>3</v>
      </c>
      <c r="D672" s="2">
        <v>35156</v>
      </c>
      <c r="E672" s="2">
        <v>35184</v>
      </c>
      <c r="F672" s="2">
        <v>35165</v>
      </c>
      <c r="G672">
        <v>3</v>
      </c>
      <c r="H672">
        <v>48.83</v>
      </c>
      <c r="I672" s="1" t="s">
        <v>112</v>
      </c>
      <c r="J672" s="1" t="s">
        <v>115</v>
      </c>
      <c r="K672" s="1" t="s">
        <v>116</v>
      </c>
      <c r="L672" s="1" t="s">
        <v>117</v>
      </c>
      <c r="M672" s="1" t="s">
        <v>118</v>
      </c>
      <c r="N672" s="1" t="s">
        <v>119</v>
      </c>
      <c r="O672" s="1">
        <f>MONTH(orders[[#This Row],[OrderDate]])</f>
        <v>4</v>
      </c>
    </row>
    <row r="673" spans="1:15" x14ac:dyDescent="0.35">
      <c r="A673">
        <v>10919</v>
      </c>
      <c r="B673" s="1" t="s">
        <v>408</v>
      </c>
      <c r="C673">
        <v>2</v>
      </c>
      <c r="D673" s="2">
        <v>35156</v>
      </c>
      <c r="E673" s="2">
        <v>35184</v>
      </c>
      <c r="F673" s="2">
        <v>35158</v>
      </c>
      <c r="G673">
        <v>2</v>
      </c>
      <c r="H673">
        <v>19.8</v>
      </c>
      <c r="I673" s="1" t="s">
        <v>409</v>
      </c>
      <c r="J673" s="1" t="s">
        <v>411</v>
      </c>
      <c r="K673" s="1" t="s">
        <v>412</v>
      </c>
      <c r="L673" s="1" t="s">
        <v>413</v>
      </c>
      <c r="M673" s="1" t="s">
        <v>414</v>
      </c>
      <c r="N673" s="1" t="s">
        <v>301</v>
      </c>
      <c r="O673" s="1">
        <f>MONTH(orders[[#This Row],[OrderDate]])</f>
        <v>4</v>
      </c>
    </row>
    <row r="674" spans="1:15" x14ac:dyDescent="0.35">
      <c r="A674">
        <v>10920</v>
      </c>
      <c r="B674" s="1" t="s">
        <v>57</v>
      </c>
      <c r="C674">
        <v>4</v>
      </c>
      <c r="D674" s="2">
        <v>35157</v>
      </c>
      <c r="E674" s="2">
        <v>35185</v>
      </c>
      <c r="F674" s="2">
        <v>35163</v>
      </c>
      <c r="G674">
        <v>2</v>
      </c>
      <c r="H674">
        <v>29.61</v>
      </c>
      <c r="I674" s="1" t="s">
        <v>58</v>
      </c>
      <c r="J674" s="1" t="s">
        <v>1210</v>
      </c>
      <c r="K674" s="1" t="s">
        <v>839</v>
      </c>
      <c r="L674" s="1" t="s">
        <v>840</v>
      </c>
      <c r="M674" s="1" t="s">
        <v>841</v>
      </c>
      <c r="N674" s="1" t="s">
        <v>63</v>
      </c>
      <c r="O674" s="1">
        <f>MONTH(orders[[#This Row],[OrderDate]])</f>
        <v>4</v>
      </c>
    </row>
    <row r="675" spans="1:15" x14ac:dyDescent="0.35">
      <c r="A675">
        <v>10921</v>
      </c>
      <c r="B675" s="1" t="s">
        <v>678</v>
      </c>
      <c r="C675">
        <v>1</v>
      </c>
      <c r="D675" s="2">
        <v>35157</v>
      </c>
      <c r="E675" s="2">
        <v>35199</v>
      </c>
      <c r="F675" s="2">
        <v>35163</v>
      </c>
      <c r="G675">
        <v>1</v>
      </c>
      <c r="H675">
        <v>176.48</v>
      </c>
      <c r="I675" s="1" t="s">
        <v>679</v>
      </c>
      <c r="J675" s="1" t="s">
        <v>681</v>
      </c>
      <c r="K675" s="1" t="s">
        <v>682</v>
      </c>
      <c r="L675" s="1" t="s">
        <v>1195</v>
      </c>
      <c r="M675" s="1" t="s">
        <v>683</v>
      </c>
      <c r="N675" s="1" t="s">
        <v>609</v>
      </c>
      <c r="O675" s="1">
        <f>MONTH(orders[[#This Row],[OrderDate]])</f>
        <v>4</v>
      </c>
    </row>
    <row r="676" spans="1:15" x14ac:dyDescent="0.35">
      <c r="A676">
        <v>10922</v>
      </c>
      <c r="B676" s="1" t="s">
        <v>304</v>
      </c>
      <c r="C676">
        <v>5</v>
      </c>
      <c r="D676" s="2">
        <v>35157</v>
      </c>
      <c r="E676" s="2">
        <v>35185</v>
      </c>
      <c r="F676" s="2">
        <v>35159</v>
      </c>
      <c r="G676">
        <v>3</v>
      </c>
      <c r="H676">
        <v>62.74</v>
      </c>
      <c r="I676" s="1" t="s">
        <v>305</v>
      </c>
      <c r="J676" s="1" t="s">
        <v>307</v>
      </c>
      <c r="K676" s="1" t="s">
        <v>308</v>
      </c>
      <c r="L676" s="1" t="s">
        <v>309</v>
      </c>
      <c r="M676" s="1" t="s">
        <v>310</v>
      </c>
      <c r="N676" s="1" t="s">
        <v>161</v>
      </c>
      <c r="O676" s="1">
        <f>MONTH(orders[[#This Row],[OrderDate]])</f>
        <v>4</v>
      </c>
    </row>
    <row r="677" spans="1:15" x14ac:dyDescent="0.35">
      <c r="A677">
        <v>10923</v>
      </c>
      <c r="B677" s="1" t="s">
        <v>360</v>
      </c>
      <c r="C677">
        <v>7</v>
      </c>
      <c r="D677" s="2">
        <v>35157</v>
      </c>
      <c r="E677" s="2">
        <v>35199</v>
      </c>
      <c r="F677" s="2">
        <v>35167</v>
      </c>
      <c r="G677">
        <v>3</v>
      </c>
      <c r="H677">
        <v>68.260000000000005</v>
      </c>
      <c r="I677" s="1" t="s">
        <v>361</v>
      </c>
      <c r="J677" s="1" t="s">
        <v>363</v>
      </c>
      <c r="K677" s="1" t="s">
        <v>364</v>
      </c>
      <c r="L677" s="1" t="s">
        <v>1195</v>
      </c>
      <c r="M677" s="1" t="s">
        <v>365</v>
      </c>
      <c r="N677" s="1" t="s">
        <v>91</v>
      </c>
      <c r="O677" s="1">
        <f>MONTH(orders[[#This Row],[OrderDate]])</f>
        <v>4</v>
      </c>
    </row>
    <row r="678" spans="1:15" x14ac:dyDescent="0.35">
      <c r="A678">
        <v>10924</v>
      </c>
      <c r="B678" s="1" t="s">
        <v>66</v>
      </c>
      <c r="C678">
        <v>3</v>
      </c>
      <c r="D678" s="2">
        <v>35158</v>
      </c>
      <c r="E678" s="2">
        <v>35186</v>
      </c>
      <c r="F678" s="2">
        <v>35193</v>
      </c>
      <c r="G678">
        <v>2</v>
      </c>
      <c r="H678">
        <v>151.52000000000001</v>
      </c>
      <c r="I678" s="1" t="s">
        <v>67</v>
      </c>
      <c r="J678" s="1" t="s">
        <v>70</v>
      </c>
      <c r="K678" s="1" t="s">
        <v>71</v>
      </c>
      <c r="L678" s="1" t="s">
        <v>1195</v>
      </c>
      <c r="M678" s="1" t="s">
        <v>72</v>
      </c>
      <c r="N678" s="1" t="s">
        <v>73</v>
      </c>
      <c r="O678" s="1">
        <f>MONTH(orders[[#This Row],[OrderDate]])</f>
        <v>4</v>
      </c>
    </row>
    <row r="679" spans="1:15" x14ac:dyDescent="0.35">
      <c r="A679">
        <v>10925</v>
      </c>
      <c r="B679" s="1" t="s">
        <v>304</v>
      </c>
      <c r="C679">
        <v>3</v>
      </c>
      <c r="D679" s="2">
        <v>35158</v>
      </c>
      <c r="E679" s="2">
        <v>35186</v>
      </c>
      <c r="F679" s="2">
        <v>35167</v>
      </c>
      <c r="G679">
        <v>1</v>
      </c>
      <c r="H679">
        <v>2.27</v>
      </c>
      <c r="I679" s="1" t="s">
        <v>305</v>
      </c>
      <c r="J679" s="1" t="s">
        <v>307</v>
      </c>
      <c r="K679" s="1" t="s">
        <v>308</v>
      </c>
      <c r="L679" s="1" t="s">
        <v>309</v>
      </c>
      <c r="M679" s="1" t="s">
        <v>310</v>
      </c>
      <c r="N679" s="1" t="s">
        <v>161</v>
      </c>
      <c r="O679" s="1">
        <f>MONTH(orders[[#This Row],[OrderDate]])</f>
        <v>4</v>
      </c>
    </row>
    <row r="680" spans="1:15" x14ac:dyDescent="0.35">
      <c r="A680">
        <v>10926</v>
      </c>
      <c r="B680" s="1" t="s">
        <v>41</v>
      </c>
      <c r="C680">
        <v>4</v>
      </c>
      <c r="D680" s="2">
        <v>35158</v>
      </c>
      <c r="E680" s="2">
        <v>35186</v>
      </c>
      <c r="F680" s="2">
        <v>35165</v>
      </c>
      <c r="G680">
        <v>3</v>
      </c>
      <c r="H680">
        <v>39.92</v>
      </c>
      <c r="I680" s="1" t="s">
        <v>42</v>
      </c>
      <c r="J680" s="1" t="s">
        <v>45</v>
      </c>
      <c r="K680" s="1" t="s">
        <v>46</v>
      </c>
      <c r="L680" s="1" t="s">
        <v>1195</v>
      </c>
      <c r="M680" s="1" t="s">
        <v>47</v>
      </c>
      <c r="N680" s="1" t="s">
        <v>48</v>
      </c>
      <c r="O680" s="1">
        <f>MONTH(orders[[#This Row],[OrderDate]])</f>
        <v>4</v>
      </c>
    </row>
    <row r="681" spans="1:15" x14ac:dyDescent="0.35">
      <c r="A681">
        <v>10927</v>
      </c>
      <c r="B681" s="1" t="s">
        <v>352</v>
      </c>
      <c r="C681">
        <v>4</v>
      </c>
      <c r="D681" s="2">
        <v>35159</v>
      </c>
      <c r="E681" s="2">
        <v>35187</v>
      </c>
      <c r="F681" s="2">
        <v>35193</v>
      </c>
      <c r="G681">
        <v>1</v>
      </c>
      <c r="H681">
        <v>19.79</v>
      </c>
      <c r="I681" s="1" t="s">
        <v>353</v>
      </c>
      <c r="J681" s="1" t="s">
        <v>355</v>
      </c>
      <c r="K681" s="1" t="s">
        <v>356</v>
      </c>
      <c r="L681" s="1" t="s">
        <v>1195</v>
      </c>
      <c r="M681" s="1" t="s">
        <v>357</v>
      </c>
      <c r="N681" s="1" t="s">
        <v>91</v>
      </c>
      <c r="O681" s="1">
        <f>MONTH(orders[[#This Row],[OrderDate]])</f>
        <v>4</v>
      </c>
    </row>
    <row r="682" spans="1:15" x14ac:dyDescent="0.35">
      <c r="A682">
        <v>10928</v>
      </c>
      <c r="B682" s="1" t="s">
        <v>263</v>
      </c>
      <c r="C682">
        <v>1</v>
      </c>
      <c r="D682" s="2">
        <v>35159</v>
      </c>
      <c r="E682" s="2">
        <v>35187</v>
      </c>
      <c r="F682" s="2">
        <v>35172</v>
      </c>
      <c r="G682">
        <v>1</v>
      </c>
      <c r="H682">
        <v>1.36</v>
      </c>
      <c r="I682" s="1" t="s">
        <v>842</v>
      </c>
      <c r="J682" s="1" t="s">
        <v>266</v>
      </c>
      <c r="K682" s="1" t="s">
        <v>267</v>
      </c>
      <c r="L682" s="1" t="s">
        <v>1195</v>
      </c>
      <c r="M682" s="1" t="s">
        <v>843</v>
      </c>
      <c r="N682" s="1" t="s">
        <v>100</v>
      </c>
      <c r="O682" s="1">
        <f>MONTH(orders[[#This Row],[OrderDate]])</f>
        <v>4</v>
      </c>
    </row>
    <row r="683" spans="1:15" x14ac:dyDescent="0.35">
      <c r="A683">
        <v>10929</v>
      </c>
      <c r="B683" s="1" t="s">
        <v>232</v>
      </c>
      <c r="C683">
        <v>6</v>
      </c>
      <c r="D683" s="2">
        <v>35159</v>
      </c>
      <c r="E683" s="2">
        <v>35187</v>
      </c>
      <c r="F683" s="2">
        <v>35166</v>
      </c>
      <c r="G683">
        <v>1</v>
      </c>
      <c r="H683">
        <v>33.93</v>
      </c>
      <c r="I683" s="1" t="s">
        <v>233</v>
      </c>
      <c r="J683" s="1" t="s">
        <v>235</v>
      </c>
      <c r="K683" s="1" t="s">
        <v>236</v>
      </c>
      <c r="L683" s="1" t="s">
        <v>1195</v>
      </c>
      <c r="M683" s="1" t="s">
        <v>237</v>
      </c>
      <c r="N683" s="1" t="s">
        <v>38</v>
      </c>
      <c r="O683" s="1">
        <f>MONTH(orders[[#This Row],[OrderDate]])</f>
        <v>4</v>
      </c>
    </row>
    <row r="684" spans="1:15" x14ac:dyDescent="0.35">
      <c r="A684">
        <v>10930</v>
      </c>
      <c r="B684" s="1" t="s">
        <v>628</v>
      </c>
      <c r="C684">
        <v>4</v>
      </c>
      <c r="D684" s="2">
        <v>35160</v>
      </c>
      <c r="E684" s="2">
        <v>35202</v>
      </c>
      <c r="F684" s="2">
        <v>35172</v>
      </c>
      <c r="G684">
        <v>3</v>
      </c>
      <c r="H684">
        <v>15.55</v>
      </c>
      <c r="I684" s="1" t="s">
        <v>629</v>
      </c>
      <c r="J684" s="1" t="s">
        <v>631</v>
      </c>
      <c r="K684" s="1" t="s">
        <v>632</v>
      </c>
      <c r="L684" s="1" t="s">
        <v>1195</v>
      </c>
      <c r="M684" s="1" t="s">
        <v>633</v>
      </c>
      <c r="N684" s="1" t="s">
        <v>439</v>
      </c>
      <c r="O684" s="1">
        <f>MONTH(orders[[#This Row],[OrderDate]])</f>
        <v>4</v>
      </c>
    </row>
    <row r="685" spans="1:15" x14ac:dyDescent="0.35">
      <c r="A685">
        <v>10931</v>
      </c>
      <c r="B685" s="1" t="s">
        <v>565</v>
      </c>
      <c r="C685">
        <v>4</v>
      </c>
      <c r="D685" s="2">
        <v>35160</v>
      </c>
      <c r="E685" s="2">
        <v>35174</v>
      </c>
      <c r="F685" s="2">
        <v>35173</v>
      </c>
      <c r="G685">
        <v>2</v>
      </c>
      <c r="H685">
        <v>13.6</v>
      </c>
      <c r="I685" s="1" t="s">
        <v>566</v>
      </c>
      <c r="J685" s="1" t="s">
        <v>835</v>
      </c>
      <c r="K685" s="1" t="s">
        <v>569</v>
      </c>
      <c r="L685" s="1" t="s">
        <v>1195</v>
      </c>
      <c r="M685" s="1" t="s">
        <v>836</v>
      </c>
      <c r="N685" s="1" t="s">
        <v>151</v>
      </c>
      <c r="O685" s="1">
        <f>MONTH(orders[[#This Row],[OrderDate]])</f>
        <v>4</v>
      </c>
    </row>
    <row r="686" spans="1:15" x14ac:dyDescent="0.35">
      <c r="A686">
        <v>10932</v>
      </c>
      <c r="B686" s="1" t="s">
        <v>103</v>
      </c>
      <c r="C686">
        <v>8</v>
      </c>
      <c r="D686" s="2">
        <v>35160</v>
      </c>
      <c r="E686" s="2">
        <v>35188</v>
      </c>
      <c r="F686" s="2">
        <v>35178</v>
      </c>
      <c r="G686">
        <v>1</v>
      </c>
      <c r="H686">
        <v>134.63999999999999</v>
      </c>
      <c r="I686" s="1" t="s">
        <v>104</v>
      </c>
      <c r="J686" s="1" t="s">
        <v>106</v>
      </c>
      <c r="K686" s="1" t="s">
        <v>107</v>
      </c>
      <c r="L686" s="1" t="s">
        <v>1195</v>
      </c>
      <c r="M686" s="1" t="s">
        <v>108</v>
      </c>
      <c r="N686" s="1" t="s">
        <v>91</v>
      </c>
      <c r="O686" s="1">
        <f>MONTH(orders[[#This Row],[OrderDate]])</f>
        <v>4</v>
      </c>
    </row>
    <row r="687" spans="1:15" x14ac:dyDescent="0.35">
      <c r="A687">
        <v>10933</v>
      </c>
      <c r="B687" s="1" t="s">
        <v>338</v>
      </c>
      <c r="C687">
        <v>6</v>
      </c>
      <c r="D687" s="2">
        <v>35160</v>
      </c>
      <c r="E687" s="2">
        <v>35188</v>
      </c>
      <c r="F687" s="2">
        <v>35170</v>
      </c>
      <c r="G687">
        <v>3</v>
      </c>
      <c r="H687">
        <v>54.15</v>
      </c>
      <c r="I687" s="1" t="s">
        <v>339</v>
      </c>
      <c r="J687" s="1" t="s">
        <v>1200</v>
      </c>
      <c r="K687" s="1" t="s">
        <v>341</v>
      </c>
      <c r="L687" s="1" t="s">
        <v>342</v>
      </c>
      <c r="M687" s="1" t="s">
        <v>343</v>
      </c>
      <c r="N687" s="1" t="s">
        <v>63</v>
      </c>
      <c r="O687" s="1">
        <f>MONTH(orders[[#This Row],[OrderDate]])</f>
        <v>4</v>
      </c>
    </row>
    <row r="688" spans="1:15" x14ac:dyDescent="0.35">
      <c r="A688">
        <v>10934</v>
      </c>
      <c r="B688" s="1" t="s">
        <v>385</v>
      </c>
      <c r="C688">
        <v>3</v>
      </c>
      <c r="D688" s="2">
        <v>35163</v>
      </c>
      <c r="E688" s="2">
        <v>35191</v>
      </c>
      <c r="F688" s="2">
        <v>35166</v>
      </c>
      <c r="G688">
        <v>3</v>
      </c>
      <c r="H688">
        <v>32.01</v>
      </c>
      <c r="I688" s="1" t="s">
        <v>386</v>
      </c>
      <c r="J688" s="1" t="s">
        <v>388</v>
      </c>
      <c r="K688" s="1" t="s">
        <v>1201</v>
      </c>
      <c r="L688" s="1" t="s">
        <v>1195</v>
      </c>
      <c r="M688" s="1" t="s">
        <v>389</v>
      </c>
      <c r="N688" s="1" t="s">
        <v>38</v>
      </c>
      <c r="O688" s="1">
        <f>MONTH(orders[[#This Row],[OrderDate]])</f>
        <v>4</v>
      </c>
    </row>
    <row r="689" spans="1:15" x14ac:dyDescent="0.35">
      <c r="A689">
        <v>10935</v>
      </c>
      <c r="B689" s="1" t="s">
        <v>718</v>
      </c>
      <c r="C689">
        <v>4</v>
      </c>
      <c r="D689" s="2">
        <v>35163</v>
      </c>
      <c r="E689" s="2">
        <v>35191</v>
      </c>
      <c r="F689" s="2">
        <v>35172</v>
      </c>
      <c r="G689">
        <v>3</v>
      </c>
      <c r="H689">
        <v>47.59</v>
      </c>
      <c r="I689" s="1" t="s">
        <v>719</v>
      </c>
      <c r="J689" s="1" t="s">
        <v>721</v>
      </c>
      <c r="K689" s="1" t="s">
        <v>722</v>
      </c>
      <c r="L689" s="1" t="s">
        <v>159</v>
      </c>
      <c r="M689" s="1" t="s">
        <v>723</v>
      </c>
      <c r="N689" s="1" t="s">
        <v>161</v>
      </c>
      <c r="O689" s="1">
        <f>MONTH(orders[[#This Row],[OrderDate]])</f>
        <v>4</v>
      </c>
    </row>
    <row r="690" spans="1:15" x14ac:dyDescent="0.35">
      <c r="A690">
        <v>10936</v>
      </c>
      <c r="B690" s="1" t="s">
        <v>285</v>
      </c>
      <c r="C690">
        <v>3</v>
      </c>
      <c r="D690" s="2">
        <v>35163</v>
      </c>
      <c r="E690" s="2">
        <v>35191</v>
      </c>
      <c r="F690" s="2">
        <v>35172</v>
      </c>
      <c r="G690">
        <v>2</v>
      </c>
      <c r="H690">
        <v>33.68</v>
      </c>
      <c r="I690" s="1" t="s">
        <v>286</v>
      </c>
      <c r="J690" s="1" t="s">
        <v>288</v>
      </c>
      <c r="K690" s="1" t="s">
        <v>289</v>
      </c>
      <c r="L690" s="1" t="s">
        <v>290</v>
      </c>
      <c r="M690" s="1" t="s">
        <v>291</v>
      </c>
      <c r="N690" s="1" t="s">
        <v>292</v>
      </c>
      <c r="O690" s="1">
        <f>MONTH(orders[[#This Row],[OrderDate]])</f>
        <v>4</v>
      </c>
    </row>
    <row r="691" spans="1:15" x14ac:dyDescent="0.35">
      <c r="A691">
        <v>10937</v>
      </c>
      <c r="B691" s="1" t="s">
        <v>128</v>
      </c>
      <c r="C691">
        <v>7</v>
      </c>
      <c r="D691" s="2">
        <v>35164</v>
      </c>
      <c r="E691" s="2">
        <v>35178</v>
      </c>
      <c r="F691" s="2">
        <v>35167</v>
      </c>
      <c r="G691">
        <v>3</v>
      </c>
      <c r="H691">
        <v>31.51</v>
      </c>
      <c r="I691" s="1" t="s">
        <v>129</v>
      </c>
      <c r="J691" s="1" t="s">
        <v>132</v>
      </c>
      <c r="K691" s="1" t="s">
        <v>133</v>
      </c>
      <c r="L691" s="1" t="s">
        <v>1195</v>
      </c>
      <c r="M691" s="1" t="s">
        <v>134</v>
      </c>
      <c r="N691" s="1" t="s">
        <v>135</v>
      </c>
      <c r="O691" s="1">
        <f>MONTH(orders[[#This Row],[OrderDate]])</f>
        <v>4</v>
      </c>
    </row>
    <row r="692" spans="1:15" x14ac:dyDescent="0.35">
      <c r="A692">
        <v>10938</v>
      </c>
      <c r="B692" s="1" t="s">
        <v>528</v>
      </c>
      <c r="C692">
        <v>3</v>
      </c>
      <c r="D692" s="2">
        <v>35164</v>
      </c>
      <c r="E692" s="2">
        <v>35192</v>
      </c>
      <c r="F692" s="2">
        <v>35170</v>
      </c>
      <c r="G692">
        <v>2</v>
      </c>
      <c r="H692">
        <v>31.89</v>
      </c>
      <c r="I692" s="1" t="s">
        <v>529</v>
      </c>
      <c r="J692" s="1" t="s">
        <v>531</v>
      </c>
      <c r="K692" s="1" t="s">
        <v>532</v>
      </c>
      <c r="L692" s="1" t="s">
        <v>1195</v>
      </c>
      <c r="M692" s="1" t="s">
        <v>533</v>
      </c>
      <c r="N692" s="1" t="s">
        <v>38</v>
      </c>
      <c r="O692" s="1">
        <f>MONTH(orders[[#This Row],[OrderDate]])</f>
        <v>4</v>
      </c>
    </row>
    <row r="693" spans="1:15" x14ac:dyDescent="0.35">
      <c r="A693">
        <v>10939</v>
      </c>
      <c r="B693" s="1" t="s">
        <v>425</v>
      </c>
      <c r="C693">
        <v>2</v>
      </c>
      <c r="D693" s="2">
        <v>35164</v>
      </c>
      <c r="E693" s="2">
        <v>35192</v>
      </c>
      <c r="F693" s="2">
        <v>35167</v>
      </c>
      <c r="G693">
        <v>2</v>
      </c>
      <c r="H693">
        <v>76.33</v>
      </c>
      <c r="I693" s="1" t="s">
        <v>426</v>
      </c>
      <c r="J693" s="1" t="s">
        <v>428</v>
      </c>
      <c r="K693" s="1" t="s">
        <v>429</v>
      </c>
      <c r="L693" s="1" t="s">
        <v>1195</v>
      </c>
      <c r="M693" s="1" t="s">
        <v>430</v>
      </c>
      <c r="N693" s="1" t="s">
        <v>252</v>
      </c>
      <c r="O693" s="1">
        <f>MONTH(orders[[#This Row],[OrderDate]])</f>
        <v>4</v>
      </c>
    </row>
    <row r="694" spans="1:15" x14ac:dyDescent="0.35">
      <c r="A694">
        <v>10940</v>
      </c>
      <c r="B694" s="1" t="s">
        <v>103</v>
      </c>
      <c r="C694">
        <v>8</v>
      </c>
      <c r="D694" s="2">
        <v>35165</v>
      </c>
      <c r="E694" s="2">
        <v>35193</v>
      </c>
      <c r="F694" s="2">
        <v>35177</v>
      </c>
      <c r="G694">
        <v>3</v>
      </c>
      <c r="H694">
        <v>19.77</v>
      </c>
      <c r="I694" s="1" t="s">
        <v>104</v>
      </c>
      <c r="J694" s="1" t="s">
        <v>106</v>
      </c>
      <c r="K694" s="1" t="s">
        <v>107</v>
      </c>
      <c r="L694" s="1" t="s">
        <v>1195</v>
      </c>
      <c r="M694" s="1" t="s">
        <v>108</v>
      </c>
      <c r="N694" s="1" t="s">
        <v>91</v>
      </c>
      <c r="O694" s="1">
        <f>MONTH(orders[[#This Row],[OrderDate]])</f>
        <v>4</v>
      </c>
    </row>
    <row r="695" spans="1:15" x14ac:dyDescent="0.35">
      <c r="A695">
        <v>10941</v>
      </c>
      <c r="B695" s="1" t="s">
        <v>588</v>
      </c>
      <c r="C695">
        <v>7</v>
      </c>
      <c r="D695" s="2">
        <v>35165</v>
      </c>
      <c r="E695" s="2">
        <v>35193</v>
      </c>
      <c r="F695" s="2">
        <v>35174</v>
      </c>
      <c r="G695">
        <v>2</v>
      </c>
      <c r="H695">
        <v>400.81</v>
      </c>
      <c r="I695" s="1" t="s">
        <v>589</v>
      </c>
      <c r="J695" s="1" t="s">
        <v>591</v>
      </c>
      <c r="K695" s="1" t="s">
        <v>592</v>
      </c>
      <c r="L695" s="1" t="s">
        <v>593</v>
      </c>
      <c r="M695" s="1" t="s">
        <v>594</v>
      </c>
      <c r="N695" s="1" t="s">
        <v>292</v>
      </c>
      <c r="O695" s="1">
        <f>MONTH(orders[[#This Row],[OrderDate]])</f>
        <v>4</v>
      </c>
    </row>
    <row r="696" spans="1:15" x14ac:dyDescent="0.35">
      <c r="A696">
        <v>10942</v>
      </c>
      <c r="B696" s="1" t="s">
        <v>551</v>
      </c>
      <c r="C696">
        <v>9</v>
      </c>
      <c r="D696" s="2">
        <v>35165</v>
      </c>
      <c r="E696" s="2">
        <v>35193</v>
      </c>
      <c r="F696" s="2">
        <v>35172</v>
      </c>
      <c r="G696">
        <v>3</v>
      </c>
      <c r="H696">
        <v>17.95</v>
      </c>
      <c r="I696" s="1" t="s">
        <v>552</v>
      </c>
      <c r="J696" s="1" t="s">
        <v>554</v>
      </c>
      <c r="K696" s="1" t="s">
        <v>555</v>
      </c>
      <c r="L696" s="1" t="s">
        <v>1195</v>
      </c>
      <c r="M696" s="1" t="s">
        <v>556</v>
      </c>
      <c r="N696" s="1" t="s">
        <v>252</v>
      </c>
      <c r="O696" s="1">
        <f>MONTH(orders[[#This Row],[OrderDate]])</f>
        <v>4</v>
      </c>
    </row>
    <row r="697" spans="1:15" x14ac:dyDescent="0.35">
      <c r="A697">
        <v>10943</v>
      </c>
      <c r="B697" s="1" t="s">
        <v>122</v>
      </c>
      <c r="C697">
        <v>4</v>
      </c>
      <c r="D697" s="2">
        <v>35165</v>
      </c>
      <c r="E697" s="2">
        <v>35193</v>
      </c>
      <c r="F697" s="2">
        <v>35173</v>
      </c>
      <c r="G697">
        <v>2</v>
      </c>
      <c r="H697">
        <v>2.17</v>
      </c>
      <c r="I697" s="1" t="s">
        <v>123</v>
      </c>
      <c r="J697" s="1" t="s">
        <v>125</v>
      </c>
      <c r="K697" s="1" t="s">
        <v>61</v>
      </c>
      <c r="L697" s="1" t="s">
        <v>1195</v>
      </c>
      <c r="M697" s="1" t="s">
        <v>126</v>
      </c>
      <c r="N697" s="1" t="s">
        <v>63</v>
      </c>
      <c r="O697" s="1">
        <f>MONTH(orders[[#This Row],[OrderDate]])</f>
        <v>4</v>
      </c>
    </row>
    <row r="698" spans="1:15" x14ac:dyDescent="0.35">
      <c r="A698">
        <v>10944</v>
      </c>
      <c r="B698" s="1" t="s">
        <v>111</v>
      </c>
      <c r="C698">
        <v>6</v>
      </c>
      <c r="D698" s="2">
        <v>35166</v>
      </c>
      <c r="E698" s="2">
        <v>35180</v>
      </c>
      <c r="F698" s="2">
        <v>35167</v>
      </c>
      <c r="G698">
        <v>3</v>
      </c>
      <c r="H698">
        <v>52.92</v>
      </c>
      <c r="I698" s="1" t="s">
        <v>112</v>
      </c>
      <c r="J698" s="1" t="s">
        <v>115</v>
      </c>
      <c r="K698" s="1" t="s">
        <v>116</v>
      </c>
      <c r="L698" s="1" t="s">
        <v>117</v>
      </c>
      <c r="M698" s="1" t="s">
        <v>118</v>
      </c>
      <c r="N698" s="1" t="s">
        <v>119</v>
      </c>
      <c r="O698" s="1">
        <f>MONTH(orders[[#This Row],[OrderDate]])</f>
        <v>4</v>
      </c>
    </row>
    <row r="699" spans="1:15" x14ac:dyDescent="0.35">
      <c r="A699">
        <v>10945</v>
      </c>
      <c r="B699" s="1" t="s">
        <v>451</v>
      </c>
      <c r="C699">
        <v>4</v>
      </c>
      <c r="D699" s="2">
        <v>35166</v>
      </c>
      <c r="E699" s="2">
        <v>35194</v>
      </c>
      <c r="F699" s="2">
        <v>35172</v>
      </c>
      <c r="G699">
        <v>1</v>
      </c>
      <c r="H699">
        <v>10.220000000000001</v>
      </c>
      <c r="I699" s="1" t="s">
        <v>452</v>
      </c>
      <c r="J699" s="1" t="s">
        <v>454</v>
      </c>
      <c r="K699" s="1" t="s">
        <v>455</v>
      </c>
      <c r="L699" s="1" t="s">
        <v>1195</v>
      </c>
      <c r="M699" s="1" t="s">
        <v>456</v>
      </c>
      <c r="N699" s="1" t="s">
        <v>38</v>
      </c>
      <c r="O699" s="1">
        <f>MONTH(orders[[#This Row],[OrderDate]])</f>
        <v>4</v>
      </c>
    </row>
    <row r="700" spans="1:15" x14ac:dyDescent="0.35">
      <c r="A700">
        <v>10946</v>
      </c>
      <c r="B700" s="1" t="s">
        <v>678</v>
      </c>
      <c r="C700">
        <v>1</v>
      </c>
      <c r="D700" s="2">
        <v>35166</v>
      </c>
      <c r="E700" s="2">
        <v>35194</v>
      </c>
      <c r="F700" s="2">
        <v>35173</v>
      </c>
      <c r="G700">
        <v>2</v>
      </c>
      <c r="H700">
        <v>27.2</v>
      </c>
      <c r="I700" s="1" t="s">
        <v>679</v>
      </c>
      <c r="J700" s="1" t="s">
        <v>681</v>
      </c>
      <c r="K700" s="1" t="s">
        <v>682</v>
      </c>
      <c r="L700" s="1" t="s">
        <v>1195</v>
      </c>
      <c r="M700" s="1" t="s">
        <v>683</v>
      </c>
      <c r="N700" s="1" t="s">
        <v>609</v>
      </c>
      <c r="O700" s="1">
        <f>MONTH(orders[[#This Row],[OrderDate]])</f>
        <v>4</v>
      </c>
    </row>
    <row r="701" spans="1:15" x14ac:dyDescent="0.35">
      <c r="A701">
        <v>10947</v>
      </c>
      <c r="B701" s="1" t="s">
        <v>122</v>
      </c>
      <c r="C701">
        <v>3</v>
      </c>
      <c r="D701" s="2">
        <v>35167</v>
      </c>
      <c r="E701" s="2">
        <v>35195</v>
      </c>
      <c r="F701" s="2">
        <v>35170</v>
      </c>
      <c r="G701">
        <v>2</v>
      </c>
      <c r="H701">
        <v>3.26</v>
      </c>
      <c r="I701" s="1" t="s">
        <v>123</v>
      </c>
      <c r="J701" s="1" t="s">
        <v>125</v>
      </c>
      <c r="K701" s="1" t="s">
        <v>61</v>
      </c>
      <c r="L701" s="1" t="s">
        <v>1195</v>
      </c>
      <c r="M701" s="1" t="s">
        <v>126</v>
      </c>
      <c r="N701" s="1" t="s">
        <v>63</v>
      </c>
      <c r="O701" s="1">
        <f>MONTH(orders[[#This Row],[OrderDate]])</f>
        <v>4</v>
      </c>
    </row>
    <row r="702" spans="1:15" x14ac:dyDescent="0.35">
      <c r="A702">
        <v>10948</v>
      </c>
      <c r="B702" s="1" t="s">
        <v>271</v>
      </c>
      <c r="C702">
        <v>3</v>
      </c>
      <c r="D702" s="2">
        <v>35167</v>
      </c>
      <c r="E702" s="2">
        <v>35195</v>
      </c>
      <c r="F702" s="2">
        <v>35173</v>
      </c>
      <c r="G702">
        <v>3</v>
      </c>
      <c r="H702">
        <v>23.39</v>
      </c>
      <c r="I702" s="1" t="s">
        <v>272</v>
      </c>
      <c r="J702" s="1" t="s">
        <v>274</v>
      </c>
      <c r="K702" s="1" t="s">
        <v>275</v>
      </c>
      <c r="L702" s="1" t="s">
        <v>1195</v>
      </c>
      <c r="M702" s="1" t="s">
        <v>276</v>
      </c>
      <c r="N702" s="1" t="s">
        <v>100</v>
      </c>
      <c r="O702" s="1">
        <f>MONTH(orders[[#This Row],[OrderDate]])</f>
        <v>4</v>
      </c>
    </row>
    <row r="703" spans="1:15" x14ac:dyDescent="0.35">
      <c r="A703">
        <v>10949</v>
      </c>
      <c r="B703" s="1" t="s">
        <v>111</v>
      </c>
      <c r="C703">
        <v>2</v>
      </c>
      <c r="D703" s="2">
        <v>35167</v>
      </c>
      <c r="E703" s="2">
        <v>35195</v>
      </c>
      <c r="F703" s="2">
        <v>35171</v>
      </c>
      <c r="G703">
        <v>3</v>
      </c>
      <c r="H703">
        <v>74.44</v>
      </c>
      <c r="I703" s="1" t="s">
        <v>112</v>
      </c>
      <c r="J703" s="1" t="s">
        <v>115</v>
      </c>
      <c r="K703" s="1" t="s">
        <v>116</v>
      </c>
      <c r="L703" s="1" t="s">
        <v>117</v>
      </c>
      <c r="M703" s="1" t="s">
        <v>118</v>
      </c>
      <c r="N703" s="1" t="s">
        <v>119</v>
      </c>
      <c r="O703" s="1">
        <f>MONTH(orders[[#This Row],[OrderDate]])</f>
        <v>4</v>
      </c>
    </row>
    <row r="704" spans="1:15" x14ac:dyDescent="0.35">
      <c r="A704">
        <v>10950</v>
      </c>
      <c r="B704" s="1" t="s">
        <v>425</v>
      </c>
      <c r="C704">
        <v>1</v>
      </c>
      <c r="D704" s="2">
        <v>35170</v>
      </c>
      <c r="E704" s="2">
        <v>35198</v>
      </c>
      <c r="F704" s="2">
        <v>35177</v>
      </c>
      <c r="G704">
        <v>2</v>
      </c>
      <c r="H704">
        <v>2.5</v>
      </c>
      <c r="I704" s="1" t="s">
        <v>426</v>
      </c>
      <c r="J704" s="1" t="s">
        <v>428</v>
      </c>
      <c r="K704" s="1" t="s">
        <v>429</v>
      </c>
      <c r="L704" s="1" t="s">
        <v>1195</v>
      </c>
      <c r="M704" s="1" t="s">
        <v>430</v>
      </c>
      <c r="N704" s="1" t="s">
        <v>252</v>
      </c>
      <c r="O704" s="1">
        <f>MONTH(orders[[#This Row],[OrderDate]])</f>
        <v>4</v>
      </c>
    </row>
    <row r="705" spans="1:15" x14ac:dyDescent="0.35">
      <c r="A705">
        <v>10951</v>
      </c>
      <c r="B705" s="1" t="s">
        <v>565</v>
      </c>
      <c r="C705">
        <v>9</v>
      </c>
      <c r="D705" s="2">
        <v>35170</v>
      </c>
      <c r="E705" s="2">
        <v>35212</v>
      </c>
      <c r="F705" s="2">
        <v>35192</v>
      </c>
      <c r="G705">
        <v>2</v>
      </c>
      <c r="H705">
        <v>30.85</v>
      </c>
      <c r="I705" s="1" t="s">
        <v>566</v>
      </c>
      <c r="J705" s="1" t="s">
        <v>835</v>
      </c>
      <c r="K705" s="1" t="s">
        <v>569</v>
      </c>
      <c r="L705" s="1" t="s">
        <v>1195</v>
      </c>
      <c r="M705" s="1" t="s">
        <v>836</v>
      </c>
      <c r="N705" s="1" t="s">
        <v>151</v>
      </c>
      <c r="O705" s="1">
        <f>MONTH(orders[[#This Row],[OrderDate]])</f>
        <v>4</v>
      </c>
    </row>
    <row r="706" spans="1:15" x14ac:dyDescent="0.35">
      <c r="A706">
        <v>10952</v>
      </c>
      <c r="B706" s="1" t="s">
        <v>30</v>
      </c>
      <c r="C706">
        <v>1</v>
      </c>
      <c r="D706" s="2">
        <v>35170</v>
      </c>
      <c r="E706" s="2">
        <v>35212</v>
      </c>
      <c r="F706" s="2">
        <v>35178</v>
      </c>
      <c r="G706">
        <v>1</v>
      </c>
      <c r="H706">
        <v>40.42</v>
      </c>
      <c r="I706" s="1" t="s">
        <v>846</v>
      </c>
      <c r="J706" s="1" t="s">
        <v>34</v>
      </c>
      <c r="K706" s="1" t="s">
        <v>35</v>
      </c>
      <c r="L706" s="1" t="s">
        <v>1195</v>
      </c>
      <c r="M706" s="1" t="s">
        <v>37</v>
      </c>
      <c r="N706" s="1" t="s">
        <v>38</v>
      </c>
      <c r="O706" s="1">
        <f>MONTH(orders[[#This Row],[OrderDate]])</f>
        <v>4</v>
      </c>
    </row>
    <row r="707" spans="1:15" x14ac:dyDescent="0.35">
      <c r="A707">
        <v>10953</v>
      </c>
      <c r="B707" s="1" t="s">
        <v>57</v>
      </c>
      <c r="C707">
        <v>9</v>
      </c>
      <c r="D707" s="2">
        <v>35170</v>
      </c>
      <c r="E707" s="2">
        <v>35184</v>
      </c>
      <c r="F707" s="2">
        <v>35179</v>
      </c>
      <c r="G707">
        <v>2</v>
      </c>
      <c r="H707">
        <v>23.72</v>
      </c>
      <c r="I707" s="1" t="s">
        <v>58</v>
      </c>
      <c r="J707" s="1" t="s">
        <v>1210</v>
      </c>
      <c r="K707" s="1" t="s">
        <v>839</v>
      </c>
      <c r="L707" s="1" t="s">
        <v>840</v>
      </c>
      <c r="M707" s="1" t="s">
        <v>841</v>
      </c>
      <c r="N707" s="1" t="s">
        <v>63</v>
      </c>
      <c r="O707" s="1">
        <f>MONTH(orders[[#This Row],[OrderDate]])</f>
        <v>4</v>
      </c>
    </row>
    <row r="708" spans="1:15" x14ac:dyDescent="0.35">
      <c r="A708">
        <v>10954</v>
      </c>
      <c r="B708" s="1" t="s">
        <v>408</v>
      </c>
      <c r="C708">
        <v>5</v>
      </c>
      <c r="D708" s="2">
        <v>35171</v>
      </c>
      <c r="E708" s="2">
        <v>35213</v>
      </c>
      <c r="F708" s="2">
        <v>35174</v>
      </c>
      <c r="G708">
        <v>1</v>
      </c>
      <c r="H708">
        <v>27.91</v>
      </c>
      <c r="I708" s="1" t="s">
        <v>409</v>
      </c>
      <c r="J708" s="1" t="s">
        <v>411</v>
      </c>
      <c r="K708" s="1" t="s">
        <v>412</v>
      </c>
      <c r="L708" s="1" t="s">
        <v>413</v>
      </c>
      <c r="M708" s="1" t="s">
        <v>414</v>
      </c>
      <c r="N708" s="1" t="s">
        <v>301</v>
      </c>
      <c r="O708" s="1">
        <f>MONTH(orders[[#This Row],[OrderDate]])</f>
        <v>4</v>
      </c>
    </row>
    <row r="709" spans="1:15" x14ac:dyDescent="0.35">
      <c r="A709">
        <v>10955</v>
      </c>
      <c r="B709" s="1" t="s">
        <v>225</v>
      </c>
      <c r="C709">
        <v>8</v>
      </c>
      <c r="D709" s="2">
        <v>35171</v>
      </c>
      <c r="E709" s="2">
        <v>35199</v>
      </c>
      <c r="F709" s="2">
        <v>35174</v>
      </c>
      <c r="G709">
        <v>2</v>
      </c>
      <c r="H709">
        <v>3.26</v>
      </c>
      <c r="I709" s="1" t="s">
        <v>226</v>
      </c>
      <c r="J709" s="1" t="s">
        <v>228</v>
      </c>
      <c r="K709" s="1" t="s">
        <v>229</v>
      </c>
      <c r="L709" s="1" t="s">
        <v>1195</v>
      </c>
      <c r="M709" s="1" t="s">
        <v>230</v>
      </c>
      <c r="N709" s="1" t="s">
        <v>73</v>
      </c>
      <c r="O709" s="1">
        <f>MONTH(orders[[#This Row],[OrderDate]])</f>
        <v>4</v>
      </c>
    </row>
    <row r="710" spans="1:15" x14ac:dyDescent="0.35">
      <c r="A710">
        <v>10956</v>
      </c>
      <c r="B710" s="1" t="s">
        <v>76</v>
      </c>
      <c r="C710">
        <v>6</v>
      </c>
      <c r="D710" s="2">
        <v>35171</v>
      </c>
      <c r="E710" s="2">
        <v>35213</v>
      </c>
      <c r="F710" s="2">
        <v>35174</v>
      </c>
      <c r="G710">
        <v>2</v>
      </c>
      <c r="H710">
        <v>44.65</v>
      </c>
      <c r="I710" s="1" t="s">
        <v>77</v>
      </c>
      <c r="J710" s="1" t="s">
        <v>79</v>
      </c>
      <c r="K710" s="1" t="s">
        <v>80</v>
      </c>
      <c r="L710" s="1" t="s">
        <v>1195</v>
      </c>
      <c r="M710" s="1" t="s">
        <v>81</v>
      </c>
      <c r="N710" s="1" t="s">
        <v>38</v>
      </c>
      <c r="O710" s="1">
        <f>MONTH(orders[[#This Row],[OrderDate]])</f>
        <v>4</v>
      </c>
    </row>
    <row r="711" spans="1:15" x14ac:dyDescent="0.35">
      <c r="A711">
        <v>10957</v>
      </c>
      <c r="B711" s="1" t="s">
        <v>313</v>
      </c>
      <c r="C711">
        <v>8</v>
      </c>
      <c r="D711" s="2">
        <v>35172</v>
      </c>
      <c r="E711" s="2">
        <v>35200</v>
      </c>
      <c r="F711" s="2">
        <v>35181</v>
      </c>
      <c r="G711">
        <v>3</v>
      </c>
      <c r="H711">
        <v>105.36</v>
      </c>
      <c r="I711" s="1" t="s">
        <v>314</v>
      </c>
      <c r="J711" s="1" t="s">
        <v>316</v>
      </c>
      <c r="K711" s="1" t="s">
        <v>317</v>
      </c>
      <c r="L711" s="1" t="s">
        <v>318</v>
      </c>
      <c r="M711" s="1" t="s">
        <v>319</v>
      </c>
      <c r="N711" s="1" t="s">
        <v>301</v>
      </c>
      <c r="O711" s="1">
        <f>MONTH(orders[[#This Row],[OrderDate]])</f>
        <v>4</v>
      </c>
    </row>
    <row r="712" spans="1:15" x14ac:dyDescent="0.35">
      <c r="A712">
        <v>10958</v>
      </c>
      <c r="B712" s="1" t="s">
        <v>464</v>
      </c>
      <c r="C712">
        <v>7</v>
      </c>
      <c r="D712" s="2">
        <v>35172</v>
      </c>
      <c r="E712" s="2">
        <v>35200</v>
      </c>
      <c r="F712" s="2">
        <v>35181</v>
      </c>
      <c r="G712">
        <v>2</v>
      </c>
      <c r="H712">
        <v>49.56</v>
      </c>
      <c r="I712" s="1" t="s">
        <v>465</v>
      </c>
      <c r="J712" s="1" t="s">
        <v>1204</v>
      </c>
      <c r="K712" s="1" t="s">
        <v>133</v>
      </c>
      <c r="L712" s="1" t="s">
        <v>1195</v>
      </c>
      <c r="M712" s="1" t="s">
        <v>134</v>
      </c>
      <c r="N712" s="1" t="s">
        <v>135</v>
      </c>
      <c r="O712" s="1">
        <f>MONTH(orders[[#This Row],[OrderDate]])</f>
        <v>4</v>
      </c>
    </row>
    <row r="713" spans="1:15" x14ac:dyDescent="0.35">
      <c r="A713">
        <v>10959</v>
      </c>
      <c r="B713" s="1" t="s">
        <v>278</v>
      </c>
      <c r="C713">
        <v>6</v>
      </c>
      <c r="D713" s="2">
        <v>35172</v>
      </c>
      <c r="E713" s="2">
        <v>35214</v>
      </c>
      <c r="F713" s="2">
        <v>35177</v>
      </c>
      <c r="G713">
        <v>2</v>
      </c>
      <c r="H713">
        <v>4.9800000000000004</v>
      </c>
      <c r="I713" s="1" t="s">
        <v>279</v>
      </c>
      <c r="J713" s="1" t="s">
        <v>281</v>
      </c>
      <c r="K713" s="1" t="s">
        <v>282</v>
      </c>
      <c r="L713" s="1" t="s">
        <v>159</v>
      </c>
      <c r="M713" s="1" t="s">
        <v>283</v>
      </c>
      <c r="N713" s="1" t="s">
        <v>161</v>
      </c>
      <c r="O713" s="1">
        <f>MONTH(orders[[#This Row],[OrderDate]])</f>
        <v>4</v>
      </c>
    </row>
    <row r="714" spans="1:15" x14ac:dyDescent="0.35">
      <c r="A714">
        <v>10960</v>
      </c>
      <c r="B714" s="1" t="s">
        <v>313</v>
      </c>
      <c r="C714">
        <v>3</v>
      </c>
      <c r="D714" s="2">
        <v>35173</v>
      </c>
      <c r="E714" s="2">
        <v>35187</v>
      </c>
      <c r="F714" s="2">
        <v>35193</v>
      </c>
      <c r="G714">
        <v>1</v>
      </c>
      <c r="H714">
        <v>2.08</v>
      </c>
      <c r="I714" s="1" t="s">
        <v>314</v>
      </c>
      <c r="J714" s="1" t="s">
        <v>316</v>
      </c>
      <c r="K714" s="1" t="s">
        <v>317</v>
      </c>
      <c r="L714" s="1" t="s">
        <v>318</v>
      </c>
      <c r="M714" s="1" t="s">
        <v>319</v>
      </c>
      <c r="N714" s="1" t="s">
        <v>301</v>
      </c>
      <c r="O714" s="1">
        <f>MONTH(orders[[#This Row],[OrderDate]])</f>
        <v>4</v>
      </c>
    </row>
    <row r="715" spans="1:15" x14ac:dyDescent="0.35">
      <c r="A715">
        <v>10961</v>
      </c>
      <c r="B715" s="1" t="s">
        <v>522</v>
      </c>
      <c r="C715">
        <v>8</v>
      </c>
      <c r="D715" s="2">
        <v>35173</v>
      </c>
      <c r="E715" s="2">
        <v>35201</v>
      </c>
      <c r="F715" s="2">
        <v>35184</v>
      </c>
      <c r="G715">
        <v>1</v>
      </c>
      <c r="H715">
        <v>104.47</v>
      </c>
      <c r="I715" s="1" t="s">
        <v>523</v>
      </c>
      <c r="J715" s="1" t="s">
        <v>525</v>
      </c>
      <c r="K715" s="1" t="s">
        <v>158</v>
      </c>
      <c r="L715" s="1" t="s">
        <v>159</v>
      </c>
      <c r="M715" s="1" t="s">
        <v>526</v>
      </c>
      <c r="N715" s="1" t="s">
        <v>161</v>
      </c>
      <c r="O715" s="1">
        <f>MONTH(orders[[#This Row],[OrderDate]])</f>
        <v>4</v>
      </c>
    </row>
    <row r="716" spans="1:15" x14ac:dyDescent="0.35">
      <c r="A716">
        <v>10962</v>
      </c>
      <c r="B716" s="1" t="s">
        <v>528</v>
      </c>
      <c r="C716">
        <v>8</v>
      </c>
      <c r="D716" s="2">
        <v>35173</v>
      </c>
      <c r="E716" s="2">
        <v>35201</v>
      </c>
      <c r="F716" s="2">
        <v>35177</v>
      </c>
      <c r="G716">
        <v>2</v>
      </c>
      <c r="H716">
        <v>275.79000000000002</v>
      </c>
      <c r="I716" s="1" t="s">
        <v>529</v>
      </c>
      <c r="J716" s="1" t="s">
        <v>531</v>
      </c>
      <c r="K716" s="1" t="s">
        <v>532</v>
      </c>
      <c r="L716" s="1" t="s">
        <v>1195</v>
      </c>
      <c r="M716" s="1" t="s">
        <v>533</v>
      </c>
      <c r="N716" s="1" t="s">
        <v>38</v>
      </c>
      <c r="O716" s="1">
        <f>MONTH(orders[[#This Row],[OrderDate]])</f>
        <v>4</v>
      </c>
    </row>
    <row r="717" spans="1:15" x14ac:dyDescent="0.35">
      <c r="A717">
        <v>10963</v>
      </c>
      <c r="B717" s="1" t="s">
        <v>255</v>
      </c>
      <c r="C717">
        <v>9</v>
      </c>
      <c r="D717" s="2">
        <v>35173</v>
      </c>
      <c r="E717" s="2">
        <v>35201</v>
      </c>
      <c r="F717" s="2">
        <v>35180</v>
      </c>
      <c r="G717">
        <v>3</v>
      </c>
      <c r="H717">
        <v>2.7</v>
      </c>
      <c r="I717" s="1" t="s">
        <v>256</v>
      </c>
      <c r="J717" s="1" t="s">
        <v>257</v>
      </c>
      <c r="K717" s="1" t="s">
        <v>258</v>
      </c>
      <c r="L717" s="1" t="s">
        <v>1195</v>
      </c>
      <c r="M717" s="1" t="s">
        <v>259</v>
      </c>
      <c r="N717" s="1" t="s">
        <v>260</v>
      </c>
      <c r="O717" s="1">
        <f>MONTH(orders[[#This Row],[OrderDate]])</f>
        <v>4</v>
      </c>
    </row>
    <row r="718" spans="1:15" x14ac:dyDescent="0.35">
      <c r="A718">
        <v>10964</v>
      </c>
      <c r="B718" s="1" t="s">
        <v>612</v>
      </c>
      <c r="C718">
        <v>3</v>
      </c>
      <c r="D718" s="2">
        <v>35174</v>
      </c>
      <c r="E718" s="2">
        <v>35202</v>
      </c>
      <c r="F718" s="2">
        <v>35178</v>
      </c>
      <c r="G718">
        <v>2</v>
      </c>
      <c r="H718">
        <v>87.38</v>
      </c>
      <c r="I718" s="1" t="s">
        <v>613</v>
      </c>
      <c r="J718" s="1" t="s">
        <v>615</v>
      </c>
      <c r="K718" s="1" t="s">
        <v>490</v>
      </c>
      <c r="L718" s="1" t="s">
        <v>1195</v>
      </c>
      <c r="M718" s="1" t="s">
        <v>616</v>
      </c>
      <c r="N718" s="1" t="s">
        <v>91</v>
      </c>
      <c r="O718" s="1">
        <f>MONTH(orders[[#This Row],[OrderDate]])</f>
        <v>4</v>
      </c>
    </row>
    <row r="719" spans="1:15" x14ac:dyDescent="0.35">
      <c r="A719">
        <v>10965</v>
      </c>
      <c r="B719" s="1" t="s">
        <v>469</v>
      </c>
      <c r="C719">
        <v>6</v>
      </c>
      <c r="D719" s="2">
        <v>35174</v>
      </c>
      <c r="E719" s="2">
        <v>35202</v>
      </c>
      <c r="F719" s="2">
        <v>35184</v>
      </c>
      <c r="G719">
        <v>3</v>
      </c>
      <c r="H719">
        <v>144.38</v>
      </c>
      <c r="I719" s="1" t="s">
        <v>470</v>
      </c>
      <c r="J719" s="1" t="s">
        <v>472</v>
      </c>
      <c r="K719" s="1" t="s">
        <v>473</v>
      </c>
      <c r="L719" s="1" t="s">
        <v>474</v>
      </c>
      <c r="M719" s="1" t="s">
        <v>475</v>
      </c>
      <c r="N719" s="1" t="s">
        <v>292</v>
      </c>
      <c r="O719" s="1">
        <f>MONTH(orders[[#This Row],[OrderDate]])</f>
        <v>4</v>
      </c>
    </row>
    <row r="720" spans="1:15" x14ac:dyDescent="0.35">
      <c r="A720">
        <v>10966</v>
      </c>
      <c r="B720" s="1" t="s">
        <v>145</v>
      </c>
      <c r="C720">
        <v>4</v>
      </c>
      <c r="D720" s="2">
        <v>35174</v>
      </c>
      <c r="E720" s="2">
        <v>35202</v>
      </c>
      <c r="F720" s="2">
        <v>35193</v>
      </c>
      <c r="G720">
        <v>1</v>
      </c>
      <c r="H720">
        <v>27.19</v>
      </c>
      <c r="I720" s="1" t="s">
        <v>146</v>
      </c>
      <c r="J720" s="1" t="s">
        <v>834</v>
      </c>
      <c r="K720" s="1" t="s">
        <v>149</v>
      </c>
      <c r="L720" s="1" t="s">
        <v>1195</v>
      </c>
      <c r="M720" s="1" t="s">
        <v>150</v>
      </c>
      <c r="N720" s="1" t="s">
        <v>151</v>
      </c>
      <c r="O720" s="1">
        <f>MONTH(orders[[#This Row],[OrderDate]])</f>
        <v>4</v>
      </c>
    </row>
    <row r="721" spans="1:15" x14ac:dyDescent="0.35">
      <c r="A721">
        <v>10967</v>
      </c>
      <c r="B721" s="1" t="s">
        <v>650</v>
      </c>
      <c r="C721">
        <v>2</v>
      </c>
      <c r="D721" s="2">
        <v>35177</v>
      </c>
      <c r="E721" s="2">
        <v>35205</v>
      </c>
      <c r="F721" s="2">
        <v>35187</v>
      </c>
      <c r="G721">
        <v>2</v>
      </c>
      <c r="H721">
        <v>62.22</v>
      </c>
      <c r="I721" s="1" t="s">
        <v>651</v>
      </c>
      <c r="J721" s="1" t="s">
        <v>653</v>
      </c>
      <c r="K721" s="1" t="s">
        <v>654</v>
      </c>
      <c r="L721" s="1" t="s">
        <v>1195</v>
      </c>
      <c r="M721" s="1" t="s">
        <v>655</v>
      </c>
      <c r="N721" s="1" t="s">
        <v>38</v>
      </c>
      <c r="O721" s="1">
        <f>MONTH(orders[[#This Row],[OrderDate]])</f>
        <v>4</v>
      </c>
    </row>
    <row r="722" spans="1:15" x14ac:dyDescent="0.35">
      <c r="A722">
        <v>10968</v>
      </c>
      <c r="B722" s="1" t="s">
        <v>192</v>
      </c>
      <c r="C722">
        <v>1</v>
      </c>
      <c r="D722" s="2">
        <v>35177</v>
      </c>
      <c r="E722" s="2">
        <v>35205</v>
      </c>
      <c r="F722" s="2">
        <v>35186</v>
      </c>
      <c r="G722">
        <v>3</v>
      </c>
      <c r="H722">
        <v>74.599999999999994</v>
      </c>
      <c r="I722" s="1" t="s">
        <v>193</v>
      </c>
      <c r="J722" s="1" t="s">
        <v>196</v>
      </c>
      <c r="K722" s="1" t="s">
        <v>197</v>
      </c>
      <c r="L722" s="1" t="s">
        <v>1195</v>
      </c>
      <c r="M722" s="1" t="s">
        <v>198</v>
      </c>
      <c r="N722" s="1" t="s">
        <v>199</v>
      </c>
      <c r="O722" s="1">
        <f>MONTH(orders[[#This Row],[OrderDate]])</f>
        <v>4</v>
      </c>
    </row>
    <row r="723" spans="1:15" x14ac:dyDescent="0.35">
      <c r="A723">
        <v>10969</v>
      </c>
      <c r="B723" s="1" t="s">
        <v>153</v>
      </c>
      <c r="C723">
        <v>1</v>
      </c>
      <c r="D723" s="2">
        <v>35177</v>
      </c>
      <c r="E723" s="2">
        <v>35205</v>
      </c>
      <c r="F723" s="2">
        <v>35184</v>
      </c>
      <c r="G723">
        <v>2</v>
      </c>
      <c r="H723">
        <v>0.21</v>
      </c>
      <c r="I723" s="1" t="s">
        <v>154</v>
      </c>
      <c r="J723" s="1" t="s">
        <v>157</v>
      </c>
      <c r="K723" s="1" t="s">
        <v>158</v>
      </c>
      <c r="L723" s="1" t="s">
        <v>159</v>
      </c>
      <c r="M723" s="1" t="s">
        <v>160</v>
      </c>
      <c r="N723" s="1" t="s">
        <v>161</v>
      </c>
      <c r="O723" s="1">
        <f>MONTH(orders[[#This Row],[OrderDate]])</f>
        <v>4</v>
      </c>
    </row>
    <row r="724" spans="1:15" x14ac:dyDescent="0.35">
      <c r="A724">
        <v>10970</v>
      </c>
      <c r="B724" s="1" t="s">
        <v>94</v>
      </c>
      <c r="C724">
        <v>9</v>
      </c>
      <c r="D724" s="2">
        <v>35178</v>
      </c>
      <c r="E724" s="2">
        <v>35192</v>
      </c>
      <c r="F724" s="2">
        <v>35209</v>
      </c>
      <c r="G724">
        <v>1</v>
      </c>
      <c r="H724">
        <v>16.16</v>
      </c>
      <c r="I724" s="1" t="s">
        <v>95</v>
      </c>
      <c r="J724" s="1" t="s">
        <v>97</v>
      </c>
      <c r="K724" s="1" t="s">
        <v>98</v>
      </c>
      <c r="L724" s="1" t="s">
        <v>1195</v>
      </c>
      <c r="M724" s="1" t="s">
        <v>99</v>
      </c>
      <c r="N724" s="1" t="s">
        <v>100</v>
      </c>
      <c r="O724" s="1">
        <f>MONTH(orders[[#This Row],[OrderDate]])</f>
        <v>4</v>
      </c>
    </row>
    <row r="725" spans="1:15" x14ac:dyDescent="0.35">
      <c r="A725">
        <v>10971</v>
      </c>
      <c r="B725" s="1" t="s">
        <v>240</v>
      </c>
      <c r="C725">
        <v>2</v>
      </c>
      <c r="D725" s="2">
        <v>35178</v>
      </c>
      <c r="E725" s="2">
        <v>35206</v>
      </c>
      <c r="F725" s="2">
        <v>35187</v>
      </c>
      <c r="G725">
        <v>2</v>
      </c>
      <c r="H725">
        <v>121.82</v>
      </c>
      <c r="I725" s="1" t="s">
        <v>241</v>
      </c>
      <c r="J725" s="1" t="s">
        <v>243</v>
      </c>
      <c r="K725" s="1" t="s">
        <v>181</v>
      </c>
      <c r="L725" s="1" t="s">
        <v>1195</v>
      </c>
      <c r="M725" s="1" t="s">
        <v>182</v>
      </c>
      <c r="N725" s="1" t="s">
        <v>91</v>
      </c>
      <c r="O725" s="1">
        <f>MONTH(orders[[#This Row],[OrderDate]])</f>
        <v>4</v>
      </c>
    </row>
    <row r="726" spans="1:15" x14ac:dyDescent="0.35">
      <c r="A726">
        <v>10972</v>
      </c>
      <c r="B726" s="1" t="s">
        <v>352</v>
      </c>
      <c r="C726">
        <v>4</v>
      </c>
      <c r="D726" s="2">
        <v>35178</v>
      </c>
      <c r="E726" s="2">
        <v>35206</v>
      </c>
      <c r="F726" s="2">
        <v>35180</v>
      </c>
      <c r="G726">
        <v>2</v>
      </c>
      <c r="H726">
        <v>0.02</v>
      </c>
      <c r="I726" s="1" t="s">
        <v>353</v>
      </c>
      <c r="J726" s="1" t="s">
        <v>355</v>
      </c>
      <c r="K726" s="1" t="s">
        <v>356</v>
      </c>
      <c r="L726" s="1" t="s">
        <v>1195</v>
      </c>
      <c r="M726" s="1" t="s">
        <v>357</v>
      </c>
      <c r="N726" s="1" t="s">
        <v>91</v>
      </c>
      <c r="O726" s="1">
        <f>MONTH(orders[[#This Row],[OrderDate]])</f>
        <v>4</v>
      </c>
    </row>
    <row r="727" spans="1:15" x14ac:dyDescent="0.35">
      <c r="A727">
        <v>10973</v>
      </c>
      <c r="B727" s="1" t="s">
        <v>352</v>
      </c>
      <c r="C727">
        <v>6</v>
      </c>
      <c r="D727" s="2">
        <v>35178</v>
      </c>
      <c r="E727" s="2">
        <v>35206</v>
      </c>
      <c r="F727" s="2">
        <v>35181</v>
      </c>
      <c r="G727">
        <v>2</v>
      </c>
      <c r="H727">
        <v>15.17</v>
      </c>
      <c r="I727" s="1" t="s">
        <v>353</v>
      </c>
      <c r="J727" s="1" t="s">
        <v>355</v>
      </c>
      <c r="K727" s="1" t="s">
        <v>356</v>
      </c>
      <c r="L727" s="1" t="s">
        <v>1195</v>
      </c>
      <c r="M727" s="1" t="s">
        <v>357</v>
      </c>
      <c r="N727" s="1" t="s">
        <v>91</v>
      </c>
      <c r="O727" s="1">
        <f>MONTH(orders[[#This Row],[OrderDate]])</f>
        <v>4</v>
      </c>
    </row>
    <row r="728" spans="1:15" x14ac:dyDescent="0.35">
      <c r="A728">
        <v>10974</v>
      </c>
      <c r="B728" s="1" t="s">
        <v>619</v>
      </c>
      <c r="C728">
        <v>3</v>
      </c>
      <c r="D728" s="2">
        <v>35179</v>
      </c>
      <c r="E728" s="2">
        <v>35193</v>
      </c>
      <c r="F728" s="2">
        <v>35188</v>
      </c>
      <c r="G728">
        <v>3</v>
      </c>
      <c r="H728">
        <v>12.96</v>
      </c>
      <c r="I728" s="1" t="s">
        <v>620</v>
      </c>
      <c r="J728" s="1" t="s">
        <v>622</v>
      </c>
      <c r="K728" s="1" t="s">
        <v>623</v>
      </c>
      <c r="L728" s="1" t="s">
        <v>624</v>
      </c>
      <c r="M728" s="1" t="s">
        <v>625</v>
      </c>
      <c r="N728" s="1" t="s">
        <v>292</v>
      </c>
      <c r="O728" s="1">
        <f>MONTH(orders[[#This Row],[OrderDate]])</f>
        <v>4</v>
      </c>
    </row>
    <row r="729" spans="1:15" x14ac:dyDescent="0.35">
      <c r="A729">
        <v>10975</v>
      </c>
      <c r="B729" s="1" t="s">
        <v>111</v>
      </c>
      <c r="C729">
        <v>1</v>
      </c>
      <c r="D729" s="2">
        <v>35179</v>
      </c>
      <c r="E729" s="2">
        <v>35207</v>
      </c>
      <c r="F729" s="2">
        <v>35181</v>
      </c>
      <c r="G729">
        <v>3</v>
      </c>
      <c r="H729">
        <v>32.270000000000003</v>
      </c>
      <c r="I729" s="1" t="s">
        <v>112</v>
      </c>
      <c r="J729" s="1" t="s">
        <v>115</v>
      </c>
      <c r="K729" s="1" t="s">
        <v>116</v>
      </c>
      <c r="L729" s="1" t="s">
        <v>117</v>
      </c>
      <c r="M729" s="1" t="s">
        <v>118</v>
      </c>
      <c r="N729" s="1" t="s">
        <v>119</v>
      </c>
      <c r="O729" s="1">
        <f>MONTH(orders[[#This Row],[OrderDate]])</f>
        <v>4</v>
      </c>
    </row>
    <row r="730" spans="1:15" x14ac:dyDescent="0.35">
      <c r="A730">
        <v>10976</v>
      </c>
      <c r="B730" s="1" t="s">
        <v>313</v>
      </c>
      <c r="C730">
        <v>1</v>
      </c>
      <c r="D730" s="2">
        <v>35179</v>
      </c>
      <c r="E730" s="2">
        <v>35221</v>
      </c>
      <c r="F730" s="2">
        <v>35188</v>
      </c>
      <c r="G730">
        <v>1</v>
      </c>
      <c r="H730">
        <v>37.97</v>
      </c>
      <c r="I730" s="1" t="s">
        <v>314</v>
      </c>
      <c r="J730" s="1" t="s">
        <v>316</v>
      </c>
      <c r="K730" s="1" t="s">
        <v>317</v>
      </c>
      <c r="L730" s="1" t="s">
        <v>318</v>
      </c>
      <c r="M730" s="1" t="s">
        <v>319</v>
      </c>
      <c r="N730" s="1" t="s">
        <v>301</v>
      </c>
      <c r="O730" s="1">
        <f>MONTH(orders[[#This Row],[OrderDate]])</f>
        <v>4</v>
      </c>
    </row>
    <row r="731" spans="1:15" x14ac:dyDescent="0.35">
      <c r="A731">
        <v>10977</v>
      </c>
      <c r="B731" s="1" t="s">
        <v>225</v>
      </c>
      <c r="C731">
        <v>8</v>
      </c>
      <c r="D731" s="2">
        <v>35180</v>
      </c>
      <c r="E731" s="2">
        <v>35208</v>
      </c>
      <c r="F731" s="2">
        <v>35195</v>
      </c>
      <c r="G731">
        <v>3</v>
      </c>
      <c r="H731">
        <v>208.5</v>
      </c>
      <c r="I731" s="1" t="s">
        <v>226</v>
      </c>
      <c r="J731" s="1" t="s">
        <v>228</v>
      </c>
      <c r="K731" s="1" t="s">
        <v>229</v>
      </c>
      <c r="L731" s="1" t="s">
        <v>1195</v>
      </c>
      <c r="M731" s="1" t="s">
        <v>230</v>
      </c>
      <c r="N731" s="1" t="s">
        <v>73</v>
      </c>
      <c r="O731" s="1">
        <f>MONTH(orders[[#This Row],[OrderDate]])</f>
        <v>4</v>
      </c>
    </row>
    <row r="732" spans="1:15" x14ac:dyDescent="0.35">
      <c r="A732">
        <v>10978</v>
      </c>
      <c r="B732" s="1" t="s">
        <v>433</v>
      </c>
      <c r="C732">
        <v>9</v>
      </c>
      <c r="D732" s="2">
        <v>35180</v>
      </c>
      <c r="E732" s="2">
        <v>35208</v>
      </c>
      <c r="F732" s="2">
        <v>35208</v>
      </c>
      <c r="G732">
        <v>2</v>
      </c>
      <c r="H732">
        <v>32.82</v>
      </c>
      <c r="I732" s="1" t="s">
        <v>434</v>
      </c>
      <c r="J732" s="1" t="s">
        <v>436</v>
      </c>
      <c r="K732" s="1" t="s">
        <v>437</v>
      </c>
      <c r="L732" s="1" t="s">
        <v>1195</v>
      </c>
      <c r="M732" s="1" t="s">
        <v>438</v>
      </c>
      <c r="N732" s="1" t="s">
        <v>439</v>
      </c>
      <c r="O732" s="1">
        <f>MONTH(orders[[#This Row],[OrderDate]])</f>
        <v>4</v>
      </c>
    </row>
    <row r="733" spans="1:15" x14ac:dyDescent="0.35">
      <c r="A733">
        <v>10979</v>
      </c>
      <c r="B733" s="1" t="s">
        <v>192</v>
      </c>
      <c r="C733">
        <v>8</v>
      </c>
      <c r="D733" s="2">
        <v>35180</v>
      </c>
      <c r="E733" s="2">
        <v>35208</v>
      </c>
      <c r="F733" s="2">
        <v>35185</v>
      </c>
      <c r="G733">
        <v>2</v>
      </c>
      <c r="H733">
        <v>353.07</v>
      </c>
      <c r="I733" s="1" t="s">
        <v>193</v>
      </c>
      <c r="J733" s="1" t="s">
        <v>196</v>
      </c>
      <c r="K733" s="1" t="s">
        <v>197</v>
      </c>
      <c r="L733" s="1" t="s">
        <v>1195</v>
      </c>
      <c r="M733" s="1" t="s">
        <v>198</v>
      </c>
      <c r="N733" s="1" t="s">
        <v>199</v>
      </c>
      <c r="O733" s="1">
        <f>MONTH(orders[[#This Row],[OrderDate]])</f>
        <v>4</v>
      </c>
    </row>
    <row r="734" spans="1:15" x14ac:dyDescent="0.35">
      <c r="A734">
        <v>10980</v>
      </c>
      <c r="B734" s="1" t="s">
        <v>225</v>
      </c>
      <c r="C734">
        <v>4</v>
      </c>
      <c r="D734" s="2">
        <v>35181</v>
      </c>
      <c r="E734" s="2">
        <v>35223</v>
      </c>
      <c r="F734" s="2">
        <v>35202</v>
      </c>
      <c r="G734">
        <v>1</v>
      </c>
      <c r="H734">
        <v>1.26</v>
      </c>
      <c r="I734" s="1" t="s">
        <v>226</v>
      </c>
      <c r="J734" s="1" t="s">
        <v>228</v>
      </c>
      <c r="K734" s="1" t="s">
        <v>229</v>
      </c>
      <c r="L734" s="1" t="s">
        <v>1195</v>
      </c>
      <c r="M734" s="1" t="s">
        <v>230</v>
      </c>
      <c r="N734" s="1" t="s">
        <v>73</v>
      </c>
      <c r="O734" s="1">
        <f>MONTH(orders[[#This Row],[OrderDate]])</f>
        <v>4</v>
      </c>
    </row>
    <row r="735" spans="1:15" x14ac:dyDescent="0.35">
      <c r="A735">
        <v>10981</v>
      </c>
      <c r="B735" s="1" t="s">
        <v>304</v>
      </c>
      <c r="C735">
        <v>1</v>
      </c>
      <c r="D735" s="2">
        <v>35181</v>
      </c>
      <c r="E735" s="2">
        <v>35209</v>
      </c>
      <c r="F735" s="2">
        <v>35187</v>
      </c>
      <c r="G735">
        <v>2</v>
      </c>
      <c r="H735">
        <v>193.37</v>
      </c>
      <c r="I735" s="1" t="s">
        <v>305</v>
      </c>
      <c r="J735" s="1" t="s">
        <v>307</v>
      </c>
      <c r="K735" s="1" t="s">
        <v>308</v>
      </c>
      <c r="L735" s="1" t="s">
        <v>309</v>
      </c>
      <c r="M735" s="1" t="s">
        <v>310</v>
      </c>
      <c r="N735" s="1" t="s">
        <v>161</v>
      </c>
      <c r="O735" s="1">
        <f>MONTH(orders[[#This Row],[OrderDate]])</f>
        <v>4</v>
      </c>
    </row>
    <row r="736" spans="1:15" x14ac:dyDescent="0.35">
      <c r="A736">
        <v>10982</v>
      </c>
      <c r="B736" s="1" t="s">
        <v>111</v>
      </c>
      <c r="C736">
        <v>2</v>
      </c>
      <c r="D736" s="2">
        <v>35181</v>
      </c>
      <c r="E736" s="2">
        <v>35209</v>
      </c>
      <c r="F736" s="2">
        <v>35193</v>
      </c>
      <c r="G736">
        <v>1</v>
      </c>
      <c r="H736">
        <v>14.01</v>
      </c>
      <c r="I736" s="1" t="s">
        <v>112</v>
      </c>
      <c r="J736" s="1" t="s">
        <v>115</v>
      </c>
      <c r="K736" s="1" t="s">
        <v>116</v>
      </c>
      <c r="L736" s="1" t="s">
        <v>117</v>
      </c>
      <c r="M736" s="1" t="s">
        <v>118</v>
      </c>
      <c r="N736" s="1" t="s">
        <v>119</v>
      </c>
      <c r="O736" s="1">
        <f>MONTH(orders[[#This Row],[OrderDate]])</f>
        <v>4</v>
      </c>
    </row>
    <row r="737" spans="1:15" x14ac:dyDescent="0.35">
      <c r="A737">
        <v>10983</v>
      </c>
      <c r="B737" s="1" t="s">
        <v>588</v>
      </c>
      <c r="C737">
        <v>2</v>
      </c>
      <c r="D737" s="2">
        <v>35181</v>
      </c>
      <c r="E737" s="2">
        <v>35209</v>
      </c>
      <c r="F737" s="2">
        <v>35191</v>
      </c>
      <c r="G737">
        <v>2</v>
      </c>
      <c r="H737">
        <v>657.54</v>
      </c>
      <c r="I737" s="1" t="s">
        <v>589</v>
      </c>
      <c r="J737" s="1" t="s">
        <v>591</v>
      </c>
      <c r="K737" s="1" t="s">
        <v>592</v>
      </c>
      <c r="L737" s="1" t="s">
        <v>593</v>
      </c>
      <c r="M737" s="1" t="s">
        <v>594</v>
      </c>
      <c r="N737" s="1" t="s">
        <v>292</v>
      </c>
      <c r="O737" s="1">
        <f>MONTH(orders[[#This Row],[OrderDate]])</f>
        <v>4</v>
      </c>
    </row>
    <row r="738" spans="1:15" x14ac:dyDescent="0.35">
      <c r="A738">
        <v>10984</v>
      </c>
      <c r="B738" s="1" t="s">
        <v>588</v>
      </c>
      <c r="C738">
        <v>1</v>
      </c>
      <c r="D738" s="2">
        <v>35184</v>
      </c>
      <c r="E738" s="2">
        <v>35212</v>
      </c>
      <c r="F738" s="2">
        <v>35188</v>
      </c>
      <c r="G738">
        <v>3</v>
      </c>
      <c r="H738">
        <v>211.22</v>
      </c>
      <c r="I738" s="1" t="s">
        <v>589</v>
      </c>
      <c r="J738" s="1" t="s">
        <v>591</v>
      </c>
      <c r="K738" s="1" t="s">
        <v>592</v>
      </c>
      <c r="L738" s="1" t="s">
        <v>593</v>
      </c>
      <c r="M738" s="1" t="s">
        <v>594</v>
      </c>
      <c r="N738" s="1" t="s">
        <v>292</v>
      </c>
      <c r="O738" s="1">
        <f>MONTH(orders[[#This Row],[OrderDate]])</f>
        <v>4</v>
      </c>
    </row>
    <row r="739" spans="1:15" x14ac:dyDescent="0.35">
      <c r="A739">
        <v>10985</v>
      </c>
      <c r="B739" s="1" t="s">
        <v>329</v>
      </c>
      <c r="C739">
        <v>2</v>
      </c>
      <c r="D739" s="2">
        <v>35184</v>
      </c>
      <c r="E739" s="2">
        <v>35212</v>
      </c>
      <c r="F739" s="2">
        <v>35187</v>
      </c>
      <c r="G739">
        <v>1</v>
      </c>
      <c r="H739">
        <v>91.51</v>
      </c>
      <c r="I739" s="1" t="s">
        <v>330</v>
      </c>
      <c r="J739" s="1" t="s">
        <v>332</v>
      </c>
      <c r="K739" s="1" t="s">
        <v>333</v>
      </c>
      <c r="L739" s="1" t="s">
        <v>334</v>
      </c>
      <c r="M739" s="1" t="s">
        <v>1195</v>
      </c>
      <c r="N739" s="1" t="s">
        <v>335</v>
      </c>
      <c r="O739" s="1">
        <f>MONTH(orders[[#This Row],[OrderDate]])</f>
        <v>4</v>
      </c>
    </row>
    <row r="740" spans="1:15" x14ac:dyDescent="0.35">
      <c r="A740">
        <v>10986</v>
      </c>
      <c r="B740" s="1" t="s">
        <v>464</v>
      </c>
      <c r="C740">
        <v>8</v>
      </c>
      <c r="D740" s="2">
        <v>35184</v>
      </c>
      <c r="E740" s="2">
        <v>35212</v>
      </c>
      <c r="F740" s="2">
        <v>35206</v>
      </c>
      <c r="G740">
        <v>2</v>
      </c>
      <c r="H740">
        <v>217.86</v>
      </c>
      <c r="I740" s="1" t="s">
        <v>465</v>
      </c>
      <c r="J740" s="1" t="s">
        <v>1204</v>
      </c>
      <c r="K740" s="1" t="s">
        <v>133</v>
      </c>
      <c r="L740" s="1" t="s">
        <v>1195</v>
      </c>
      <c r="M740" s="1" t="s">
        <v>134</v>
      </c>
      <c r="N740" s="1" t="s">
        <v>135</v>
      </c>
      <c r="O740" s="1">
        <f>MONTH(orders[[#This Row],[OrderDate]])</f>
        <v>4</v>
      </c>
    </row>
    <row r="741" spans="1:15" x14ac:dyDescent="0.35">
      <c r="A741">
        <v>10987</v>
      </c>
      <c r="B741" s="1" t="s">
        <v>185</v>
      </c>
      <c r="C741">
        <v>8</v>
      </c>
      <c r="D741" s="2">
        <v>35185</v>
      </c>
      <c r="E741" s="2">
        <v>35213</v>
      </c>
      <c r="F741" s="2">
        <v>35191</v>
      </c>
      <c r="G741">
        <v>1</v>
      </c>
      <c r="H741">
        <v>185.48</v>
      </c>
      <c r="I741" s="1" t="s">
        <v>186</v>
      </c>
      <c r="J741" s="1" t="s">
        <v>188</v>
      </c>
      <c r="K741" s="1" t="s">
        <v>61</v>
      </c>
      <c r="L741" s="1" t="s">
        <v>1195</v>
      </c>
      <c r="M741" s="1" t="s">
        <v>189</v>
      </c>
      <c r="N741" s="1" t="s">
        <v>63</v>
      </c>
      <c r="O741" s="1">
        <f>MONTH(orders[[#This Row],[OrderDate]])</f>
        <v>4</v>
      </c>
    </row>
    <row r="742" spans="1:15" x14ac:dyDescent="0.35">
      <c r="A742">
        <v>10988</v>
      </c>
      <c r="B742" s="1" t="s">
        <v>541</v>
      </c>
      <c r="C742">
        <v>3</v>
      </c>
      <c r="D742" s="2">
        <v>35185</v>
      </c>
      <c r="E742" s="2">
        <v>35213</v>
      </c>
      <c r="F742" s="2">
        <v>35195</v>
      </c>
      <c r="G742">
        <v>2</v>
      </c>
      <c r="H742">
        <v>61.14</v>
      </c>
      <c r="I742" s="1" t="s">
        <v>542</v>
      </c>
      <c r="J742" s="1" t="s">
        <v>545</v>
      </c>
      <c r="K742" s="1" t="s">
        <v>546</v>
      </c>
      <c r="L742" s="1" t="s">
        <v>547</v>
      </c>
      <c r="M742" s="1" t="s">
        <v>548</v>
      </c>
      <c r="N742" s="1" t="s">
        <v>292</v>
      </c>
      <c r="O742" s="1">
        <f>MONTH(orders[[#This Row],[OrderDate]])</f>
        <v>4</v>
      </c>
    </row>
    <row r="743" spans="1:15" x14ac:dyDescent="0.35">
      <c r="A743">
        <v>10989</v>
      </c>
      <c r="B743" s="1" t="s">
        <v>515</v>
      </c>
      <c r="C743">
        <v>2</v>
      </c>
      <c r="D743" s="2">
        <v>35185</v>
      </c>
      <c r="E743" s="2">
        <v>35213</v>
      </c>
      <c r="F743" s="2">
        <v>35187</v>
      </c>
      <c r="G743">
        <v>1</v>
      </c>
      <c r="H743">
        <v>34.76</v>
      </c>
      <c r="I743" s="1" t="s">
        <v>516</v>
      </c>
      <c r="J743" s="1" t="s">
        <v>518</v>
      </c>
      <c r="K743" s="1" t="s">
        <v>308</v>
      </c>
      <c r="L743" s="1" t="s">
        <v>309</v>
      </c>
      <c r="M743" s="1" t="s">
        <v>519</v>
      </c>
      <c r="N743" s="1" t="s">
        <v>161</v>
      </c>
      <c r="O743" s="1">
        <f>MONTH(orders[[#This Row],[OrderDate]])</f>
        <v>4</v>
      </c>
    </row>
    <row r="744" spans="1:15" x14ac:dyDescent="0.35">
      <c r="A744">
        <v>10990</v>
      </c>
      <c r="B744" s="1" t="s">
        <v>192</v>
      </c>
      <c r="C744">
        <v>2</v>
      </c>
      <c r="D744" s="2">
        <v>35186</v>
      </c>
      <c r="E744" s="2">
        <v>35228</v>
      </c>
      <c r="F744" s="2">
        <v>35192</v>
      </c>
      <c r="G744">
        <v>3</v>
      </c>
      <c r="H744">
        <v>117.61</v>
      </c>
      <c r="I744" s="1" t="s">
        <v>193</v>
      </c>
      <c r="J744" s="1" t="s">
        <v>196</v>
      </c>
      <c r="K744" s="1" t="s">
        <v>197</v>
      </c>
      <c r="L744" s="1" t="s">
        <v>1195</v>
      </c>
      <c r="M744" s="1" t="s">
        <v>198</v>
      </c>
      <c r="N744" s="1" t="s">
        <v>199</v>
      </c>
      <c r="O744" s="1">
        <f>MONTH(orders[[#This Row],[OrderDate]])</f>
        <v>5</v>
      </c>
    </row>
    <row r="745" spans="1:15" x14ac:dyDescent="0.35">
      <c r="A745">
        <v>10991</v>
      </c>
      <c r="B745" s="1" t="s">
        <v>528</v>
      </c>
      <c r="C745">
        <v>1</v>
      </c>
      <c r="D745" s="2">
        <v>35186</v>
      </c>
      <c r="E745" s="2">
        <v>35214</v>
      </c>
      <c r="F745" s="2">
        <v>35192</v>
      </c>
      <c r="G745">
        <v>1</v>
      </c>
      <c r="H745">
        <v>38.51</v>
      </c>
      <c r="I745" s="1" t="s">
        <v>529</v>
      </c>
      <c r="J745" s="1" t="s">
        <v>531</v>
      </c>
      <c r="K745" s="1" t="s">
        <v>532</v>
      </c>
      <c r="L745" s="1" t="s">
        <v>1195</v>
      </c>
      <c r="M745" s="1" t="s">
        <v>533</v>
      </c>
      <c r="N745" s="1" t="s">
        <v>38</v>
      </c>
      <c r="O745" s="1">
        <f>MONTH(orders[[#This Row],[OrderDate]])</f>
        <v>5</v>
      </c>
    </row>
    <row r="746" spans="1:15" x14ac:dyDescent="0.35">
      <c r="A746">
        <v>10992</v>
      </c>
      <c r="B746" s="1" t="s">
        <v>636</v>
      </c>
      <c r="C746">
        <v>1</v>
      </c>
      <c r="D746" s="2">
        <v>35186</v>
      </c>
      <c r="E746" s="2">
        <v>35214</v>
      </c>
      <c r="F746" s="2">
        <v>35188</v>
      </c>
      <c r="G746">
        <v>3</v>
      </c>
      <c r="H746">
        <v>4.2699999999999996</v>
      </c>
      <c r="I746" s="1" t="s">
        <v>637</v>
      </c>
      <c r="J746" s="1" t="s">
        <v>1205</v>
      </c>
      <c r="K746" s="1" t="s">
        <v>421</v>
      </c>
      <c r="L746" s="1" t="s">
        <v>290</v>
      </c>
      <c r="M746" s="1" t="s">
        <v>639</v>
      </c>
      <c r="N746" s="1" t="s">
        <v>292</v>
      </c>
      <c r="O746" s="1">
        <f>MONTH(orders[[#This Row],[OrderDate]])</f>
        <v>5</v>
      </c>
    </row>
    <row r="747" spans="1:15" x14ac:dyDescent="0.35">
      <c r="A747">
        <v>10993</v>
      </c>
      <c r="B747" s="1" t="s">
        <v>225</v>
      </c>
      <c r="C747">
        <v>7</v>
      </c>
      <c r="D747" s="2">
        <v>35186</v>
      </c>
      <c r="E747" s="2">
        <v>35214</v>
      </c>
      <c r="F747" s="2">
        <v>35195</v>
      </c>
      <c r="G747">
        <v>3</v>
      </c>
      <c r="H747">
        <v>8.81</v>
      </c>
      <c r="I747" s="1" t="s">
        <v>226</v>
      </c>
      <c r="J747" s="1" t="s">
        <v>228</v>
      </c>
      <c r="K747" s="1" t="s">
        <v>229</v>
      </c>
      <c r="L747" s="1" t="s">
        <v>1195</v>
      </c>
      <c r="M747" s="1" t="s">
        <v>230</v>
      </c>
      <c r="N747" s="1" t="s">
        <v>73</v>
      </c>
      <c r="O747" s="1">
        <f>MONTH(orders[[#This Row],[OrderDate]])</f>
        <v>5</v>
      </c>
    </row>
    <row r="748" spans="1:15" x14ac:dyDescent="0.35">
      <c r="A748">
        <v>10994</v>
      </c>
      <c r="B748" s="1" t="s">
        <v>678</v>
      </c>
      <c r="C748">
        <v>2</v>
      </c>
      <c r="D748" s="2">
        <v>35187</v>
      </c>
      <c r="E748" s="2">
        <v>35201</v>
      </c>
      <c r="F748" s="2">
        <v>35194</v>
      </c>
      <c r="G748">
        <v>3</v>
      </c>
      <c r="H748">
        <v>65.53</v>
      </c>
      <c r="I748" s="1" t="s">
        <v>679</v>
      </c>
      <c r="J748" s="1" t="s">
        <v>681</v>
      </c>
      <c r="K748" s="1" t="s">
        <v>682</v>
      </c>
      <c r="L748" s="1" t="s">
        <v>1195</v>
      </c>
      <c r="M748" s="1" t="s">
        <v>683</v>
      </c>
      <c r="N748" s="1" t="s">
        <v>609</v>
      </c>
      <c r="O748" s="1">
        <f>MONTH(orders[[#This Row],[OrderDate]])</f>
        <v>5</v>
      </c>
    </row>
    <row r="749" spans="1:15" x14ac:dyDescent="0.35">
      <c r="A749">
        <v>10995</v>
      </c>
      <c r="B749" s="1" t="s">
        <v>494</v>
      </c>
      <c r="C749">
        <v>1</v>
      </c>
      <c r="D749" s="2">
        <v>35187</v>
      </c>
      <c r="E749" s="2">
        <v>35215</v>
      </c>
      <c r="F749" s="2">
        <v>35191</v>
      </c>
      <c r="G749">
        <v>3</v>
      </c>
      <c r="H749">
        <v>46</v>
      </c>
      <c r="I749" s="1" t="s">
        <v>495</v>
      </c>
      <c r="J749" s="1" t="s">
        <v>497</v>
      </c>
      <c r="K749" s="1" t="s">
        <v>46</v>
      </c>
      <c r="L749" s="1" t="s">
        <v>1195</v>
      </c>
      <c r="M749" s="1" t="s">
        <v>498</v>
      </c>
      <c r="N749" s="1" t="s">
        <v>48</v>
      </c>
      <c r="O749" s="1">
        <f>MONTH(orders[[#This Row],[OrderDate]])</f>
        <v>5</v>
      </c>
    </row>
    <row r="750" spans="1:15" x14ac:dyDescent="0.35">
      <c r="A750">
        <v>10996</v>
      </c>
      <c r="B750" s="1" t="s">
        <v>528</v>
      </c>
      <c r="C750">
        <v>4</v>
      </c>
      <c r="D750" s="2">
        <v>35187</v>
      </c>
      <c r="E750" s="2">
        <v>35215</v>
      </c>
      <c r="F750" s="2">
        <v>35195</v>
      </c>
      <c r="G750">
        <v>2</v>
      </c>
      <c r="H750">
        <v>1.1200000000000001</v>
      </c>
      <c r="I750" s="1" t="s">
        <v>529</v>
      </c>
      <c r="J750" s="1" t="s">
        <v>531</v>
      </c>
      <c r="K750" s="1" t="s">
        <v>532</v>
      </c>
      <c r="L750" s="1" t="s">
        <v>1195</v>
      </c>
      <c r="M750" s="1" t="s">
        <v>533</v>
      </c>
      <c r="N750" s="1" t="s">
        <v>38</v>
      </c>
      <c r="O750" s="1">
        <f>MONTH(orders[[#This Row],[OrderDate]])</f>
        <v>5</v>
      </c>
    </row>
    <row r="751" spans="1:15" x14ac:dyDescent="0.35">
      <c r="A751">
        <v>10997</v>
      </c>
      <c r="B751" s="1" t="s">
        <v>399</v>
      </c>
      <c r="C751">
        <v>8</v>
      </c>
      <c r="D751" s="2">
        <v>35188</v>
      </c>
      <c r="E751" s="2">
        <v>35230</v>
      </c>
      <c r="F751" s="2">
        <v>35198</v>
      </c>
      <c r="G751">
        <v>2</v>
      </c>
      <c r="H751">
        <v>73.91</v>
      </c>
      <c r="I751" s="1" t="s">
        <v>400</v>
      </c>
      <c r="J751" s="1" t="s">
        <v>402</v>
      </c>
      <c r="K751" s="1" t="s">
        <v>403</v>
      </c>
      <c r="L751" s="1" t="s">
        <v>404</v>
      </c>
      <c r="M751" s="1" t="s">
        <v>405</v>
      </c>
      <c r="N751" s="1" t="s">
        <v>301</v>
      </c>
      <c r="O751" s="1">
        <f>MONTH(orders[[#This Row],[OrderDate]])</f>
        <v>5</v>
      </c>
    </row>
    <row r="752" spans="1:15" x14ac:dyDescent="0.35">
      <c r="A752">
        <v>10998</v>
      </c>
      <c r="B752" s="1" t="s">
        <v>740</v>
      </c>
      <c r="C752">
        <v>8</v>
      </c>
      <c r="D752" s="2">
        <v>35188</v>
      </c>
      <c r="E752" s="2">
        <v>35202</v>
      </c>
      <c r="F752" s="2">
        <v>35202</v>
      </c>
      <c r="G752">
        <v>2</v>
      </c>
      <c r="H752">
        <v>20.309999999999999</v>
      </c>
      <c r="I752" s="1" t="s">
        <v>844</v>
      </c>
      <c r="J752" s="1" t="s">
        <v>743</v>
      </c>
      <c r="K752" s="1" t="s">
        <v>744</v>
      </c>
      <c r="L752" s="1" t="s">
        <v>1195</v>
      </c>
      <c r="M752" s="1" t="s">
        <v>745</v>
      </c>
      <c r="N752" s="1" t="s">
        <v>746</v>
      </c>
      <c r="O752" s="1">
        <f>MONTH(orders[[#This Row],[OrderDate]])</f>
        <v>5</v>
      </c>
    </row>
    <row r="753" spans="1:15" x14ac:dyDescent="0.35">
      <c r="A753">
        <v>10999</v>
      </c>
      <c r="B753" s="1" t="s">
        <v>478</v>
      </c>
      <c r="C753">
        <v>6</v>
      </c>
      <c r="D753" s="2">
        <v>35188</v>
      </c>
      <c r="E753" s="2">
        <v>35216</v>
      </c>
      <c r="F753" s="2">
        <v>35195</v>
      </c>
      <c r="G753">
        <v>2</v>
      </c>
      <c r="H753">
        <v>96.35</v>
      </c>
      <c r="I753" s="1" t="s">
        <v>479</v>
      </c>
      <c r="J753" s="1" t="s">
        <v>481</v>
      </c>
      <c r="K753" s="1" t="s">
        <v>482</v>
      </c>
      <c r="L753" s="1" t="s">
        <v>1195</v>
      </c>
      <c r="M753" s="1" t="s">
        <v>483</v>
      </c>
      <c r="N753" s="1" t="s">
        <v>38</v>
      </c>
      <c r="O753" s="1">
        <f>MONTH(orders[[#This Row],[OrderDate]])</f>
        <v>5</v>
      </c>
    </row>
    <row r="754" spans="1:15" x14ac:dyDescent="0.35">
      <c r="A754">
        <v>11000</v>
      </c>
      <c r="B754" s="1" t="s">
        <v>541</v>
      </c>
      <c r="C754">
        <v>2</v>
      </c>
      <c r="D754" s="2">
        <v>35191</v>
      </c>
      <c r="E754" s="2">
        <v>35219</v>
      </c>
      <c r="F754" s="2">
        <v>35199</v>
      </c>
      <c r="G754">
        <v>3</v>
      </c>
      <c r="H754">
        <v>55.12</v>
      </c>
      <c r="I754" s="1" t="s">
        <v>542</v>
      </c>
      <c r="J754" s="1" t="s">
        <v>545</v>
      </c>
      <c r="K754" s="1" t="s">
        <v>546</v>
      </c>
      <c r="L754" s="1" t="s">
        <v>547</v>
      </c>
      <c r="M754" s="1" t="s">
        <v>548</v>
      </c>
      <c r="N754" s="1" t="s">
        <v>292</v>
      </c>
      <c r="O754" s="1">
        <f>MONTH(orders[[#This Row],[OrderDate]])</f>
        <v>5</v>
      </c>
    </row>
    <row r="755" spans="1:15" x14ac:dyDescent="0.35">
      <c r="A755">
        <v>11001</v>
      </c>
      <c r="B755" s="1" t="s">
        <v>225</v>
      </c>
      <c r="C755">
        <v>2</v>
      </c>
      <c r="D755" s="2">
        <v>35191</v>
      </c>
      <c r="E755" s="2">
        <v>35219</v>
      </c>
      <c r="F755" s="2">
        <v>35199</v>
      </c>
      <c r="G755">
        <v>2</v>
      </c>
      <c r="H755">
        <v>197.3</v>
      </c>
      <c r="I755" s="1" t="s">
        <v>226</v>
      </c>
      <c r="J755" s="1" t="s">
        <v>228</v>
      </c>
      <c r="K755" s="1" t="s">
        <v>229</v>
      </c>
      <c r="L755" s="1" t="s">
        <v>1195</v>
      </c>
      <c r="M755" s="1" t="s">
        <v>230</v>
      </c>
      <c r="N755" s="1" t="s">
        <v>73</v>
      </c>
      <c r="O755" s="1">
        <f>MONTH(orders[[#This Row],[OrderDate]])</f>
        <v>5</v>
      </c>
    </row>
    <row r="756" spans="1:15" x14ac:dyDescent="0.35">
      <c r="A756">
        <v>11002</v>
      </c>
      <c r="B756" s="1" t="s">
        <v>588</v>
      </c>
      <c r="C756">
        <v>4</v>
      </c>
      <c r="D756" s="2">
        <v>35191</v>
      </c>
      <c r="E756" s="2">
        <v>35219</v>
      </c>
      <c r="F756" s="2">
        <v>35201</v>
      </c>
      <c r="G756">
        <v>1</v>
      </c>
      <c r="H756">
        <v>141.16</v>
      </c>
      <c r="I756" s="1" t="s">
        <v>589</v>
      </c>
      <c r="J756" s="1" t="s">
        <v>591</v>
      </c>
      <c r="K756" s="1" t="s">
        <v>592</v>
      </c>
      <c r="L756" s="1" t="s">
        <v>593</v>
      </c>
      <c r="M756" s="1" t="s">
        <v>594</v>
      </c>
      <c r="N756" s="1" t="s">
        <v>292</v>
      </c>
      <c r="O756" s="1">
        <f>MONTH(orders[[#This Row],[OrderDate]])</f>
        <v>5</v>
      </c>
    </row>
    <row r="757" spans="1:15" x14ac:dyDescent="0.35">
      <c r="A757">
        <v>11003</v>
      </c>
      <c r="B757" s="1" t="s">
        <v>641</v>
      </c>
      <c r="C757">
        <v>3</v>
      </c>
      <c r="D757" s="2">
        <v>35191</v>
      </c>
      <c r="E757" s="2">
        <v>35219</v>
      </c>
      <c r="F757" s="2">
        <v>35193</v>
      </c>
      <c r="G757">
        <v>3</v>
      </c>
      <c r="H757">
        <v>14.91</v>
      </c>
      <c r="I757" s="1" t="s">
        <v>642</v>
      </c>
      <c r="J757" s="1" t="s">
        <v>644</v>
      </c>
      <c r="K757" s="1" t="s">
        <v>645</v>
      </c>
      <c r="L757" s="1" t="s">
        <v>646</v>
      </c>
      <c r="M757" s="1" t="s">
        <v>647</v>
      </c>
      <c r="N757" s="1" t="s">
        <v>292</v>
      </c>
      <c r="O757" s="1">
        <f>MONTH(orders[[#This Row],[OrderDate]])</f>
        <v>5</v>
      </c>
    </row>
    <row r="758" spans="1:15" x14ac:dyDescent="0.35">
      <c r="A758">
        <v>11004</v>
      </c>
      <c r="B758" s="1" t="s">
        <v>433</v>
      </c>
      <c r="C758">
        <v>3</v>
      </c>
      <c r="D758" s="2">
        <v>35192</v>
      </c>
      <c r="E758" s="2">
        <v>35220</v>
      </c>
      <c r="F758" s="2">
        <v>35205</v>
      </c>
      <c r="G758">
        <v>1</v>
      </c>
      <c r="H758">
        <v>44.84</v>
      </c>
      <c r="I758" s="1" t="s">
        <v>434</v>
      </c>
      <c r="J758" s="1" t="s">
        <v>436</v>
      </c>
      <c r="K758" s="1" t="s">
        <v>437</v>
      </c>
      <c r="L758" s="1" t="s">
        <v>1195</v>
      </c>
      <c r="M758" s="1" t="s">
        <v>438</v>
      </c>
      <c r="N758" s="1" t="s">
        <v>439</v>
      </c>
      <c r="O758" s="1">
        <f>MONTH(orders[[#This Row],[OrderDate]])</f>
        <v>5</v>
      </c>
    </row>
    <row r="759" spans="1:15" x14ac:dyDescent="0.35">
      <c r="A759">
        <v>11005</v>
      </c>
      <c r="B759" s="1" t="s">
        <v>732</v>
      </c>
      <c r="C759">
        <v>2</v>
      </c>
      <c r="D759" s="2">
        <v>35192</v>
      </c>
      <c r="E759" s="2">
        <v>35220</v>
      </c>
      <c r="F759" s="2">
        <v>35195</v>
      </c>
      <c r="G759">
        <v>1</v>
      </c>
      <c r="H759">
        <v>0.75</v>
      </c>
      <c r="I759" s="1" t="s">
        <v>733</v>
      </c>
      <c r="J759" s="1" t="s">
        <v>736</v>
      </c>
      <c r="K759" s="1" t="s">
        <v>737</v>
      </c>
      <c r="L759" s="1" t="s">
        <v>1195</v>
      </c>
      <c r="M759" s="1" t="s">
        <v>738</v>
      </c>
      <c r="N759" s="1" t="s">
        <v>716</v>
      </c>
      <c r="O759" s="1">
        <f>MONTH(orders[[#This Row],[OrderDate]])</f>
        <v>5</v>
      </c>
    </row>
    <row r="760" spans="1:15" x14ac:dyDescent="0.35">
      <c r="A760">
        <v>11006</v>
      </c>
      <c r="B760" s="1" t="s">
        <v>285</v>
      </c>
      <c r="C760">
        <v>3</v>
      </c>
      <c r="D760" s="2">
        <v>35192</v>
      </c>
      <c r="E760" s="2">
        <v>35220</v>
      </c>
      <c r="F760" s="2">
        <v>35200</v>
      </c>
      <c r="G760">
        <v>2</v>
      </c>
      <c r="H760">
        <v>25.19</v>
      </c>
      <c r="I760" s="1" t="s">
        <v>286</v>
      </c>
      <c r="J760" s="1" t="s">
        <v>288</v>
      </c>
      <c r="K760" s="1" t="s">
        <v>289</v>
      </c>
      <c r="L760" s="1" t="s">
        <v>290</v>
      </c>
      <c r="M760" s="1" t="s">
        <v>291</v>
      </c>
      <c r="N760" s="1" t="s">
        <v>292</v>
      </c>
      <c r="O760" s="1">
        <f>MONTH(orders[[#This Row],[OrderDate]])</f>
        <v>5</v>
      </c>
    </row>
    <row r="761" spans="1:15" x14ac:dyDescent="0.35">
      <c r="A761">
        <v>11007</v>
      </c>
      <c r="B761" s="1" t="s">
        <v>509</v>
      </c>
      <c r="C761">
        <v>8</v>
      </c>
      <c r="D761" s="2">
        <v>35193</v>
      </c>
      <c r="E761" s="2">
        <v>35221</v>
      </c>
      <c r="F761" s="2">
        <v>35198</v>
      </c>
      <c r="G761">
        <v>2</v>
      </c>
      <c r="H761">
        <v>202.24</v>
      </c>
      <c r="I761" s="1" t="s">
        <v>510</v>
      </c>
      <c r="J761" s="1" t="s">
        <v>512</v>
      </c>
      <c r="K761" s="1" t="s">
        <v>258</v>
      </c>
      <c r="L761" s="1" t="s">
        <v>1195</v>
      </c>
      <c r="M761" s="1" t="s">
        <v>513</v>
      </c>
      <c r="N761" s="1" t="s">
        <v>260</v>
      </c>
      <c r="O761" s="1">
        <f>MONTH(orders[[#This Row],[OrderDate]])</f>
        <v>5</v>
      </c>
    </row>
    <row r="762" spans="1:15" x14ac:dyDescent="0.35">
      <c r="A762">
        <v>11008</v>
      </c>
      <c r="B762" s="1" t="s">
        <v>192</v>
      </c>
      <c r="C762">
        <v>7</v>
      </c>
      <c r="D762" s="2">
        <v>35193</v>
      </c>
      <c r="E762" s="2">
        <v>35221</v>
      </c>
      <c r="F762" s="2"/>
      <c r="G762">
        <v>3</v>
      </c>
      <c r="H762">
        <v>79.459999999999994</v>
      </c>
      <c r="I762" s="1" t="s">
        <v>193</v>
      </c>
      <c r="J762" s="1" t="s">
        <v>196</v>
      </c>
      <c r="K762" s="1" t="s">
        <v>197</v>
      </c>
      <c r="L762" s="1" t="s">
        <v>1195</v>
      </c>
      <c r="M762" s="1" t="s">
        <v>198</v>
      </c>
      <c r="N762" s="1" t="s">
        <v>199</v>
      </c>
      <c r="O762" s="1">
        <f>MONTH(orders[[#This Row],[OrderDate]])</f>
        <v>5</v>
      </c>
    </row>
    <row r="763" spans="1:15" x14ac:dyDescent="0.35">
      <c r="A763">
        <v>11009</v>
      </c>
      <c r="B763" s="1" t="s">
        <v>271</v>
      </c>
      <c r="C763">
        <v>2</v>
      </c>
      <c r="D763" s="2">
        <v>35193</v>
      </c>
      <c r="E763" s="2">
        <v>35221</v>
      </c>
      <c r="F763" s="2">
        <v>35195</v>
      </c>
      <c r="G763">
        <v>1</v>
      </c>
      <c r="H763">
        <v>59.11</v>
      </c>
      <c r="I763" s="1" t="s">
        <v>272</v>
      </c>
      <c r="J763" s="1" t="s">
        <v>274</v>
      </c>
      <c r="K763" s="1" t="s">
        <v>275</v>
      </c>
      <c r="L763" s="1" t="s">
        <v>1195</v>
      </c>
      <c r="M763" s="1" t="s">
        <v>276</v>
      </c>
      <c r="N763" s="1" t="s">
        <v>100</v>
      </c>
      <c r="O763" s="1">
        <f>MONTH(orders[[#This Row],[OrderDate]])</f>
        <v>5</v>
      </c>
    </row>
    <row r="764" spans="1:15" x14ac:dyDescent="0.35">
      <c r="A764">
        <v>11010</v>
      </c>
      <c r="B764" s="1" t="s">
        <v>551</v>
      </c>
      <c r="C764">
        <v>2</v>
      </c>
      <c r="D764" s="2">
        <v>35194</v>
      </c>
      <c r="E764" s="2">
        <v>35222</v>
      </c>
      <c r="F764" s="2">
        <v>35206</v>
      </c>
      <c r="G764">
        <v>2</v>
      </c>
      <c r="H764">
        <v>28.71</v>
      </c>
      <c r="I764" s="1" t="s">
        <v>552</v>
      </c>
      <c r="J764" s="1" t="s">
        <v>554</v>
      </c>
      <c r="K764" s="1" t="s">
        <v>555</v>
      </c>
      <c r="L764" s="1" t="s">
        <v>1195</v>
      </c>
      <c r="M764" s="1" t="s">
        <v>556</v>
      </c>
      <c r="N764" s="1" t="s">
        <v>252</v>
      </c>
      <c r="O764" s="1">
        <f>MONTH(orders[[#This Row],[OrderDate]])</f>
        <v>5</v>
      </c>
    </row>
    <row r="765" spans="1:15" x14ac:dyDescent="0.35">
      <c r="A765">
        <v>11011</v>
      </c>
      <c r="B765" s="1" t="s">
        <v>30</v>
      </c>
      <c r="C765">
        <v>3</v>
      </c>
      <c r="D765" s="2">
        <v>35194</v>
      </c>
      <c r="E765" s="2">
        <v>35222</v>
      </c>
      <c r="F765" s="2">
        <v>35198</v>
      </c>
      <c r="G765">
        <v>1</v>
      </c>
      <c r="H765">
        <v>1.21</v>
      </c>
      <c r="I765" s="1" t="s">
        <v>846</v>
      </c>
      <c r="J765" s="1" t="s">
        <v>34</v>
      </c>
      <c r="K765" s="1" t="s">
        <v>35</v>
      </c>
      <c r="L765" s="1" t="s">
        <v>1195</v>
      </c>
      <c r="M765" s="1" t="s">
        <v>37</v>
      </c>
      <c r="N765" s="1" t="s">
        <v>38</v>
      </c>
      <c r="O765" s="1">
        <f>MONTH(orders[[#This Row],[OrderDate]])</f>
        <v>5</v>
      </c>
    </row>
    <row r="766" spans="1:15" x14ac:dyDescent="0.35">
      <c r="A766">
        <v>11012</v>
      </c>
      <c r="B766" s="1" t="s">
        <v>232</v>
      </c>
      <c r="C766">
        <v>1</v>
      </c>
      <c r="D766" s="2">
        <v>35194</v>
      </c>
      <c r="E766" s="2">
        <v>35208</v>
      </c>
      <c r="F766" s="2">
        <v>35202</v>
      </c>
      <c r="G766">
        <v>3</v>
      </c>
      <c r="H766">
        <v>242.95</v>
      </c>
      <c r="I766" s="1" t="s">
        <v>233</v>
      </c>
      <c r="J766" s="1" t="s">
        <v>235</v>
      </c>
      <c r="K766" s="1" t="s">
        <v>236</v>
      </c>
      <c r="L766" s="1" t="s">
        <v>1195</v>
      </c>
      <c r="M766" s="1" t="s">
        <v>237</v>
      </c>
      <c r="N766" s="1" t="s">
        <v>38</v>
      </c>
      <c r="O766" s="1">
        <f>MONTH(orders[[#This Row],[OrderDate]])</f>
        <v>5</v>
      </c>
    </row>
    <row r="767" spans="1:15" x14ac:dyDescent="0.35">
      <c r="A767">
        <v>11013</v>
      </c>
      <c r="B767" s="1" t="s">
        <v>572</v>
      </c>
      <c r="C767">
        <v>2</v>
      </c>
      <c r="D767" s="2">
        <v>35194</v>
      </c>
      <c r="E767" s="2">
        <v>35222</v>
      </c>
      <c r="F767" s="2">
        <v>35195</v>
      </c>
      <c r="G767">
        <v>1</v>
      </c>
      <c r="H767">
        <v>32.99</v>
      </c>
      <c r="I767" s="1" t="s">
        <v>573</v>
      </c>
      <c r="J767" s="1" t="s">
        <v>575</v>
      </c>
      <c r="K767" s="1" t="s">
        <v>98</v>
      </c>
      <c r="L767" s="1" t="s">
        <v>1195</v>
      </c>
      <c r="M767" s="1" t="s">
        <v>576</v>
      </c>
      <c r="N767" s="1" t="s">
        <v>100</v>
      </c>
      <c r="O767" s="1">
        <f>MONTH(orders[[#This Row],[OrderDate]])</f>
        <v>5</v>
      </c>
    </row>
    <row r="768" spans="1:15" x14ac:dyDescent="0.35">
      <c r="A768">
        <v>11014</v>
      </c>
      <c r="B768" s="1" t="s">
        <v>408</v>
      </c>
      <c r="C768">
        <v>2</v>
      </c>
      <c r="D768" s="2">
        <v>35195</v>
      </c>
      <c r="E768" s="2">
        <v>35223</v>
      </c>
      <c r="F768" s="2">
        <v>35200</v>
      </c>
      <c r="G768">
        <v>3</v>
      </c>
      <c r="H768">
        <v>23.6</v>
      </c>
      <c r="I768" s="1" t="s">
        <v>409</v>
      </c>
      <c r="J768" s="1" t="s">
        <v>411</v>
      </c>
      <c r="K768" s="1" t="s">
        <v>412</v>
      </c>
      <c r="L768" s="1" t="s">
        <v>413</v>
      </c>
      <c r="M768" s="1" t="s">
        <v>414</v>
      </c>
      <c r="N768" s="1" t="s">
        <v>301</v>
      </c>
      <c r="O768" s="1">
        <f>MONTH(orders[[#This Row],[OrderDate]])</f>
        <v>5</v>
      </c>
    </row>
    <row r="769" spans="1:15" x14ac:dyDescent="0.35">
      <c r="A769">
        <v>11015</v>
      </c>
      <c r="B769" s="1" t="s">
        <v>579</v>
      </c>
      <c r="C769">
        <v>2</v>
      </c>
      <c r="D769" s="2">
        <v>35195</v>
      </c>
      <c r="E769" s="2">
        <v>35209</v>
      </c>
      <c r="F769" s="2">
        <v>35205</v>
      </c>
      <c r="G769">
        <v>2</v>
      </c>
      <c r="H769">
        <v>4.62</v>
      </c>
      <c r="I769" s="1" t="s">
        <v>580</v>
      </c>
      <c r="J769" s="1" t="s">
        <v>582</v>
      </c>
      <c r="K769" s="1" t="s">
        <v>583</v>
      </c>
      <c r="L769" s="1" t="s">
        <v>1195</v>
      </c>
      <c r="M769" s="1" t="s">
        <v>584</v>
      </c>
      <c r="N769" s="1" t="s">
        <v>585</v>
      </c>
      <c r="O769" s="1">
        <f>MONTH(orders[[#This Row],[OrderDate]])</f>
        <v>5</v>
      </c>
    </row>
    <row r="770" spans="1:15" x14ac:dyDescent="0.35">
      <c r="A770">
        <v>11016</v>
      </c>
      <c r="B770" s="1" t="s">
        <v>57</v>
      </c>
      <c r="C770">
        <v>9</v>
      </c>
      <c r="D770" s="2">
        <v>35195</v>
      </c>
      <c r="E770" s="2">
        <v>35223</v>
      </c>
      <c r="F770" s="2">
        <v>35198</v>
      </c>
      <c r="G770">
        <v>2</v>
      </c>
      <c r="H770">
        <v>33.799999999999997</v>
      </c>
      <c r="I770" s="1" t="s">
        <v>58</v>
      </c>
      <c r="J770" s="1" t="s">
        <v>1210</v>
      </c>
      <c r="K770" s="1" t="s">
        <v>839</v>
      </c>
      <c r="L770" s="1" t="s">
        <v>840</v>
      </c>
      <c r="M770" s="1" t="s">
        <v>841</v>
      </c>
      <c r="N770" s="1" t="s">
        <v>63</v>
      </c>
      <c r="O770" s="1">
        <f>MONTH(orders[[#This Row],[OrderDate]])</f>
        <v>5</v>
      </c>
    </row>
    <row r="771" spans="1:15" x14ac:dyDescent="0.35">
      <c r="A771">
        <v>11017</v>
      </c>
      <c r="B771" s="1" t="s">
        <v>192</v>
      </c>
      <c r="C771">
        <v>9</v>
      </c>
      <c r="D771" s="2">
        <v>35198</v>
      </c>
      <c r="E771" s="2">
        <v>35226</v>
      </c>
      <c r="F771" s="2">
        <v>35205</v>
      </c>
      <c r="G771">
        <v>2</v>
      </c>
      <c r="H771">
        <v>754.26</v>
      </c>
      <c r="I771" s="1" t="s">
        <v>193</v>
      </c>
      <c r="J771" s="1" t="s">
        <v>196</v>
      </c>
      <c r="K771" s="1" t="s">
        <v>197</v>
      </c>
      <c r="L771" s="1" t="s">
        <v>1195</v>
      </c>
      <c r="M771" s="1" t="s">
        <v>198</v>
      </c>
      <c r="N771" s="1" t="s">
        <v>199</v>
      </c>
      <c r="O771" s="1">
        <f>MONTH(orders[[#This Row],[OrderDate]])</f>
        <v>5</v>
      </c>
    </row>
    <row r="772" spans="1:15" x14ac:dyDescent="0.35">
      <c r="A772">
        <v>11018</v>
      </c>
      <c r="B772" s="1" t="s">
        <v>417</v>
      </c>
      <c r="C772">
        <v>4</v>
      </c>
      <c r="D772" s="2">
        <v>35198</v>
      </c>
      <c r="E772" s="2">
        <v>35226</v>
      </c>
      <c r="F772" s="2">
        <v>35201</v>
      </c>
      <c r="G772">
        <v>2</v>
      </c>
      <c r="H772">
        <v>11.65</v>
      </c>
      <c r="I772" s="1" t="s">
        <v>418</v>
      </c>
      <c r="J772" s="1" t="s">
        <v>420</v>
      </c>
      <c r="K772" s="1" t="s">
        <v>421</v>
      </c>
      <c r="L772" s="1" t="s">
        <v>290</v>
      </c>
      <c r="M772" s="1" t="s">
        <v>422</v>
      </c>
      <c r="N772" s="1" t="s">
        <v>292</v>
      </c>
      <c r="O772" s="1">
        <f>MONTH(orders[[#This Row],[OrderDate]])</f>
        <v>5</v>
      </c>
    </row>
    <row r="773" spans="1:15" x14ac:dyDescent="0.35">
      <c r="A773">
        <v>11019</v>
      </c>
      <c r="B773" s="1" t="s">
        <v>535</v>
      </c>
      <c r="C773">
        <v>6</v>
      </c>
      <c r="D773" s="2">
        <v>35198</v>
      </c>
      <c r="E773" s="2">
        <v>35226</v>
      </c>
      <c r="F773" s="2"/>
      <c r="G773">
        <v>3</v>
      </c>
      <c r="H773">
        <v>3.17</v>
      </c>
      <c r="I773" s="1" t="s">
        <v>536</v>
      </c>
      <c r="J773" s="1" t="s">
        <v>538</v>
      </c>
      <c r="K773" s="1" t="s">
        <v>133</v>
      </c>
      <c r="L773" s="1" t="s">
        <v>1195</v>
      </c>
      <c r="M773" s="1" t="s">
        <v>134</v>
      </c>
      <c r="N773" s="1" t="s">
        <v>135</v>
      </c>
      <c r="O773" s="1">
        <f>MONTH(orders[[#This Row],[OrderDate]])</f>
        <v>5</v>
      </c>
    </row>
    <row r="774" spans="1:15" x14ac:dyDescent="0.35">
      <c r="A774">
        <v>11020</v>
      </c>
      <c r="B774" s="1" t="s">
        <v>478</v>
      </c>
      <c r="C774">
        <v>2</v>
      </c>
      <c r="D774" s="2">
        <v>35199</v>
      </c>
      <c r="E774" s="2">
        <v>35227</v>
      </c>
      <c r="F774" s="2">
        <v>35201</v>
      </c>
      <c r="G774">
        <v>2</v>
      </c>
      <c r="H774">
        <v>43.3</v>
      </c>
      <c r="I774" s="1" t="s">
        <v>479</v>
      </c>
      <c r="J774" s="1" t="s">
        <v>481</v>
      </c>
      <c r="K774" s="1" t="s">
        <v>482</v>
      </c>
      <c r="L774" s="1" t="s">
        <v>1195</v>
      </c>
      <c r="M774" s="1" t="s">
        <v>483</v>
      </c>
      <c r="N774" s="1" t="s">
        <v>38</v>
      </c>
      <c r="O774" s="1">
        <f>MONTH(orders[[#This Row],[OrderDate]])</f>
        <v>5</v>
      </c>
    </row>
    <row r="775" spans="1:15" x14ac:dyDescent="0.35">
      <c r="A775">
        <v>11021</v>
      </c>
      <c r="B775" s="1" t="s">
        <v>528</v>
      </c>
      <c r="C775">
        <v>3</v>
      </c>
      <c r="D775" s="2">
        <v>35199</v>
      </c>
      <c r="E775" s="2">
        <v>35227</v>
      </c>
      <c r="F775" s="2">
        <v>35206</v>
      </c>
      <c r="G775">
        <v>1</v>
      </c>
      <c r="H775">
        <v>297.18</v>
      </c>
      <c r="I775" s="1" t="s">
        <v>529</v>
      </c>
      <c r="J775" s="1" t="s">
        <v>531</v>
      </c>
      <c r="K775" s="1" t="s">
        <v>532</v>
      </c>
      <c r="L775" s="1" t="s">
        <v>1195</v>
      </c>
      <c r="M775" s="1" t="s">
        <v>533</v>
      </c>
      <c r="N775" s="1" t="s">
        <v>38</v>
      </c>
      <c r="O775" s="1">
        <f>MONTH(orders[[#This Row],[OrderDate]])</f>
        <v>5</v>
      </c>
    </row>
    <row r="776" spans="1:15" x14ac:dyDescent="0.35">
      <c r="A776">
        <v>11022</v>
      </c>
      <c r="B776" s="1" t="s">
        <v>304</v>
      </c>
      <c r="C776">
        <v>9</v>
      </c>
      <c r="D776" s="2">
        <v>35199</v>
      </c>
      <c r="E776" s="2">
        <v>35227</v>
      </c>
      <c r="F776" s="2">
        <v>35219</v>
      </c>
      <c r="G776">
        <v>2</v>
      </c>
      <c r="H776">
        <v>6.27</v>
      </c>
      <c r="I776" s="1" t="s">
        <v>305</v>
      </c>
      <c r="J776" s="1" t="s">
        <v>307</v>
      </c>
      <c r="K776" s="1" t="s">
        <v>308</v>
      </c>
      <c r="L776" s="1" t="s">
        <v>309</v>
      </c>
      <c r="M776" s="1" t="s">
        <v>310</v>
      </c>
      <c r="N776" s="1" t="s">
        <v>161</v>
      </c>
      <c r="O776" s="1">
        <f>MONTH(orders[[#This Row],[OrderDate]])</f>
        <v>5</v>
      </c>
    </row>
    <row r="777" spans="1:15" x14ac:dyDescent="0.35">
      <c r="A777">
        <v>11023</v>
      </c>
      <c r="B777" s="1" t="s">
        <v>122</v>
      </c>
      <c r="C777">
        <v>1</v>
      </c>
      <c r="D777" s="2">
        <v>35199</v>
      </c>
      <c r="E777" s="2">
        <v>35213</v>
      </c>
      <c r="F777" s="2">
        <v>35209</v>
      </c>
      <c r="G777">
        <v>2</v>
      </c>
      <c r="H777">
        <v>123.83</v>
      </c>
      <c r="I777" s="1" t="s">
        <v>123</v>
      </c>
      <c r="J777" s="1" t="s">
        <v>125</v>
      </c>
      <c r="K777" s="1" t="s">
        <v>61</v>
      </c>
      <c r="L777" s="1" t="s">
        <v>1195</v>
      </c>
      <c r="M777" s="1" t="s">
        <v>126</v>
      </c>
      <c r="N777" s="1" t="s">
        <v>63</v>
      </c>
      <c r="O777" s="1">
        <f>MONTH(orders[[#This Row],[OrderDate]])</f>
        <v>5</v>
      </c>
    </row>
    <row r="778" spans="1:15" x14ac:dyDescent="0.35">
      <c r="A778">
        <v>11024</v>
      </c>
      <c r="B778" s="1" t="s">
        <v>185</v>
      </c>
      <c r="C778">
        <v>4</v>
      </c>
      <c r="D778" s="2">
        <v>35200</v>
      </c>
      <c r="E778" s="2">
        <v>35228</v>
      </c>
      <c r="F778" s="2">
        <v>35205</v>
      </c>
      <c r="G778">
        <v>1</v>
      </c>
      <c r="H778">
        <v>74.36</v>
      </c>
      <c r="I778" s="1" t="s">
        <v>186</v>
      </c>
      <c r="J778" s="1" t="s">
        <v>188</v>
      </c>
      <c r="K778" s="1" t="s">
        <v>61</v>
      </c>
      <c r="L778" s="1" t="s">
        <v>1195</v>
      </c>
      <c r="M778" s="1" t="s">
        <v>189</v>
      </c>
      <c r="N778" s="1" t="s">
        <v>63</v>
      </c>
      <c r="O778" s="1">
        <f>MONTH(orders[[#This Row],[OrderDate]])</f>
        <v>5</v>
      </c>
    </row>
    <row r="779" spans="1:15" x14ac:dyDescent="0.35">
      <c r="A779">
        <v>11025</v>
      </c>
      <c r="B779" s="1" t="s">
        <v>710</v>
      </c>
      <c r="C779">
        <v>6</v>
      </c>
      <c r="D779" s="2">
        <v>35200</v>
      </c>
      <c r="E779" s="2">
        <v>35228</v>
      </c>
      <c r="F779" s="2">
        <v>35209</v>
      </c>
      <c r="G779">
        <v>3</v>
      </c>
      <c r="H779">
        <v>29.17</v>
      </c>
      <c r="I779" s="1" t="s">
        <v>711</v>
      </c>
      <c r="J779" s="1" t="s">
        <v>713</v>
      </c>
      <c r="K779" s="1" t="s">
        <v>714</v>
      </c>
      <c r="L779" s="1" t="s">
        <v>1195</v>
      </c>
      <c r="M779" s="1" t="s">
        <v>715</v>
      </c>
      <c r="N779" s="1" t="s">
        <v>716</v>
      </c>
      <c r="O779" s="1">
        <f>MONTH(orders[[#This Row],[OrderDate]])</f>
        <v>5</v>
      </c>
    </row>
    <row r="780" spans="1:15" x14ac:dyDescent="0.35">
      <c r="A780">
        <v>11026</v>
      </c>
      <c r="B780" s="1" t="s">
        <v>246</v>
      </c>
      <c r="C780">
        <v>4</v>
      </c>
      <c r="D780" s="2">
        <v>35200</v>
      </c>
      <c r="E780" s="2">
        <v>35228</v>
      </c>
      <c r="F780" s="2">
        <v>35213</v>
      </c>
      <c r="G780">
        <v>1</v>
      </c>
      <c r="H780">
        <v>47.09</v>
      </c>
      <c r="I780" s="1" t="s">
        <v>247</v>
      </c>
      <c r="J780" s="1" t="s">
        <v>249</v>
      </c>
      <c r="K780" s="1" t="s">
        <v>250</v>
      </c>
      <c r="L780" s="1" t="s">
        <v>1195</v>
      </c>
      <c r="M780" s="1" t="s">
        <v>251</v>
      </c>
      <c r="N780" s="1" t="s">
        <v>252</v>
      </c>
      <c r="O780" s="1">
        <f>MONTH(orders[[#This Row],[OrderDate]])</f>
        <v>5</v>
      </c>
    </row>
    <row r="781" spans="1:15" x14ac:dyDescent="0.35">
      <c r="A781">
        <v>11027</v>
      </c>
      <c r="B781" s="1" t="s">
        <v>111</v>
      </c>
      <c r="C781">
        <v>1</v>
      </c>
      <c r="D781" s="2">
        <v>35201</v>
      </c>
      <c r="E781" s="2">
        <v>35229</v>
      </c>
      <c r="F781" s="2">
        <v>35205</v>
      </c>
      <c r="G781">
        <v>1</v>
      </c>
      <c r="H781">
        <v>52.52</v>
      </c>
      <c r="I781" s="1" t="s">
        <v>112</v>
      </c>
      <c r="J781" s="1" t="s">
        <v>115</v>
      </c>
      <c r="K781" s="1" t="s">
        <v>116</v>
      </c>
      <c r="L781" s="1" t="s">
        <v>117</v>
      </c>
      <c r="M781" s="1" t="s">
        <v>118</v>
      </c>
      <c r="N781" s="1" t="s">
        <v>119</v>
      </c>
      <c r="O781" s="1">
        <f>MONTH(orders[[#This Row],[OrderDate]])</f>
        <v>5</v>
      </c>
    </row>
    <row r="782" spans="1:15" x14ac:dyDescent="0.35">
      <c r="A782">
        <v>11028</v>
      </c>
      <c r="B782" s="1" t="s">
        <v>345</v>
      </c>
      <c r="C782">
        <v>2</v>
      </c>
      <c r="D782" s="2">
        <v>35201</v>
      </c>
      <c r="E782" s="2">
        <v>35229</v>
      </c>
      <c r="F782" s="2">
        <v>35207</v>
      </c>
      <c r="G782">
        <v>1</v>
      </c>
      <c r="H782">
        <v>29.59</v>
      </c>
      <c r="I782" s="1" t="s">
        <v>346</v>
      </c>
      <c r="J782" s="1" t="s">
        <v>348</v>
      </c>
      <c r="K782" s="1" t="s">
        <v>349</v>
      </c>
      <c r="L782" s="1" t="s">
        <v>1195</v>
      </c>
      <c r="M782" s="1" t="s">
        <v>350</v>
      </c>
      <c r="N782" s="1" t="s">
        <v>38</v>
      </c>
      <c r="O782" s="1">
        <f>MONTH(orders[[#This Row],[OrderDate]])</f>
        <v>5</v>
      </c>
    </row>
    <row r="783" spans="1:15" x14ac:dyDescent="0.35">
      <c r="A783">
        <v>11029</v>
      </c>
      <c r="B783" s="1" t="s">
        <v>145</v>
      </c>
      <c r="C783">
        <v>4</v>
      </c>
      <c r="D783" s="2">
        <v>35201</v>
      </c>
      <c r="E783" s="2">
        <v>35229</v>
      </c>
      <c r="F783" s="2">
        <v>35212</v>
      </c>
      <c r="G783">
        <v>1</v>
      </c>
      <c r="H783">
        <v>47.84</v>
      </c>
      <c r="I783" s="1" t="s">
        <v>146</v>
      </c>
      <c r="J783" s="1" t="s">
        <v>834</v>
      </c>
      <c r="K783" s="1" t="s">
        <v>149</v>
      </c>
      <c r="L783" s="1" t="s">
        <v>1195</v>
      </c>
      <c r="M783" s="1" t="s">
        <v>150</v>
      </c>
      <c r="N783" s="1" t="s">
        <v>151</v>
      </c>
      <c r="O783" s="1">
        <f>MONTH(orders[[#This Row],[OrderDate]])</f>
        <v>5</v>
      </c>
    </row>
    <row r="784" spans="1:15" x14ac:dyDescent="0.35">
      <c r="A784">
        <v>11030</v>
      </c>
      <c r="B784" s="1" t="s">
        <v>588</v>
      </c>
      <c r="C784">
        <v>7</v>
      </c>
      <c r="D784" s="2">
        <v>35202</v>
      </c>
      <c r="E784" s="2">
        <v>35230</v>
      </c>
      <c r="F784" s="2">
        <v>35212</v>
      </c>
      <c r="G784">
        <v>2</v>
      </c>
      <c r="H784">
        <v>830.75</v>
      </c>
      <c r="I784" s="1" t="s">
        <v>589</v>
      </c>
      <c r="J784" s="1" t="s">
        <v>591</v>
      </c>
      <c r="K784" s="1" t="s">
        <v>592</v>
      </c>
      <c r="L784" s="1" t="s">
        <v>593</v>
      </c>
      <c r="M784" s="1" t="s">
        <v>594</v>
      </c>
      <c r="N784" s="1" t="s">
        <v>292</v>
      </c>
      <c r="O784" s="1">
        <f>MONTH(orders[[#This Row],[OrderDate]])</f>
        <v>5</v>
      </c>
    </row>
    <row r="785" spans="1:15" x14ac:dyDescent="0.35">
      <c r="A785">
        <v>11031</v>
      </c>
      <c r="B785" s="1" t="s">
        <v>588</v>
      </c>
      <c r="C785">
        <v>6</v>
      </c>
      <c r="D785" s="2">
        <v>35202</v>
      </c>
      <c r="E785" s="2">
        <v>35230</v>
      </c>
      <c r="F785" s="2">
        <v>35209</v>
      </c>
      <c r="G785">
        <v>2</v>
      </c>
      <c r="H785">
        <v>227.22</v>
      </c>
      <c r="I785" s="1" t="s">
        <v>589</v>
      </c>
      <c r="J785" s="1" t="s">
        <v>591</v>
      </c>
      <c r="K785" s="1" t="s">
        <v>592</v>
      </c>
      <c r="L785" s="1" t="s">
        <v>593</v>
      </c>
      <c r="M785" s="1" t="s">
        <v>594</v>
      </c>
      <c r="N785" s="1" t="s">
        <v>292</v>
      </c>
      <c r="O785" s="1">
        <f>MONTH(orders[[#This Row],[OrderDate]])</f>
        <v>5</v>
      </c>
    </row>
    <row r="786" spans="1:15" x14ac:dyDescent="0.35">
      <c r="A786">
        <v>11032</v>
      </c>
      <c r="B786" s="1" t="s">
        <v>725</v>
      </c>
      <c r="C786">
        <v>2</v>
      </c>
      <c r="D786" s="2">
        <v>35202</v>
      </c>
      <c r="E786" s="2">
        <v>35230</v>
      </c>
      <c r="F786" s="2">
        <v>35208</v>
      </c>
      <c r="G786">
        <v>3</v>
      </c>
      <c r="H786">
        <v>606.19000000000005</v>
      </c>
      <c r="I786" s="1" t="s">
        <v>726</v>
      </c>
      <c r="J786" s="1" t="s">
        <v>837</v>
      </c>
      <c r="K786" s="1" t="s">
        <v>728</v>
      </c>
      <c r="L786" s="1" t="s">
        <v>381</v>
      </c>
      <c r="M786" s="1" t="s">
        <v>838</v>
      </c>
      <c r="N786" s="1" t="s">
        <v>292</v>
      </c>
      <c r="O786" s="1">
        <f>MONTH(orders[[#This Row],[OrderDate]])</f>
        <v>5</v>
      </c>
    </row>
    <row r="787" spans="1:15" x14ac:dyDescent="0.35">
      <c r="A787">
        <v>11033</v>
      </c>
      <c r="B787" s="1" t="s">
        <v>565</v>
      </c>
      <c r="C787">
        <v>7</v>
      </c>
      <c r="D787" s="2">
        <v>35202</v>
      </c>
      <c r="E787" s="2">
        <v>35230</v>
      </c>
      <c r="F787" s="2">
        <v>35208</v>
      </c>
      <c r="G787">
        <v>3</v>
      </c>
      <c r="H787">
        <v>84.74</v>
      </c>
      <c r="I787" s="1" t="s">
        <v>566</v>
      </c>
      <c r="J787" s="1" t="s">
        <v>835</v>
      </c>
      <c r="K787" s="1" t="s">
        <v>569</v>
      </c>
      <c r="L787" s="1" t="s">
        <v>1195</v>
      </c>
      <c r="M787" s="1" t="s">
        <v>836</v>
      </c>
      <c r="N787" s="1" t="s">
        <v>151</v>
      </c>
      <c r="O787" s="1">
        <f>MONTH(orders[[#This Row],[OrderDate]])</f>
        <v>5</v>
      </c>
    </row>
    <row r="788" spans="1:15" x14ac:dyDescent="0.35">
      <c r="A788">
        <v>11034</v>
      </c>
      <c r="B788" s="1" t="s">
        <v>469</v>
      </c>
      <c r="C788">
        <v>8</v>
      </c>
      <c r="D788" s="2">
        <v>35205</v>
      </c>
      <c r="E788" s="2">
        <v>35247</v>
      </c>
      <c r="F788" s="2">
        <v>35212</v>
      </c>
      <c r="G788">
        <v>1</v>
      </c>
      <c r="H788">
        <v>40.32</v>
      </c>
      <c r="I788" s="1" t="s">
        <v>470</v>
      </c>
      <c r="J788" s="1" t="s">
        <v>472</v>
      </c>
      <c r="K788" s="1" t="s">
        <v>473</v>
      </c>
      <c r="L788" s="1" t="s">
        <v>474</v>
      </c>
      <c r="M788" s="1" t="s">
        <v>475</v>
      </c>
      <c r="N788" s="1" t="s">
        <v>292</v>
      </c>
      <c r="O788" s="1">
        <f>MONTH(orders[[#This Row],[OrderDate]])</f>
        <v>5</v>
      </c>
    </row>
    <row r="789" spans="1:15" x14ac:dyDescent="0.35">
      <c r="A789">
        <v>11035</v>
      </c>
      <c r="B789" s="1" t="s">
        <v>628</v>
      </c>
      <c r="C789">
        <v>2</v>
      </c>
      <c r="D789" s="2">
        <v>35205</v>
      </c>
      <c r="E789" s="2">
        <v>35233</v>
      </c>
      <c r="F789" s="2">
        <v>35209</v>
      </c>
      <c r="G789">
        <v>2</v>
      </c>
      <c r="H789">
        <v>0.17</v>
      </c>
      <c r="I789" s="1" t="s">
        <v>629</v>
      </c>
      <c r="J789" s="1" t="s">
        <v>631</v>
      </c>
      <c r="K789" s="1" t="s">
        <v>632</v>
      </c>
      <c r="L789" s="1" t="s">
        <v>1195</v>
      </c>
      <c r="M789" s="1" t="s">
        <v>633</v>
      </c>
      <c r="N789" s="1" t="s">
        <v>439</v>
      </c>
      <c r="O789" s="1">
        <f>MONTH(orders[[#This Row],[OrderDate]])</f>
        <v>5</v>
      </c>
    </row>
    <row r="790" spans="1:15" x14ac:dyDescent="0.35">
      <c r="A790">
        <v>11036</v>
      </c>
      <c r="B790" s="1" t="s">
        <v>169</v>
      </c>
      <c r="C790">
        <v>8</v>
      </c>
      <c r="D790" s="2">
        <v>35205</v>
      </c>
      <c r="E790" s="2">
        <v>35233</v>
      </c>
      <c r="F790" s="2">
        <v>35207</v>
      </c>
      <c r="G790">
        <v>3</v>
      </c>
      <c r="H790">
        <v>149.47</v>
      </c>
      <c r="I790" s="1" t="s">
        <v>170</v>
      </c>
      <c r="J790" s="1" t="s">
        <v>172</v>
      </c>
      <c r="K790" s="1" t="s">
        <v>173</v>
      </c>
      <c r="L790" s="1" t="s">
        <v>1195</v>
      </c>
      <c r="M790" s="1" t="s">
        <v>174</v>
      </c>
      <c r="N790" s="1" t="s">
        <v>38</v>
      </c>
      <c r="O790" s="1">
        <f>MONTH(orders[[#This Row],[OrderDate]])</f>
        <v>5</v>
      </c>
    </row>
    <row r="791" spans="1:15" x14ac:dyDescent="0.35">
      <c r="A791">
        <v>11037</v>
      </c>
      <c r="B791" s="1" t="s">
        <v>271</v>
      </c>
      <c r="C791">
        <v>7</v>
      </c>
      <c r="D791" s="2">
        <v>35206</v>
      </c>
      <c r="E791" s="2">
        <v>35234</v>
      </c>
      <c r="F791" s="2">
        <v>35212</v>
      </c>
      <c r="G791">
        <v>1</v>
      </c>
      <c r="H791">
        <v>3.2</v>
      </c>
      <c r="I791" s="1" t="s">
        <v>272</v>
      </c>
      <c r="J791" s="1" t="s">
        <v>274</v>
      </c>
      <c r="K791" s="1" t="s">
        <v>275</v>
      </c>
      <c r="L791" s="1" t="s">
        <v>1195</v>
      </c>
      <c r="M791" s="1" t="s">
        <v>276</v>
      </c>
      <c r="N791" s="1" t="s">
        <v>100</v>
      </c>
      <c r="O791" s="1">
        <f>MONTH(orders[[#This Row],[OrderDate]])</f>
        <v>5</v>
      </c>
    </row>
    <row r="792" spans="1:15" x14ac:dyDescent="0.35">
      <c r="A792">
        <v>11038</v>
      </c>
      <c r="B792" s="1" t="s">
        <v>628</v>
      </c>
      <c r="C792">
        <v>1</v>
      </c>
      <c r="D792" s="2">
        <v>35206</v>
      </c>
      <c r="E792" s="2">
        <v>35234</v>
      </c>
      <c r="F792" s="2">
        <v>35215</v>
      </c>
      <c r="G792">
        <v>2</v>
      </c>
      <c r="H792">
        <v>29.59</v>
      </c>
      <c r="I792" s="1" t="s">
        <v>629</v>
      </c>
      <c r="J792" s="1" t="s">
        <v>631</v>
      </c>
      <c r="K792" s="1" t="s">
        <v>632</v>
      </c>
      <c r="L792" s="1" t="s">
        <v>1195</v>
      </c>
      <c r="M792" s="1" t="s">
        <v>633</v>
      </c>
      <c r="N792" s="1" t="s">
        <v>439</v>
      </c>
      <c r="O792" s="1">
        <f>MONTH(orders[[#This Row],[OrderDate]])</f>
        <v>5</v>
      </c>
    </row>
    <row r="793" spans="1:15" x14ac:dyDescent="0.35">
      <c r="A793">
        <v>11039</v>
      </c>
      <c r="B793" s="1" t="s">
        <v>408</v>
      </c>
      <c r="C793">
        <v>1</v>
      </c>
      <c r="D793" s="2">
        <v>35206</v>
      </c>
      <c r="E793" s="2">
        <v>35234</v>
      </c>
      <c r="F793" s="2"/>
      <c r="G793">
        <v>2</v>
      </c>
      <c r="H793">
        <v>65</v>
      </c>
      <c r="I793" s="1" t="s">
        <v>409</v>
      </c>
      <c r="J793" s="1" t="s">
        <v>411</v>
      </c>
      <c r="K793" s="1" t="s">
        <v>412</v>
      </c>
      <c r="L793" s="1" t="s">
        <v>413</v>
      </c>
      <c r="M793" s="1" t="s">
        <v>414</v>
      </c>
      <c r="N793" s="1" t="s">
        <v>301</v>
      </c>
      <c r="O793" s="1">
        <f>MONTH(orders[[#This Row],[OrderDate]])</f>
        <v>5</v>
      </c>
    </row>
    <row r="794" spans="1:15" x14ac:dyDescent="0.35">
      <c r="A794">
        <v>11040</v>
      </c>
      <c r="B794" s="1" t="s">
        <v>285</v>
      </c>
      <c r="C794">
        <v>4</v>
      </c>
      <c r="D794" s="2">
        <v>35207</v>
      </c>
      <c r="E794" s="2">
        <v>35235</v>
      </c>
      <c r="F794" s="2"/>
      <c r="G794">
        <v>3</v>
      </c>
      <c r="H794">
        <v>18.84</v>
      </c>
      <c r="I794" s="1" t="s">
        <v>286</v>
      </c>
      <c r="J794" s="1" t="s">
        <v>288</v>
      </c>
      <c r="K794" s="1" t="s">
        <v>289</v>
      </c>
      <c r="L794" s="1" t="s">
        <v>290</v>
      </c>
      <c r="M794" s="1" t="s">
        <v>291</v>
      </c>
      <c r="N794" s="1" t="s">
        <v>292</v>
      </c>
      <c r="O794" s="1">
        <f>MONTH(orders[[#This Row],[OrderDate]])</f>
        <v>5</v>
      </c>
    </row>
    <row r="795" spans="1:15" x14ac:dyDescent="0.35">
      <c r="A795">
        <v>11041</v>
      </c>
      <c r="B795" s="1" t="s">
        <v>145</v>
      </c>
      <c r="C795">
        <v>3</v>
      </c>
      <c r="D795" s="2">
        <v>35207</v>
      </c>
      <c r="E795" s="2">
        <v>35235</v>
      </c>
      <c r="F795" s="2">
        <v>35213</v>
      </c>
      <c r="G795">
        <v>2</v>
      </c>
      <c r="H795">
        <v>48.22</v>
      </c>
      <c r="I795" s="1" t="s">
        <v>146</v>
      </c>
      <c r="J795" s="1" t="s">
        <v>834</v>
      </c>
      <c r="K795" s="1" t="s">
        <v>149</v>
      </c>
      <c r="L795" s="1" t="s">
        <v>1195</v>
      </c>
      <c r="M795" s="1" t="s">
        <v>150</v>
      </c>
      <c r="N795" s="1" t="s">
        <v>151</v>
      </c>
      <c r="O795" s="1">
        <f>MONTH(orders[[#This Row],[OrderDate]])</f>
        <v>5</v>
      </c>
    </row>
    <row r="796" spans="1:15" x14ac:dyDescent="0.35">
      <c r="A796">
        <v>11042</v>
      </c>
      <c r="B796" s="1" t="s">
        <v>153</v>
      </c>
      <c r="C796">
        <v>2</v>
      </c>
      <c r="D796" s="2">
        <v>35207</v>
      </c>
      <c r="E796" s="2">
        <v>35221</v>
      </c>
      <c r="F796" s="2">
        <v>35216</v>
      </c>
      <c r="G796">
        <v>1</v>
      </c>
      <c r="H796">
        <v>29.99</v>
      </c>
      <c r="I796" s="1" t="s">
        <v>154</v>
      </c>
      <c r="J796" s="1" t="s">
        <v>157</v>
      </c>
      <c r="K796" s="1" t="s">
        <v>158</v>
      </c>
      <c r="L796" s="1" t="s">
        <v>159</v>
      </c>
      <c r="M796" s="1" t="s">
        <v>160</v>
      </c>
      <c r="N796" s="1" t="s">
        <v>161</v>
      </c>
      <c r="O796" s="1">
        <f>MONTH(orders[[#This Row],[OrderDate]])</f>
        <v>5</v>
      </c>
    </row>
    <row r="797" spans="1:15" x14ac:dyDescent="0.35">
      <c r="A797">
        <v>11043</v>
      </c>
      <c r="B797" s="1" t="s">
        <v>612</v>
      </c>
      <c r="C797">
        <v>5</v>
      </c>
      <c r="D797" s="2">
        <v>35207</v>
      </c>
      <c r="E797" s="2">
        <v>35235</v>
      </c>
      <c r="F797" s="2">
        <v>35214</v>
      </c>
      <c r="G797">
        <v>2</v>
      </c>
      <c r="H797">
        <v>8.8000000000000007</v>
      </c>
      <c r="I797" s="1" t="s">
        <v>613</v>
      </c>
      <c r="J797" s="1" t="s">
        <v>615</v>
      </c>
      <c r="K797" s="1" t="s">
        <v>490</v>
      </c>
      <c r="L797" s="1" t="s">
        <v>1195</v>
      </c>
      <c r="M797" s="1" t="s">
        <v>616</v>
      </c>
      <c r="N797" s="1" t="s">
        <v>91</v>
      </c>
      <c r="O797" s="1">
        <f>MONTH(orders[[#This Row],[OrderDate]])</f>
        <v>5</v>
      </c>
    </row>
    <row r="798" spans="1:15" x14ac:dyDescent="0.35">
      <c r="A798">
        <v>11044</v>
      </c>
      <c r="B798" s="1" t="s">
        <v>740</v>
      </c>
      <c r="C798">
        <v>4</v>
      </c>
      <c r="D798" s="2">
        <v>35208</v>
      </c>
      <c r="E798" s="2">
        <v>35236</v>
      </c>
      <c r="F798" s="2">
        <v>35216</v>
      </c>
      <c r="G798">
        <v>1</v>
      </c>
      <c r="H798">
        <v>8.7200000000000006</v>
      </c>
      <c r="I798" s="1" t="s">
        <v>844</v>
      </c>
      <c r="J798" s="1" t="s">
        <v>743</v>
      </c>
      <c r="K798" s="1" t="s">
        <v>744</v>
      </c>
      <c r="L798" s="1" t="s">
        <v>1195</v>
      </c>
      <c r="M798" s="1" t="s">
        <v>745</v>
      </c>
      <c r="N798" s="1" t="s">
        <v>746</v>
      </c>
      <c r="O798" s="1">
        <f>MONTH(orders[[#This Row],[OrderDate]])</f>
        <v>5</v>
      </c>
    </row>
    <row r="799" spans="1:15" x14ac:dyDescent="0.35">
      <c r="A799">
        <v>11045</v>
      </c>
      <c r="B799" s="1" t="s">
        <v>111</v>
      </c>
      <c r="C799">
        <v>6</v>
      </c>
      <c r="D799" s="2">
        <v>35208</v>
      </c>
      <c r="E799" s="2">
        <v>35236</v>
      </c>
      <c r="F799" s="2"/>
      <c r="G799">
        <v>2</v>
      </c>
      <c r="H799">
        <v>70.58</v>
      </c>
      <c r="I799" s="1" t="s">
        <v>112</v>
      </c>
      <c r="J799" s="1" t="s">
        <v>115</v>
      </c>
      <c r="K799" s="1" t="s">
        <v>116</v>
      </c>
      <c r="L799" s="1" t="s">
        <v>117</v>
      </c>
      <c r="M799" s="1" t="s">
        <v>118</v>
      </c>
      <c r="N799" s="1" t="s">
        <v>119</v>
      </c>
      <c r="O799" s="1">
        <f>MONTH(orders[[#This Row],[OrderDate]])</f>
        <v>5</v>
      </c>
    </row>
    <row r="800" spans="1:15" x14ac:dyDescent="0.35">
      <c r="A800">
        <v>11046</v>
      </c>
      <c r="B800" s="1" t="s">
        <v>702</v>
      </c>
      <c r="C800">
        <v>8</v>
      </c>
      <c r="D800" s="2">
        <v>35208</v>
      </c>
      <c r="E800" s="2">
        <v>35236</v>
      </c>
      <c r="F800" s="2">
        <v>35209</v>
      </c>
      <c r="G800">
        <v>2</v>
      </c>
      <c r="H800">
        <v>71.64</v>
      </c>
      <c r="I800" s="1" t="s">
        <v>703</v>
      </c>
      <c r="J800" s="1" t="s">
        <v>705</v>
      </c>
      <c r="K800" s="1" t="s">
        <v>706</v>
      </c>
      <c r="L800" s="1" t="s">
        <v>1195</v>
      </c>
      <c r="M800" s="1" t="s">
        <v>707</v>
      </c>
      <c r="N800" s="1" t="s">
        <v>38</v>
      </c>
      <c r="O800" s="1">
        <f>MONTH(orders[[#This Row],[OrderDate]])</f>
        <v>5</v>
      </c>
    </row>
    <row r="801" spans="1:15" x14ac:dyDescent="0.35">
      <c r="A801">
        <v>11047</v>
      </c>
      <c r="B801" s="1" t="s">
        <v>185</v>
      </c>
      <c r="C801">
        <v>7</v>
      </c>
      <c r="D801" s="2">
        <v>35209</v>
      </c>
      <c r="E801" s="2">
        <v>35237</v>
      </c>
      <c r="F801" s="2">
        <v>35216</v>
      </c>
      <c r="G801">
        <v>3</v>
      </c>
      <c r="H801">
        <v>46.62</v>
      </c>
      <c r="I801" s="1" t="s">
        <v>186</v>
      </c>
      <c r="J801" s="1" t="s">
        <v>188</v>
      </c>
      <c r="K801" s="1" t="s">
        <v>61</v>
      </c>
      <c r="L801" s="1" t="s">
        <v>1195</v>
      </c>
      <c r="M801" s="1" t="s">
        <v>189</v>
      </c>
      <c r="N801" s="1" t="s">
        <v>63</v>
      </c>
      <c r="O801" s="1">
        <f>MONTH(orders[[#This Row],[OrderDate]])</f>
        <v>5</v>
      </c>
    </row>
    <row r="802" spans="1:15" x14ac:dyDescent="0.35">
      <c r="A802">
        <v>11048</v>
      </c>
      <c r="B802" s="1" t="s">
        <v>111</v>
      </c>
      <c r="C802">
        <v>7</v>
      </c>
      <c r="D802" s="2">
        <v>35209</v>
      </c>
      <c r="E802" s="2">
        <v>35237</v>
      </c>
      <c r="F802" s="2">
        <v>35215</v>
      </c>
      <c r="G802">
        <v>3</v>
      </c>
      <c r="H802">
        <v>24.12</v>
      </c>
      <c r="I802" s="1" t="s">
        <v>112</v>
      </c>
      <c r="J802" s="1" t="s">
        <v>115</v>
      </c>
      <c r="K802" s="1" t="s">
        <v>116</v>
      </c>
      <c r="L802" s="1" t="s">
        <v>117</v>
      </c>
      <c r="M802" s="1" t="s">
        <v>118</v>
      </c>
      <c r="N802" s="1" t="s">
        <v>119</v>
      </c>
      <c r="O802" s="1">
        <f>MONTH(orders[[#This Row],[OrderDate]])</f>
        <v>5</v>
      </c>
    </row>
    <row r="803" spans="1:15" x14ac:dyDescent="0.35">
      <c r="A803">
        <v>11049</v>
      </c>
      <c r="B803" s="1" t="s">
        <v>278</v>
      </c>
      <c r="C803">
        <v>3</v>
      </c>
      <c r="D803" s="2">
        <v>35209</v>
      </c>
      <c r="E803" s="2">
        <v>35237</v>
      </c>
      <c r="F803" s="2">
        <v>35219</v>
      </c>
      <c r="G803">
        <v>1</v>
      </c>
      <c r="H803">
        <v>8.34</v>
      </c>
      <c r="I803" s="1" t="s">
        <v>279</v>
      </c>
      <c r="J803" s="1" t="s">
        <v>281</v>
      </c>
      <c r="K803" s="1" t="s">
        <v>282</v>
      </c>
      <c r="L803" s="1" t="s">
        <v>159</v>
      </c>
      <c r="M803" s="1" t="s">
        <v>283</v>
      </c>
      <c r="N803" s="1" t="s">
        <v>161</v>
      </c>
      <c r="O803" s="1">
        <f>MONTH(orders[[#This Row],[OrderDate]])</f>
        <v>5</v>
      </c>
    </row>
    <row r="804" spans="1:15" x14ac:dyDescent="0.35">
      <c r="A804">
        <v>11050</v>
      </c>
      <c r="B804" s="1" t="s">
        <v>225</v>
      </c>
      <c r="C804">
        <v>8</v>
      </c>
      <c r="D804" s="2">
        <v>35212</v>
      </c>
      <c r="E804" s="2">
        <v>35240</v>
      </c>
      <c r="F804" s="2">
        <v>35220</v>
      </c>
      <c r="G804">
        <v>2</v>
      </c>
      <c r="H804">
        <v>59.41</v>
      </c>
      <c r="I804" s="1" t="s">
        <v>226</v>
      </c>
      <c r="J804" s="1" t="s">
        <v>228</v>
      </c>
      <c r="K804" s="1" t="s">
        <v>229</v>
      </c>
      <c r="L804" s="1" t="s">
        <v>1195</v>
      </c>
      <c r="M804" s="1" t="s">
        <v>230</v>
      </c>
      <c r="N804" s="1" t="s">
        <v>73</v>
      </c>
      <c r="O804" s="1">
        <f>MONTH(orders[[#This Row],[OrderDate]])</f>
        <v>5</v>
      </c>
    </row>
    <row r="805" spans="1:15" x14ac:dyDescent="0.35">
      <c r="A805">
        <v>11051</v>
      </c>
      <c r="B805" s="1" t="s">
        <v>360</v>
      </c>
      <c r="C805">
        <v>7</v>
      </c>
      <c r="D805" s="2">
        <v>35212</v>
      </c>
      <c r="E805" s="2">
        <v>35240</v>
      </c>
      <c r="F805" s="2"/>
      <c r="G805">
        <v>3</v>
      </c>
      <c r="H805">
        <v>2.79</v>
      </c>
      <c r="I805" s="1" t="s">
        <v>361</v>
      </c>
      <c r="J805" s="1" t="s">
        <v>363</v>
      </c>
      <c r="K805" s="1" t="s">
        <v>364</v>
      </c>
      <c r="L805" s="1" t="s">
        <v>1195</v>
      </c>
      <c r="M805" s="1" t="s">
        <v>365</v>
      </c>
      <c r="N805" s="1" t="s">
        <v>91</v>
      </c>
      <c r="O805" s="1">
        <f>MONTH(orders[[#This Row],[OrderDate]])</f>
        <v>5</v>
      </c>
    </row>
    <row r="806" spans="1:15" x14ac:dyDescent="0.35">
      <c r="A806">
        <v>11052</v>
      </c>
      <c r="B806" s="1" t="s">
        <v>304</v>
      </c>
      <c r="C806">
        <v>3</v>
      </c>
      <c r="D806" s="2">
        <v>35212</v>
      </c>
      <c r="E806" s="2">
        <v>35240</v>
      </c>
      <c r="F806" s="2">
        <v>35216</v>
      </c>
      <c r="G806">
        <v>1</v>
      </c>
      <c r="H806">
        <v>67.260000000000005</v>
      </c>
      <c r="I806" s="1" t="s">
        <v>305</v>
      </c>
      <c r="J806" s="1" t="s">
        <v>307</v>
      </c>
      <c r="K806" s="1" t="s">
        <v>308</v>
      </c>
      <c r="L806" s="1" t="s">
        <v>309</v>
      </c>
      <c r="M806" s="1" t="s">
        <v>310</v>
      </c>
      <c r="N806" s="1" t="s">
        <v>161</v>
      </c>
      <c r="O806" s="1">
        <f>MONTH(orders[[#This Row],[OrderDate]])</f>
        <v>5</v>
      </c>
    </row>
    <row r="807" spans="1:15" x14ac:dyDescent="0.35">
      <c r="A807">
        <v>11053</v>
      </c>
      <c r="B807" s="1" t="s">
        <v>501</v>
      </c>
      <c r="C807">
        <v>2</v>
      </c>
      <c r="D807" s="2">
        <v>35212</v>
      </c>
      <c r="E807" s="2">
        <v>35240</v>
      </c>
      <c r="F807" s="2">
        <v>35214</v>
      </c>
      <c r="G807">
        <v>2</v>
      </c>
      <c r="H807">
        <v>53.05</v>
      </c>
      <c r="I807" s="1" t="s">
        <v>502</v>
      </c>
      <c r="J807" s="1" t="s">
        <v>504</v>
      </c>
      <c r="K807" s="1" t="s">
        <v>505</v>
      </c>
      <c r="L807" s="1" t="s">
        <v>1195</v>
      </c>
      <c r="M807" s="1" t="s">
        <v>506</v>
      </c>
      <c r="N807" s="1" t="s">
        <v>199</v>
      </c>
      <c r="O807" s="1">
        <f>MONTH(orders[[#This Row],[OrderDate]])</f>
        <v>5</v>
      </c>
    </row>
    <row r="808" spans="1:15" x14ac:dyDescent="0.35">
      <c r="A808">
        <v>11054</v>
      </c>
      <c r="B808" s="1" t="s">
        <v>128</v>
      </c>
      <c r="C808">
        <v>8</v>
      </c>
      <c r="D808" s="2">
        <v>35213</v>
      </c>
      <c r="E808" s="2">
        <v>35241</v>
      </c>
      <c r="F808" s="2"/>
      <c r="G808">
        <v>1</v>
      </c>
      <c r="H808">
        <v>0.33</v>
      </c>
      <c r="I808" s="1" t="s">
        <v>129</v>
      </c>
      <c r="J808" s="1" t="s">
        <v>132</v>
      </c>
      <c r="K808" s="1" t="s">
        <v>133</v>
      </c>
      <c r="L808" s="1" t="s">
        <v>1195</v>
      </c>
      <c r="M808" s="1" t="s">
        <v>134</v>
      </c>
      <c r="N808" s="1" t="s">
        <v>135</v>
      </c>
      <c r="O808" s="1">
        <f>MONTH(orders[[#This Row],[OrderDate]])</f>
        <v>5</v>
      </c>
    </row>
    <row r="809" spans="1:15" x14ac:dyDescent="0.35">
      <c r="A809">
        <v>11055</v>
      </c>
      <c r="B809" s="1" t="s">
        <v>313</v>
      </c>
      <c r="C809">
        <v>7</v>
      </c>
      <c r="D809" s="2">
        <v>35213</v>
      </c>
      <c r="E809" s="2">
        <v>35241</v>
      </c>
      <c r="F809" s="2">
        <v>35220</v>
      </c>
      <c r="G809">
        <v>2</v>
      </c>
      <c r="H809">
        <v>120.92</v>
      </c>
      <c r="I809" s="1" t="s">
        <v>314</v>
      </c>
      <c r="J809" s="1" t="s">
        <v>316</v>
      </c>
      <c r="K809" s="1" t="s">
        <v>317</v>
      </c>
      <c r="L809" s="1" t="s">
        <v>318</v>
      </c>
      <c r="M809" s="1" t="s">
        <v>319</v>
      </c>
      <c r="N809" s="1" t="s">
        <v>301</v>
      </c>
      <c r="O809" s="1">
        <f>MONTH(orders[[#This Row],[OrderDate]])</f>
        <v>5</v>
      </c>
    </row>
    <row r="810" spans="1:15" x14ac:dyDescent="0.35">
      <c r="A810">
        <v>11056</v>
      </c>
      <c r="B810" s="1" t="s">
        <v>185</v>
      </c>
      <c r="C810">
        <v>8</v>
      </c>
      <c r="D810" s="2">
        <v>35213</v>
      </c>
      <c r="E810" s="2">
        <v>35227</v>
      </c>
      <c r="F810" s="2">
        <v>35216</v>
      </c>
      <c r="G810">
        <v>2</v>
      </c>
      <c r="H810">
        <v>278.95999999999998</v>
      </c>
      <c r="I810" s="1" t="s">
        <v>186</v>
      </c>
      <c r="J810" s="1" t="s">
        <v>188</v>
      </c>
      <c r="K810" s="1" t="s">
        <v>61</v>
      </c>
      <c r="L810" s="1" t="s">
        <v>1195</v>
      </c>
      <c r="M810" s="1" t="s">
        <v>189</v>
      </c>
      <c r="N810" s="1" t="s">
        <v>63</v>
      </c>
      <c r="O810" s="1">
        <f>MONTH(orders[[#This Row],[OrderDate]])</f>
        <v>5</v>
      </c>
    </row>
    <row r="811" spans="1:15" x14ac:dyDescent="0.35">
      <c r="A811">
        <v>11057</v>
      </c>
      <c r="B811" s="1" t="s">
        <v>458</v>
      </c>
      <c r="C811">
        <v>3</v>
      </c>
      <c r="D811" s="2">
        <v>35214</v>
      </c>
      <c r="E811" s="2">
        <v>35242</v>
      </c>
      <c r="F811" s="2">
        <v>35216</v>
      </c>
      <c r="G811">
        <v>3</v>
      </c>
      <c r="H811">
        <v>4.13</v>
      </c>
      <c r="I811" s="1" t="s">
        <v>459</v>
      </c>
      <c r="J811" s="1" t="s">
        <v>1203</v>
      </c>
      <c r="K811" s="1" t="s">
        <v>61</v>
      </c>
      <c r="L811" s="1" t="s">
        <v>1195</v>
      </c>
      <c r="M811" s="1" t="s">
        <v>461</v>
      </c>
      <c r="N811" s="1" t="s">
        <v>63</v>
      </c>
      <c r="O811" s="1">
        <f>MONTH(orders[[#This Row],[OrderDate]])</f>
        <v>5</v>
      </c>
    </row>
    <row r="812" spans="1:15" x14ac:dyDescent="0.35">
      <c r="A812">
        <v>11058</v>
      </c>
      <c r="B812" s="1" t="s">
        <v>76</v>
      </c>
      <c r="C812">
        <v>9</v>
      </c>
      <c r="D812" s="2">
        <v>35214</v>
      </c>
      <c r="E812" s="2">
        <v>35242</v>
      </c>
      <c r="F812" s="2"/>
      <c r="G812">
        <v>3</v>
      </c>
      <c r="H812">
        <v>31.14</v>
      </c>
      <c r="I812" s="1" t="s">
        <v>77</v>
      </c>
      <c r="J812" s="1" t="s">
        <v>79</v>
      </c>
      <c r="K812" s="1" t="s">
        <v>80</v>
      </c>
      <c r="L812" s="1" t="s">
        <v>1195</v>
      </c>
      <c r="M812" s="1" t="s">
        <v>81</v>
      </c>
      <c r="N812" s="1" t="s">
        <v>38</v>
      </c>
      <c r="O812" s="1">
        <f>MONTH(orders[[#This Row],[OrderDate]])</f>
        <v>5</v>
      </c>
    </row>
    <row r="813" spans="1:15" x14ac:dyDescent="0.35">
      <c r="A813">
        <v>11059</v>
      </c>
      <c r="B813" s="1" t="s">
        <v>559</v>
      </c>
      <c r="C813">
        <v>2</v>
      </c>
      <c r="D813" s="2">
        <v>35214</v>
      </c>
      <c r="E813" s="2">
        <v>35256</v>
      </c>
      <c r="F813" s="2"/>
      <c r="G813">
        <v>2</v>
      </c>
      <c r="H813">
        <v>85.8</v>
      </c>
      <c r="I813" s="1" t="s">
        <v>560</v>
      </c>
      <c r="J813" s="1" t="s">
        <v>562</v>
      </c>
      <c r="K813" s="1" t="s">
        <v>308</v>
      </c>
      <c r="L813" s="1" t="s">
        <v>309</v>
      </c>
      <c r="M813" s="1" t="s">
        <v>563</v>
      </c>
      <c r="N813" s="1" t="s">
        <v>161</v>
      </c>
      <c r="O813" s="1">
        <f>MONTH(orders[[#This Row],[OrderDate]])</f>
        <v>5</v>
      </c>
    </row>
    <row r="814" spans="1:15" x14ac:dyDescent="0.35">
      <c r="A814">
        <v>11060</v>
      </c>
      <c r="B814" s="1" t="s">
        <v>246</v>
      </c>
      <c r="C814">
        <v>2</v>
      </c>
      <c r="D814" s="2">
        <v>35215</v>
      </c>
      <c r="E814" s="2">
        <v>35243</v>
      </c>
      <c r="F814" s="2">
        <v>35219</v>
      </c>
      <c r="G814">
        <v>2</v>
      </c>
      <c r="H814">
        <v>10.98</v>
      </c>
      <c r="I814" s="1" t="s">
        <v>247</v>
      </c>
      <c r="J814" s="1" t="s">
        <v>249</v>
      </c>
      <c r="K814" s="1" t="s">
        <v>250</v>
      </c>
      <c r="L814" s="1" t="s">
        <v>1195</v>
      </c>
      <c r="M814" s="1" t="s">
        <v>251</v>
      </c>
      <c r="N814" s="1" t="s">
        <v>252</v>
      </c>
      <c r="O814" s="1">
        <f>MONTH(orders[[#This Row],[OrderDate]])</f>
        <v>5</v>
      </c>
    </row>
    <row r="815" spans="1:15" x14ac:dyDescent="0.35">
      <c r="A815">
        <v>11061</v>
      </c>
      <c r="B815" s="1" t="s">
        <v>285</v>
      </c>
      <c r="C815">
        <v>4</v>
      </c>
      <c r="D815" s="2">
        <v>35215</v>
      </c>
      <c r="E815" s="2">
        <v>35257</v>
      </c>
      <c r="F815" s="2"/>
      <c r="G815">
        <v>3</v>
      </c>
      <c r="H815">
        <v>14.01</v>
      </c>
      <c r="I815" s="1" t="s">
        <v>286</v>
      </c>
      <c r="J815" s="1" t="s">
        <v>288</v>
      </c>
      <c r="K815" s="1" t="s">
        <v>289</v>
      </c>
      <c r="L815" s="1" t="s">
        <v>290</v>
      </c>
      <c r="M815" s="1" t="s">
        <v>291</v>
      </c>
      <c r="N815" s="1" t="s">
        <v>292</v>
      </c>
      <c r="O815" s="1">
        <f>MONTH(orders[[#This Row],[OrderDate]])</f>
        <v>5</v>
      </c>
    </row>
    <row r="816" spans="1:15" x14ac:dyDescent="0.35">
      <c r="A816">
        <v>11062</v>
      </c>
      <c r="B816" s="1" t="s">
        <v>551</v>
      </c>
      <c r="C816">
        <v>4</v>
      </c>
      <c r="D816" s="2">
        <v>35215</v>
      </c>
      <c r="E816" s="2">
        <v>35243</v>
      </c>
      <c r="F816" s="2"/>
      <c r="G816">
        <v>2</v>
      </c>
      <c r="H816">
        <v>29.93</v>
      </c>
      <c r="I816" s="1" t="s">
        <v>552</v>
      </c>
      <c r="J816" s="1" t="s">
        <v>554</v>
      </c>
      <c r="K816" s="1" t="s">
        <v>555</v>
      </c>
      <c r="L816" s="1" t="s">
        <v>1195</v>
      </c>
      <c r="M816" s="1" t="s">
        <v>556</v>
      </c>
      <c r="N816" s="1" t="s">
        <v>252</v>
      </c>
      <c r="O816" s="1">
        <f>MONTH(orders[[#This Row],[OrderDate]])</f>
        <v>5</v>
      </c>
    </row>
    <row r="817" spans="1:15" x14ac:dyDescent="0.35">
      <c r="A817">
        <v>11063</v>
      </c>
      <c r="B817" s="1" t="s">
        <v>329</v>
      </c>
      <c r="C817">
        <v>3</v>
      </c>
      <c r="D817" s="2">
        <v>35215</v>
      </c>
      <c r="E817" s="2">
        <v>35243</v>
      </c>
      <c r="F817" s="2">
        <v>35221</v>
      </c>
      <c r="G817">
        <v>2</v>
      </c>
      <c r="H817">
        <v>81.73</v>
      </c>
      <c r="I817" s="1" t="s">
        <v>330</v>
      </c>
      <c r="J817" s="1" t="s">
        <v>332</v>
      </c>
      <c r="K817" s="1" t="s">
        <v>333</v>
      </c>
      <c r="L817" s="1" t="s">
        <v>334</v>
      </c>
      <c r="M817" s="1" t="s">
        <v>1195</v>
      </c>
      <c r="N817" s="1" t="s">
        <v>335</v>
      </c>
      <c r="O817" s="1">
        <f>MONTH(orders[[#This Row],[OrderDate]])</f>
        <v>5</v>
      </c>
    </row>
    <row r="818" spans="1:15" x14ac:dyDescent="0.35">
      <c r="A818">
        <v>11064</v>
      </c>
      <c r="B818" s="1" t="s">
        <v>588</v>
      </c>
      <c r="C818">
        <v>1</v>
      </c>
      <c r="D818" s="2">
        <v>35216</v>
      </c>
      <c r="E818" s="2">
        <v>35244</v>
      </c>
      <c r="F818" s="2">
        <v>35219</v>
      </c>
      <c r="G818">
        <v>1</v>
      </c>
      <c r="H818">
        <v>30.09</v>
      </c>
      <c r="I818" s="1" t="s">
        <v>589</v>
      </c>
      <c r="J818" s="1" t="s">
        <v>591</v>
      </c>
      <c r="K818" s="1" t="s">
        <v>592</v>
      </c>
      <c r="L818" s="1" t="s">
        <v>593</v>
      </c>
      <c r="M818" s="1" t="s">
        <v>594</v>
      </c>
      <c r="N818" s="1" t="s">
        <v>292</v>
      </c>
      <c r="O818" s="1">
        <f>MONTH(orders[[#This Row],[OrderDate]])</f>
        <v>5</v>
      </c>
    </row>
    <row r="819" spans="1:15" x14ac:dyDescent="0.35">
      <c r="A819">
        <v>11065</v>
      </c>
      <c r="B819" s="1" t="s">
        <v>399</v>
      </c>
      <c r="C819">
        <v>8</v>
      </c>
      <c r="D819" s="2">
        <v>35216</v>
      </c>
      <c r="E819" s="2">
        <v>35244</v>
      </c>
      <c r="F819" s="2"/>
      <c r="G819">
        <v>1</v>
      </c>
      <c r="H819">
        <v>12.91</v>
      </c>
      <c r="I819" s="1" t="s">
        <v>400</v>
      </c>
      <c r="J819" s="1" t="s">
        <v>402</v>
      </c>
      <c r="K819" s="1" t="s">
        <v>403</v>
      </c>
      <c r="L819" s="1" t="s">
        <v>404</v>
      </c>
      <c r="M819" s="1" t="s">
        <v>405</v>
      </c>
      <c r="N819" s="1" t="s">
        <v>301</v>
      </c>
      <c r="O819" s="1">
        <f>MONTH(orders[[#This Row],[OrderDate]])</f>
        <v>5</v>
      </c>
    </row>
    <row r="820" spans="1:15" x14ac:dyDescent="0.35">
      <c r="A820">
        <v>11066</v>
      </c>
      <c r="B820" s="1" t="s">
        <v>725</v>
      </c>
      <c r="C820">
        <v>7</v>
      </c>
      <c r="D820" s="2">
        <v>35216</v>
      </c>
      <c r="E820" s="2">
        <v>35244</v>
      </c>
      <c r="F820" s="2">
        <v>35219</v>
      </c>
      <c r="G820">
        <v>2</v>
      </c>
      <c r="H820">
        <v>44.72</v>
      </c>
      <c r="I820" s="1" t="s">
        <v>726</v>
      </c>
      <c r="J820" s="1" t="s">
        <v>837</v>
      </c>
      <c r="K820" s="1" t="s">
        <v>728</v>
      </c>
      <c r="L820" s="1" t="s">
        <v>381</v>
      </c>
      <c r="M820" s="1" t="s">
        <v>838</v>
      </c>
      <c r="N820" s="1" t="s">
        <v>292</v>
      </c>
      <c r="O820" s="1">
        <f>MONTH(orders[[#This Row],[OrderDate]])</f>
        <v>5</v>
      </c>
    </row>
    <row r="821" spans="1:15" x14ac:dyDescent="0.35">
      <c r="A821">
        <v>11067</v>
      </c>
      <c r="B821" s="1" t="s">
        <v>169</v>
      </c>
      <c r="C821">
        <v>1</v>
      </c>
      <c r="D821" s="2">
        <v>35219</v>
      </c>
      <c r="E821" s="2">
        <v>35233</v>
      </c>
      <c r="F821" s="2">
        <v>35221</v>
      </c>
      <c r="G821">
        <v>2</v>
      </c>
      <c r="H821">
        <v>7.98</v>
      </c>
      <c r="I821" s="1" t="s">
        <v>170</v>
      </c>
      <c r="J821" s="1" t="s">
        <v>172</v>
      </c>
      <c r="K821" s="1" t="s">
        <v>173</v>
      </c>
      <c r="L821" s="1" t="s">
        <v>1195</v>
      </c>
      <c r="M821" s="1" t="s">
        <v>174</v>
      </c>
      <c r="N821" s="1" t="s">
        <v>38</v>
      </c>
      <c r="O821" s="1">
        <f>MONTH(orders[[#This Row],[OrderDate]])</f>
        <v>6</v>
      </c>
    </row>
    <row r="822" spans="1:15" x14ac:dyDescent="0.35">
      <c r="A822">
        <v>11068</v>
      </c>
      <c r="B822" s="1" t="s">
        <v>522</v>
      </c>
      <c r="C822">
        <v>8</v>
      </c>
      <c r="D822" s="2">
        <v>35219</v>
      </c>
      <c r="E822" s="2">
        <v>35247</v>
      </c>
      <c r="F822" s="2"/>
      <c r="G822">
        <v>2</v>
      </c>
      <c r="H822">
        <v>81.75</v>
      </c>
      <c r="I822" s="1" t="s">
        <v>523</v>
      </c>
      <c r="J822" s="1" t="s">
        <v>525</v>
      </c>
      <c r="K822" s="1" t="s">
        <v>158</v>
      </c>
      <c r="L822" s="1" t="s">
        <v>159</v>
      </c>
      <c r="M822" s="1" t="s">
        <v>526</v>
      </c>
      <c r="N822" s="1" t="s">
        <v>161</v>
      </c>
      <c r="O822" s="1">
        <f>MONTH(orders[[#This Row],[OrderDate]])</f>
        <v>6</v>
      </c>
    </row>
    <row r="823" spans="1:15" x14ac:dyDescent="0.35">
      <c r="A823">
        <v>11069</v>
      </c>
      <c r="B823" s="1" t="s">
        <v>658</v>
      </c>
      <c r="C823">
        <v>1</v>
      </c>
      <c r="D823" s="2">
        <v>35219</v>
      </c>
      <c r="E823" s="2">
        <v>35247</v>
      </c>
      <c r="F823" s="2">
        <v>35221</v>
      </c>
      <c r="G823">
        <v>2</v>
      </c>
      <c r="H823">
        <v>15.67</v>
      </c>
      <c r="I823" s="1" t="s">
        <v>659</v>
      </c>
      <c r="J823" s="1" t="s">
        <v>661</v>
      </c>
      <c r="K823" s="1" t="s">
        <v>46</v>
      </c>
      <c r="L823" s="1" t="s">
        <v>1195</v>
      </c>
      <c r="M823" s="1" t="s">
        <v>498</v>
      </c>
      <c r="N823" s="1" t="s">
        <v>48</v>
      </c>
      <c r="O823" s="1">
        <f>MONTH(orders[[#This Row],[OrderDate]])</f>
        <v>6</v>
      </c>
    </row>
    <row r="824" spans="1:15" x14ac:dyDescent="0.35">
      <c r="A824">
        <v>11070</v>
      </c>
      <c r="B824" s="1" t="s">
        <v>385</v>
      </c>
      <c r="C824">
        <v>2</v>
      </c>
      <c r="D824" s="2">
        <v>35220</v>
      </c>
      <c r="E824" s="2">
        <v>35248</v>
      </c>
      <c r="F824" s="2"/>
      <c r="G824">
        <v>1</v>
      </c>
      <c r="H824">
        <v>136</v>
      </c>
      <c r="I824" s="1" t="s">
        <v>386</v>
      </c>
      <c r="J824" s="1" t="s">
        <v>388</v>
      </c>
      <c r="K824" s="1" t="s">
        <v>1201</v>
      </c>
      <c r="L824" s="1" t="s">
        <v>1195</v>
      </c>
      <c r="M824" s="1" t="s">
        <v>389</v>
      </c>
      <c r="N824" s="1" t="s">
        <v>38</v>
      </c>
      <c r="O824" s="1">
        <f>MONTH(orders[[#This Row],[OrderDate]])</f>
        <v>6</v>
      </c>
    </row>
    <row r="825" spans="1:15" x14ac:dyDescent="0.35">
      <c r="A825">
        <v>11071</v>
      </c>
      <c r="B825" s="1" t="s">
        <v>399</v>
      </c>
      <c r="C825">
        <v>1</v>
      </c>
      <c r="D825" s="2">
        <v>35220</v>
      </c>
      <c r="E825" s="2">
        <v>35248</v>
      </c>
      <c r="F825" s="2"/>
      <c r="G825">
        <v>1</v>
      </c>
      <c r="H825">
        <v>0.93</v>
      </c>
      <c r="I825" s="1" t="s">
        <v>400</v>
      </c>
      <c r="J825" s="1" t="s">
        <v>402</v>
      </c>
      <c r="K825" s="1" t="s">
        <v>403</v>
      </c>
      <c r="L825" s="1" t="s">
        <v>404</v>
      </c>
      <c r="M825" s="1" t="s">
        <v>405</v>
      </c>
      <c r="N825" s="1" t="s">
        <v>301</v>
      </c>
      <c r="O825" s="1">
        <f>MONTH(orders[[#This Row],[OrderDate]])</f>
        <v>6</v>
      </c>
    </row>
    <row r="826" spans="1:15" x14ac:dyDescent="0.35">
      <c r="A826">
        <v>11072</v>
      </c>
      <c r="B826" s="1" t="s">
        <v>192</v>
      </c>
      <c r="C826">
        <v>4</v>
      </c>
      <c r="D826" s="2">
        <v>35220</v>
      </c>
      <c r="E826" s="2">
        <v>35248</v>
      </c>
      <c r="F826" s="2"/>
      <c r="G826">
        <v>2</v>
      </c>
      <c r="H826">
        <v>258.64</v>
      </c>
      <c r="I826" s="1" t="s">
        <v>193</v>
      </c>
      <c r="J826" s="1" t="s">
        <v>196</v>
      </c>
      <c r="K826" s="1" t="s">
        <v>197</v>
      </c>
      <c r="L826" s="1" t="s">
        <v>1195</v>
      </c>
      <c r="M826" s="1" t="s">
        <v>198</v>
      </c>
      <c r="N826" s="1" t="s">
        <v>199</v>
      </c>
      <c r="O826" s="1">
        <f>MONTH(orders[[#This Row],[OrderDate]])</f>
        <v>6</v>
      </c>
    </row>
    <row r="827" spans="1:15" x14ac:dyDescent="0.35">
      <c r="A827">
        <v>11073</v>
      </c>
      <c r="B827" s="1" t="s">
        <v>494</v>
      </c>
      <c r="C827">
        <v>2</v>
      </c>
      <c r="D827" s="2">
        <v>35220</v>
      </c>
      <c r="E827" s="2">
        <v>35248</v>
      </c>
      <c r="F827" s="2"/>
      <c r="G827">
        <v>2</v>
      </c>
      <c r="H827">
        <v>24.95</v>
      </c>
      <c r="I827" s="1" t="s">
        <v>495</v>
      </c>
      <c r="J827" s="1" t="s">
        <v>497</v>
      </c>
      <c r="K827" s="1" t="s">
        <v>46</v>
      </c>
      <c r="L827" s="1" t="s">
        <v>1195</v>
      </c>
      <c r="M827" s="1" t="s">
        <v>498</v>
      </c>
      <c r="N827" s="1" t="s">
        <v>48</v>
      </c>
      <c r="O827" s="1">
        <f>MONTH(orders[[#This Row],[OrderDate]])</f>
        <v>6</v>
      </c>
    </row>
    <row r="828" spans="1:15" x14ac:dyDescent="0.35">
      <c r="A828">
        <v>11074</v>
      </c>
      <c r="B828" s="1" t="s">
        <v>603</v>
      </c>
      <c r="C828">
        <v>7</v>
      </c>
      <c r="D828" s="2">
        <v>35221</v>
      </c>
      <c r="E828" s="2">
        <v>35249</v>
      </c>
      <c r="F828" s="2"/>
      <c r="G828">
        <v>2</v>
      </c>
      <c r="H828">
        <v>18.440000000000001</v>
      </c>
      <c r="I828" s="1" t="s">
        <v>604</v>
      </c>
      <c r="J828" s="1" t="s">
        <v>606</v>
      </c>
      <c r="K828" s="1" t="s">
        <v>607</v>
      </c>
      <c r="L828" s="1" t="s">
        <v>1195</v>
      </c>
      <c r="M828" s="1" t="s">
        <v>608</v>
      </c>
      <c r="N828" s="1" t="s">
        <v>609</v>
      </c>
      <c r="O828" s="1">
        <f>MONTH(orders[[#This Row],[OrderDate]])</f>
        <v>6</v>
      </c>
    </row>
    <row r="829" spans="1:15" x14ac:dyDescent="0.35">
      <c r="A829">
        <v>11075</v>
      </c>
      <c r="B829" s="1" t="s">
        <v>565</v>
      </c>
      <c r="C829">
        <v>8</v>
      </c>
      <c r="D829" s="2">
        <v>35221</v>
      </c>
      <c r="E829" s="2">
        <v>35249</v>
      </c>
      <c r="F829" s="2"/>
      <c r="G829">
        <v>2</v>
      </c>
      <c r="H829">
        <v>6.19</v>
      </c>
      <c r="I829" s="1" t="s">
        <v>566</v>
      </c>
      <c r="J829" s="1" t="s">
        <v>835</v>
      </c>
      <c r="K829" s="1" t="s">
        <v>569</v>
      </c>
      <c r="L829" s="1" t="s">
        <v>1195</v>
      </c>
      <c r="M829" s="1" t="s">
        <v>836</v>
      </c>
      <c r="N829" s="1" t="s">
        <v>151</v>
      </c>
      <c r="O829" s="1">
        <f>MONTH(orders[[#This Row],[OrderDate]])</f>
        <v>6</v>
      </c>
    </row>
    <row r="830" spans="1:15" x14ac:dyDescent="0.35">
      <c r="A830">
        <v>11076</v>
      </c>
      <c r="B830" s="1" t="s">
        <v>103</v>
      </c>
      <c r="C830">
        <v>4</v>
      </c>
      <c r="D830" s="2">
        <v>35221</v>
      </c>
      <c r="E830" s="2">
        <v>35249</v>
      </c>
      <c r="F830" s="2"/>
      <c r="G830">
        <v>2</v>
      </c>
      <c r="H830">
        <v>38.28</v>
      </c>
      <c r="I830" s="1" t="s">
        <v>104</v>
      </c>
      <c r="J830" s="1" t="s">
        <v>106</v>
      </c>
      <c r="K830" s="1" t="s">
        <v>107</v>
      </c>
      <c r="L830" s="1" t="s">
        <v>1195</v>
      </c>
      <c r="M830" s="1" t="s">
        <v>108</v>
      </c>
      <c r="N830" s="1" t="s">
        <v>91</v>
      </c>
      <c r="O830" s="1">
        <f>MONTH(orders[[#This Row],[OrderDate]])</f>
        <v>6</v>
      </c>
    </row>
    <row r="831" spans="1:15" x14ac:dyDescent="0.35">
      <c r="A831">
        <v>11077</v>
      </c>
      <c r="B831" s="1" t="s">
        <v>541</v>
      </c>
      <c r="C831">
        <v>1</v>
      </c>
      <c r="D831" s="2">
        <v>35221</v>
      </c>
      <c r="E831" s="2">
        <v>35249</v>
      </c>
      <c r="F831" s="2"/>
      <c r="G831">
        <v>2</v>
      </c>
      <c r="H831">
        <v>8.5299999999999994</v>
      </c>
      <c r="I831" s="1" t="s">
        <v>542</v>
      </c>
      <c r="J831" s="1" t="s">
        <v>545</v>
      </c>
      <c r="K831" s="1" t="s">
        <v>546</v>
      </c>
      <c r="L831" s="1" t="s">
        <v>547</v>
      </c>
      <c r="M831" s="1" t="s">
        <v>548</v>
      </c>
      <c r="N831" s="1" t="s">
        <v>292</v>
      </c>
      <c r="O831" s="1">
        <f>MONTH(orders[[#This Row],[OrderDate]])</f>
        <v>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99F49F-8849-4B1D-B4E7-675E7D1E3E81}">
  <dimension ref="A1:K78"/>
  <sheetViews>
    <sheetView topLeftCell="C1" workbookViewId="0">
      <selection activeCell="M1" sqref="M1"/>
    </sheetView>
  </sheetViews>
  <sheetFormatPr defaultRowHeight="14.5" x14ac:dyDescent="0.35"/>
  <cols>
    <col min="1" max="1" width="11.54296875" bestFit="1" customWidth="1"/>
    <col min="2" max="2" width="29.90625" bestFit="1" customWidth="1"/>
    <col min="3" max="3" width="11.7265625" bestFit="1" customWidth="1"/>
    <col min="4" max="4" width="12.36328125" bestFit="1" customWidth="1"/>
    <col min="5" max="5" width="17.81640625" bestFit="1" customWidth="1"/>
    <col min="6" max="6" width="10.7265625" bestFit="1" customWidth="1"/>
    <col min="7" max="7" width="13.6328125" bestFit="1" customWidth="1"/>
    <col min="8" max="8" width="14.81640625" bestFit="1" customWidth="1"/>
    <col min="9" max="9" width="14" bestFit="1" customWidth="1"/>
    <col min="10" max="10" width="14.08984375" bestFit="1" customWidth="1"/>
    <col min="11" max="11" width="19.453125" bestFit="1" customWidth="1"/>
  </cols>
  <sheetData>
    <row r="1" spans="1:11" x14ac:dyDescent="0.35">
      <c r="A1" t="s">
        <v>819</v>
      </c>
      <c r="B1" t="s">
        <v>847</v>
      </c>
      <c r="C1" t="s">
        <v>848</v>
      </c>
      <c r="D1" t="s">
        <v>0</v>
      </c>
      <c r="E1" t="s">
        <v>849</v>
      </c>
      <c r="F1" t="s">
        <v>820</v>
      </c>
      <c r="G1" t="s">
        <v>850</v>
      </c>
      <c r="H1" t="s">
        <v>851</v>
      </c>
      <c r="I1" t="s">
        <v>852</v>
      </c>
      <c r="J1" t="s">
        <v>853</v>
      </c>
      <c r="K1" t="s">
        <v>1317</v>
      </c>
    </row>
    <row r="2" spans="1:11" x14ac:dyDescent="0.35">
      <c r="A2">
        <v>1</v>
      </c>
      <c r="B2" s="1" t="s">
        <v>854</v>
      </c>
      <c r="C2">
        <v>1</v>
      </c>
      <c r="D2">
        <v>1</v>
      </c>
      <c r="E2" s="1" t="s">
        <v>855</v>
      </c>
      <c r="F2">
        <v>18</v>
      </c>
      <c r="G2">
        <v>39</v>
      </c>
      <c r="H2">
        <v>0</v>
      </c>
      <c r="I2">
        <v>10</v>
      </c>
      <c r="J2">
        <v>0</v>
      </c>
      <c r="K2">
        <f>SUMIFS(order_details[Order Value], order_details[ProductID], A2)</f>
        <v>12788.1</v>
      </c>
    </row>
    <row r="3" spans="1:11" x14ac:dyDescent="0.35">
      <c r="A3">
        <v>2</v>
      </c>
      <c r="B3" s="1" t="s">
        <v>856</v>
      </c>
      <c r="C3">
        <v>1</v>
      </c>
      <c r="D3">
        <v>1</v>
      </c>
      <c r="E3" s="1" t="s">
        <v>857</v>
      </c>
      <c r="F3">
        <v>19</v>
      </c>
      <c r="G3">
        <v>17</v>
      </c>
      <c r="H3">
        <v>40</v>
      </c>
      <c r="I3">
        <v>25</v>
      </c>
      <c r="J3">
        <v>0</v>
      </c>
      <c r="K3">
        <f>SUMIFS(order_details[Order Value], order_details[ProductID], A3)</f>
        <v>16355.96</v>
      </c>
    </row>
    <row r="4" spans="1:11" x14ac:dyDescent="0.35">
      <c r="A4">
        <v>3</v>
      </c>
      <c r="B4" s="1" t="s">
        <v>858</v>
      </c>
      <c r="C4">
        <v>1</v>
      </c>
      <c r="D4">
        <v>2</v>
      </c>
      <c r="E4" s="1" t="s">
        <v>859</v>
      </c>
      <c r="F4">
        <v>10</v>
      </c>
      <c r="G4">
        <v>13</v>
      </c>
      <c r="H4">
        <v>70</v>
      </c>
      <c r="I4">
        <v>25</v>
      </c>
      <c r="J4">
        <v>0</v>
      </c>
      <c r="K4">
        <f>SUMIFS(order_details[Order Value], order_details[ProductID], A4)</f>
        <v>3044</v>
      </c>
    </row>
    <row r="5" spans="1:11" x14ac:dyDescent="0.35">
      <c r="A5">
        <v>4</v>
      </c>
      <c r="B5" s="1" t="s">
        <v>860</v>
      </c>
      <c r="C5">
        <v>2</v>
      </c>
      <c r="D5">
        <v>2</v>
      </c>
      <c r="E5" s="1" t="s">
        <v>861</v>
      </c>
      <c r="F5">
        <v>22</v>
      </c>
      <c r="G5">
        <v>53</v>
      </c>
      <c r="H5">
        <v>0</v>
      </c>
      <c r="I5">
        <v>0</v>
      </c>
      <c r="J5">
        <v>0</v>
      </c>
      <c r="K5">
        <f>SUMIFS(order_details[Order Value], order_details[ProductID], A5)</f>
        <v>8567.9000000000015</v>
      </c>
    </row>
    <row r="6" spans="1:11" x14ac:dyDescent="0.35">
      <c r="A6">
        <v>5</v>
      </c>
      <c r="B6" s="1" t="s">
        <v>862</v>
      </c>
      <c r="C6">
        <v>2</v>
      </c>
      <c r="D6">
        <v>2</v>
      </c>
      <c r="E6" s="1" t="s">
        <v>863</v>
      </c>
      <c r="F6">
        <v>21.35</v>
      </c>
      <c r="G6">
        <v>0</v>
      </c>
      <c r="H6">
        <v>0</v>
      </c>
      <c r="I6">
        <v>0</v>
      </c>
      <c r="J6">
        <v>1</v>
      </c>
      <c r="K6">
        <f>SUMIFS(order_details[Order Value], order_details[ProductID], A6)</f>
        <v>5347.2000000000007</v>
      </c>
    </row>
    <row r="7" spans="1:11" x14ac:dyDescent="0.35">
      <c r="A7">
        <v>6</v>
      </c>
      <c r="B7" s="1" t="s">
        <v>864</v>
      </c>
      <c r="C7">
        <v>3</v>
      </c>
      <c r="D7">
        <v>2</v>
      </c>
      <c r="E7" s="1" t="s">
        <v>865</v>
      </c>
      <c r="F7">
        <v>25</v>
      </c>
      <c r="G7">
        <v>120</v>
      </c>
      <c r="H7">
        <v>0</v>
      </c>
      <c r="I7">
        <v>25</v>
      </c>
      <c r="J7">
        <v>0</v>
      </c>
      <c r="K7">
        <f>SUMIFS(order_details[Order Value], order_details[ProductID], A7)</f>
        <v>7137</v>
      </c>
    </row>
    <row r="8" spans="1:11" x14ac:dyDescent="0.35">
      <c r="A8">
        <v>7</v>
      </c>
      <c r="B8" s="1" t="s">
        <v>866</v>
      </c>
      <c r="C8">
        <v>3</v>
      </c>
      <c r="D8">
        <v>7</v>
      </c>
      <c r="E8" s="1" t="s">
        <v>867</v>
      </c>
      <c r="F8">
        <v>30</v>
      </c>
      <c r="G8">
        <v>15</v>
      </c>
      <c r="H8">
        <v>0</v>
      </c>
      <c r="I8">
        <v>10</v>
      </c>
      <c r="J8">
        <v>0</v>
      </c>
      <c r="K8">
        <f>SUMIFS(order_details[Order Value], order_details[ProductID], A8)</f>
        <v>22044.3</v>
      </c>
    </row>
    <row r="9" spans="1:11" x14ac:dyDescent="0.35">
      <c r="A9">
        <v>8</v>
      </c>
      <c r="B9" s="1" t="s">
        <v>868</v>
      </c>
      <c r="C9">
        <v>3</v>
      </c>
      <c r="D9">
        <v>2</v>
      </c>
      <c r="E9" s="1" t="s">
        <v>869</v>
      </c>
      <c r="F9">
        <v>40</v>
      </c>
      <c r="G9">
        <v>6</v>
      </c>
      <c r="H9">
        <v>0</v>
      </c>
      <c r="I9">
        <v>0</v>
      </c>
      <c r="J9">
        <v>0</v>
      </c>
      <c r="K9">
        <f>SUMIFS(order_details[Order Value], order_details[ProductID], A9)</f>
        <v>12772</v>
      </c>
    </row>
    <row r="10" spans="1:11" x14ac:dyDescent="0.35">
      <c r="A10">
        <v>9</v>
      </c>
      <c r="B10" s="1" t="s">
        <v>870</v>
      </c>
      <c r="C10">
        <v>4</v>
      </c>
      <c r="D10">
        <v>6</v>
      </c>
      <c r="E10" s="1" t="s">
        <v>871</v>
      </c>
      <c r="F10">
        <v>97</v>
      </c>
      <c r="G10">
        <v>29</v>
      </c>
      <c r="H10">
        <v>0</v>
      </c>
      <c r="I10">
        <v>0</v>
      </c>
      <c r="J10">
        <v>1</v>
      </c>
      <c r="K10">
        <f>SUMIFS(order_details[Order Value], order_details[ProductID], A10)</f>
        <v>7226.5</v>
      </c>
    </row>
    <row r="11" spans="1:11" x14ac:dyDescent="0.35">
      <c r="A11">
        <v>10</v>
      </c>
      <c r="B11" s="1" t="s">
        <v>872</v>
      </c>
      <c r="C11">
        <v>4</v>
      </c>
      <c r="D11">
        <v>8</v>
      </c>
      <c r="E11" s="1" t="s">
        <v>873</v>
      </c>
      <c r="F11">
        <v>31</v>
      </c>
      <c r="G11">
        <v>31</v>
      </c>
      <c r="H11">
        <v>0</v>
      </c>
      <c r="I11">
        <v>0</v>
      </c>
      <c r="J11">
        <v>0</v>
      </c>
      <c r="K11">
        <f>SUMIFS(order_details[Order Value], order_details[ProductID], A11)</f>
        <v>20867.340000000004</v>
      </c>
    </row>
    <row r="12" spans="1:11" x14ac:dyDescent="0.35">
      <c r="A12">
        <v>11</v>
      </c>
      <c r="B12" s="1" t="s">
        <v>874</v>
      </c>
      <c r="C12">
        <v>5</v>
      </c>
      <c r="D12">
        <v>4</v>
      </c>
      <c r="E12" s="1" t="s">
        <v>875</v>
      </c>
      <c r="F12">
        <v>21</v>
      </c>
      <c r="G12">
        <v>22</v>
      </c>
      <c r="H12">
        <v>30</v>
      </c>
      <c r="I12">
        <v>30</v>
      </c>
      <c r="J12">
        <v>0</v>
      </c>
      <c r="K12">
        <f>SUMIFS(order_details[Order Value], order_details[ProductID], A12)</f>
        <v>12901.77</v>
      </c>
    </row>
    <row r="13" spans="1:11" x14ac:dyDescent="0.35">
      <c r="A13">
        <v>12</v>
      </c>
      <c r="B13" s="1" t="s">
        <v>876</v>
      </c>
      <c r="C13">
        <v>5</v>
      </c>
      <c r="D13">
        <v>4</v>
      </c>
      <c r="E13" s="1" t="s">
        <v>877</v>
      </c>
      <c r="F13">
        <v>38</v>
      </c>
      <c r="G13">
        <v>86</v>
      </c>
      <c r="H13">
        <v>0</v>
      </c>
      <c r="I13">
        <v>0</v>
      </c>
      <c r="J13">
        <v>0</v>
      </c>
      <c r="K13">
        <f>SUMIFS(order_details[Order Value], order_details[ProductID], A13)</f>
        <v>12257.660000000002</v>
      </c>
    </row>
    <row r="14" spans="1:11" x14ac:dyDescent="0.35">
      <c r="A14">
        <v>13</v>
      </c>
      <c r="B14" s="1" t="s">
        <v>878</v>
      </c>
      <c r="C14">
        <v>6</v>
      </c>
      <c r="D14">
        <v>8</v>
      </c>
      <c r="E14" s="1" t="s">
        <v>879</v>
      </c>
      <c r="F14">
        <v>6</v>
      </c>
      <c r="G14">
        <v>24</v>
      </c>
      <c r="H14">
        <v>0</v>
      </c>
      <c r="I14">
        <v>5</v>
      </c>
      <c r="J14">
        <v>0</v>
      </c>
      <c r="K14">
        <f>SUMIFS(order_details[Order Value], order_details[ProductID], A14)</f>
        <v>4960.4400000000005</v>
      </c>
    </row>
    <row r="15" spans="1:11" x14ac:dyDescent="0.35">
      <c r="A15">
        <v>14</v>
      </c>
      <c r="B15" s="1" t="s">
        <v>880</v>
      </c>
      <c r="C15">
        <v>6</v>
      </c>
      <c r="D15">
        <v>7</v>
      </c>
      <c r="E15" s="1" t="s">
        <v>881</v>
      </c>
      <c r="F15">
        <v>23.25</v>
      </c>
      <c r="G15">
        <v>35</v>
      </c>
      <c r="H15">
        <v>0</v>
      </c>
      <c r="I15">
        <v>0</v>
      </c>
      <c r="J15">
        <v>0</v>
      </c>
      <c r="K15">
        <f>SUMIFS(order_details[Order Value], order_details[ProductID], A15)</f>
        <v>7991.4899999999989</v>
      </c>
    </row>
    <row r="16" spans="1:11" x14ac:dyDescent="0.35">
      <c r="A16">
        <v>15</v>
      </c>
      <c r="B16" s="1" t="s">
        <v>882</v>
      </c>
      <c r="C16">
        <v>6</v>
      </c>
      <c r="D16">
        <v>2</v>
      </c>
      <c r="E16" s="1" t="s">
        <v>883</v>
      </c>
      <c r="F16">
        <v>15.5</v>
      </c>
      <c r="G16">
        <v>39</v>
      </c>
      <c r="H16">
        <v>0</v>
      </c>
      <c r="I16">
        <v>5</v>
      </c>
      <c r="J16">
        <v>0</v>
      </c>
      <c r="K16">
        <f>SUMIFS(order_details[Order Value], order_details[ProductID], A16)</f>
        <v>1784.825</v>
      </c>
    </row>
    <row r="17" spans="1:11" x14ac:dyDescent="0.35">
      <c r="A17">
        <v>16</v>
      </c>
      <c r="B17" s="1" t="s">
        <v>884</v>
      </c>
      <c r="C17">
        <v>7</v>
      </c>
      <c r="D17">
        <v>3</v>
      </c>
      <c r="E17" s="1" t="s">
        <v>885</v>
      </c>
      <c r="F17">
        <v>17.45</v>
      </c>
      <c r="G17">
        <v>29</v>
      </c>
      <c r="H17">
        <v>0</v>
      </c>
      <c r="I17">
        <v>10</v>
      </c>
      <c r="J17">
        <v>0</v>
      </c>
      <c r="K17">
        <f>SUMIFS(order_details[Order Value], order_details[ProductID], A17)</f>
        <v>17215.775499999996</v>
      </c>
    </row>
    <row r="18" spans="1:11" x14ac:dyDescent="0.35">
      <c r="A18">
        <v>17</v>
      </c>
      <c r="B18" s="1" t="s">
        <v>886</v>
      </c>
      <c r="C18">
        <v>7</v>
      </c>
      <c r="D18">
        <v>6</v>
      </c>
      <c r="E18" s="1" t="s">
        <v>887</v>
      </c>
      <c r="F18">
        <v>39</v>
      </c>
      <c r="G18">
        <v>0</v>
      </c>
      <c r="H18">
        <v>0</v>
      </c>
      <c r="I18">
        <v>0</v>
      </c>
      <c r="J18">
        <v>1</v>
      </c>
      <c r="K18">
        <f>SUMIFS(order_details[Order Value], order_details[ProductID], A18)</f>
        <v>32698.379999999997</v>
      </c>
    </row>
    <row r="19" spans="1:11" x14ac:dyDescent="0.35">
      <c r="A19">
        <v>18</v>
      </c>
      <c r="B19" s="1" t="s">
        <v>888</v>
      </c>
      <c r="C19">
        <v>7</v>
      </c>
      <c r="D19">
        <v>8</v>
      </c>
      <c r="E19" s="1" t="s">
        <v>889</v>
      </c>
      <c r="F19">
        <v>62.5</v>
      </c>
      <c r="G19">
        <v>42</v>
      </c>
      <c r="H19">
        <v>0</v>
      </c>
      <c r="I19">
        <v>0</v>
      </c>
      <c r="J19">
        <v>0</v>
      </c>
      <c r="K19">
        <f>SUMIFS(order_details[Order Value], order_details[ProductID], A19)</f>
        <v>29171.875</v>
      </c>
    </row>
    <row r="20" spans="1:11" x14ac:dyDescent="0.35">
      <c r="A20">
        <v>19</v>
      </c>
      <c r="B20" s="1" t="s">
        <v>890</v>
      </c>
      <c r="C20">
        <v>8</v>
      </c>
      <c r="D20">
        <v>3</v>
      </c>
      <c r="E20" s="1" t="s">
        <v>891</v>
      </c>
      <c r="F20">
        <v>9.1999999999999993</v>
      </c>
      <c r="G20">
        <v>25</v>
      </c>
      <c r="H20">
        <v>0</v>
      </c>
      <c r="I20">
        <v>5</v>
      </c>
      <c r="J20">
        <v>0</v>
      </c>
      <c r="K20">
        <f>SUMIFS(order_details[Order Value], order_details[ProductID], A20)</f>
        <v>5862.6199999999981</v>
      </c>
    </row>
    <row r="21" spans="1:11" x14ac:dyDescent="0.35">
      <c r="A21">
        <v>20</v>
      </c>
      <c r="B21" s="1" t="s">
        <v>892</v>
      </c>
      <c r="C21">
        <v>8</v>
      </c>
      <c r="D21">
        <v>3</v>
      </c>
      <c r="E21" s="1" t="s">
        <v>893</v>
      </c>
      <c r="F21">
        <v>81</v>
      </c>
      <c r="G21">
        <v>40</v>
      </c>
      <c r="H21">
        <v>0</v>
      </c>
      <c r="I21">
        <v>0</v>
      </c>
      <c r="J21">
        <v>0</v>
      </c>
      <c r="K21">
        <f>SUMIFS(order_details[Order Value], order_details[ProductID], A21)</f>
        <v>22563.359999999997</v>
      </c>
    </row>
    <row r="22" spans="1:11" x14ac:dyDescent="0.35">
      <c r="A22">
        <v>21</v>
      </c>
      <c r="B22" s="1" t="s">
        <v>894</v>
      </c>
      <c r="C22">
        <v>8</v>
      </c>
      <c r="D22">
        <v>3</v>
      </c>
      <c r="E22" s="1" t="s">
        <v>895</v>
      </c>
      <c r="F22">
        <v>10</v>
      </c>
      <c r="G22">
        <v>3</v>
      </c>
      <c r="H22">
        <v>40</v>
      </c>
      <c r="I22">
        <v>5</v>
      </c>
      <c r="J22">
        <v>0</v>
      </c>
      <c r="K22">
        <f>SUMIFS(order_details[Order Value], order_details[ProductID], A22)</f>
        <v>9104</v>
      </c>
    </row>
    <row r="23" spans="1:11" x14ac:dyDescent="0.35">
      <c r="A23">
        <v>22</v>
      </c>
      <c r="B23" s="1" t="s">
        <v>896</v>
      </c>
      <c r="C23">
        <v>9</v>
      </c>
      <c r="D23">
        <v>5</v>
      </c>
      <c r="E23" s="1" t="s">
        <v>897</v>
      </c>
      <c r="F23">
        <v>21</v>
      </c>
      <c r="G23">
        <v>104</v>
      </c>
      <c r="H23">
        <v>0</v>
      </c>
      <c r="I23">
        <v>25</v>
      </c>
      <c r="J23">
        <v>0</v>
      </c>
      <c r="K23">
        <f>SUMIFS(order_details[Order Value], order_details[ProductID], A23)</f>
        <v>7122.3600000000006</v>
      </c>
    </row>
    <row r="24" spans="1:11" x14ac:dyDescent="0.35">
      <c r="A24">
        <v>23</v>
      </c>
      <c r="B24" s="1" t="s">
        <v>898</v>
      </c>
      <c r="C24">
        <v>9</v>
      </c>
      <c r="D24">
        <v>5</v>
      </c>
      <c r="E24" s="1" t="s">
        <v>899</v>
      </c>
      <c r="F24">
        <v>9</v>
      </c>
      <c r="G24">
        <v>61</v>
      </c>
      <c r="H24">
        <v>0</v>
      </c>
      <c r="I24">
        <v>25</v>
      </c>
      <c r="J24">
        <v>0</v>
      </c>
      <c r="K24">
        <f>SUMIFS(order_details[Order Value], order_details[ProductID], A24)</f>
        <v>4601.7</v>
      </c>
    </row>
    <row r="25" spans="1:11" x14ac:dyDescent="0.35">
      <c r="A25">
        <v>24</v>
      </c>
      <c r="B25" s="1" t="s">
        <v>900</v>
      </c>
      <c r="C25">
        <v>10</v>
      </c>
      <c r="D25">
        <v>1</v>
      </c>
      <c r="E25" s="1" t="s">
        <v>901</v>
      </c>
      <c r="F25">
        <v>4.5</v>
      </c>
      <c r="G25">
        <v>20</v>
      </c>
      <c r="H25">
        <v>0</v>
      </c>
      <c r="I25">
        <v>0</v>
      </c>
      <c r="J25">
        <v>1</v>
      </c>
      <c r="K25">
        <f>SUMIFS(order_details[Order Value], order_details[ProductID], A25)</f>
        <v>4504.3649999999998</v>
      </c>
    </row>
    <row r="26" spans="1:11" x14ac:dyDescent="0.35">
      <c r="A26">
        <v>25</v>
      </c>
      <c r="B26" s="1" t="s">
        <v>902</v>
      </c>
      <c r="C26">
        <v>11</v>
      </c>
      <c r="D26">
        <v>3</v>
      </c>
      <c r="E26" s="1" t="s">
        <v>903</v>
      </c>
      <c r="F26">
        <v>14</v>
      </c>
      <c r="G26">
        <v>76</v>
      </c>
      <c r="H26">
        <v>0</v>
      </c>
      <c r="I26">
        <v>30</v>
      </c>
      <c r="J26">
        <v>0</v>
      </c>
      <c r="K26">
        <f>SUMIFS(order_details[Order Value], order_details[ProductID], A26)</f>
        <v>3704.3999999999996</v>
      </c>
    </row>
    <row r="27" spans="1:11" x14ac:dyDescent="0.35">
      <c r="A27">
        <v>26</v>
      </c>
      <c r="B27" s="1" t="s">
        <v>904</v>
      </c>
      <c r="C27">
        <v>11</v>
      </c>
      <c r="D27">
        <v>3</v>
      </c>
      <c r="E27" s="1" t="s">
        <v>905</v>
      </c>
      <c r="F27">
        <v>31.23</v>
      </c>
      <c r="G27">
        <v>15</v>
      </c>
      <c r="H27">
        <v>0</v>
      </c>
      <c r="I27">
        <v>0</v>
      </c>
      <c r="J27">
        <v>0</v>
      </c>
      <c r="K27">
        <f>SUMIFS(order_details[Order Value], order_details[ProductID], A27)</f>
        <v>19849.144500000002</v>
      </c>
    </row>
    <row r="28" spans="1:11" x14ac:dyDescent="0.35">
      <c r="A28">
        <v>27</v>
      </c>
      <c r="B28" s="1" t="s">
        <v>906</v>
      </c>
      <c r="C28">
        <v>11</v>
      </c>
      <c r="D28">
        <v>3</v>
      </c>
      <c r="E28" s="1" t="s">
        <v>907</v>
      </c>
      <c r="F28">
        <v>43.9</v>
      </c>
      <c r="G28">
        <v>49</v>
      </c>
      <c r="H28">
        <v>0</v>
      </c>
      <c r="I28">
        <v>30</v>
      </c>
      <c r="J28">
        <v>0</v>
      </c>
      <c r="K28">
        <f>SUMIFS(order_details[Order Value], order_details[ProductID], A28)</f>
        <v>15099.875</v>
      </c>
    </row>
    <row r="29" spans="1:11" x14ac:dyDescent="0.35">
      <c r="A29">
        <v>28</v>
      </c>
      <c r="B29" s="1" t="s">
        <v>908</v>
      </c>
      <c r="C29">
        <v>12</v>
      </c>
      <c r="D29">
        <v>7</v>
      </c>
      <c r="E29" s="1" t="s">
        <v>909</v>
      </c>
      <c r="F29">
        <v>45.6</v>
      </c>
      <c r="G29">
        <v>26</v>
      </c>
      <c r="H29">
        <v>0</v>
      </c>
      <c r="I29">
        <v>0</v>
      </c>
      <c r="J29">
        <v>1</v>
      </c>
      <c r="K29">
        <f>SUMIFS(order_details[Order Value], order_details[ProductID], A29)</f>
        <v>25696.640000000007</v>
      </c>
    </row>
    <row r="30" spans="1:11" x14ac:dyDescent="0.35">
      <c r="A30">
        <v>29</v>
      </c>
      <c r="B30" s="1" t="s">
        <v>910</v>
      </c>
      <c r="C30">
        <v>12</v>
      </c>
      <c r="D30">
        <v>6</v>
      </c>
      <c r="E30" s="1" t="s">
        <v>911</v>
      </c>
      <c r="F30">
        <v>123.79</v>
      </c>
      <c r="G30">
        <v>0</v>
      </c>
      <c r="H30">
        <v>0</v>
      </c>
      <c r="I30">
        <v>0</v>
      </c>
      <c r="J30">
        <v>1</v>
      </c>
      <c r="K30">
        <f>SUMIFS(order_details[Order Value], order_details[ProductID], A30)</f>
        <v>80368.672000000006</v>
      </c>
    </row>
    <row r="31" spans="1:11" x14ac:dyDescent="0.35">
      <c r="A31">
        <v>30</v>
      </c>
      <c r="B31" s="1" t="s">
        <v>912</v>
      </c>
      <c r="C31">
        <v>13</v>
      </c>
      <c r="D31">
        <v>8</v>
      </c>
      <c r="E31" s="1" t="s">
        <v>913</v>
      </c>
      <c r="F31">
        <v>25.89</v>
      </c>
      <c r="G31">
        <v>10</v>
      </c>
      <c r="H31">
        <v>0</v>
      </c>
      <c r="I31">
        <v>15</v>
      </c>
      <c r="J31">
        <v>0</v>
      </c>
      <c r="K31">
        <f>SUMIFS(order_details[Order Value], order_details[ProductID], A31)</f>
        <v>13424.197500000002</v>
      </c>
    </row>
    <row r="32" spans="1:11" x14ac:dyDescent="0.35">
      <c r="A32">
        <v>31</v>
      </c>
      <c r="B32" s="1" t="s">
        <v>914</v>
      </c>
      <c r="C32">
        <v>14</v>
      </c>
      <c r="D32">
        <v>4</v>
      </c>
      <c r="E32" s="1" t="s">
        <v>915</v>
      </c>
      <c r="F32">
        <v>12.5</v>
      </c>
      <c r="G32">
        <v>0</v>
      </c>
      <c r="H32">
        <v>70</v>
      </c>
      <c r="I32">
        <v>20</v>
      </c>
      <c r="J32">
        <v>0</v>
      </c>
      <c r="K32">
        <f>SUMIFS(order_details[Order Value], order_details[ProductID], A32)</f>
        <v>14920.875</v>
      </c>
    </row>
    <row r="33" spans="1:11" x14ac:dyDescent="0.35">
      <c r="A33">
        <v>32</v>
      </c>
      <c r="B33" s="1" t="s">
        <v>916</v>
      </c>
      <c r="C33">
        <v>14</v>
      </c>
      <c r="D33">
        <v>4</v>
      </c>
      <c r="E33" s="1" t="s">
        <v>917</v>
      </c>
      <c r="F33">
        <v>32</v>
      </c>
      <c r="G33">
        <v>9</v>
      </c>
      <c r="H33">
        <v>40</v>
      </c>
      <c r="I33">
        <v>25</v>
      </c>
      <c r="J33">
        <v>0</v>
      </c>
      <c r="K33">
        <f>SUMIFS(order_details[Order Value], order_details[ProductID], A33)</f>
        <v>8404.16</v>
      </c>
    </row>
    <row r="34" spans="1:11" x14ac:dyDescent="0.35">
      <c r="A34">
        <v>33</v>
      </c>
      <c r="B34" s="1" t="s">
        <v>918</v>
      </c>
      <c r="C34">
        <v>15</v>
      </c>
      <c r="D34">
        <v>4</v>
      </c>
      <c r="E34" s="1" t="s">
        <v>919</v>
      </c>
      <c r="F34">
        <v>2.5</v>
      </c>
      <c r="G34">
        <v>112</v>
      </c>
      <c r="H34">
        <v>0</v>
      </c>
      <c r="I34">
        <v>20</v>
      </c>
      <c r="J34">
        <v>0</v>
      </c>
      <c r="K34">
        <f>SUMIFS(order_details[Order Value], order_details[ProductID], A34)</f>
        <v>1648.125</v>
      </c>
    </row>
    <row r="35" spans="1:11" x14ac:dyDescent="0.35">
      <c r="A35">
        <v>34</v>
      </c>
      <c r="B35" s="1" t="s">
        <v>920</v>
      </c>
      <c r="C35">
        <v>16</v>
      </c>
      <c r="D35">
        <v>1</v>
      </c>
      <c r="E35" s="1" t="s">
        <v>857</v>
      </c>
      <c r="F35">
        <v>14</v>
      </c>
      <c r="G35">
        <v>111</v>
      </c>
      <c r="H35">
        <v>0</v>
      </c>
      <c r="I35">
        <v>15</v>
      </c>
      <c r="J35">
        <v>0</v>
      </c>
      <c r="K35">
        <f>SUMIFS(order_details[Order Value], order_details[ProductID], A35)</f>
        <v>6350.4</v>
      </c>
    </row>
    <row r="36" spans="1:11" x14ac:dyDescent="0.35">
      <c r="A36">
        <v>35</v>
      </c>
      <c r="B36" s="1" t="s">
        <v>921</v>
      </c>
      <c r="C36">
        <v>16</v>
      </c>
      <c r="D36">
        <v>1</v>
      </c>
      <c r="E36" s="1" t="s">
        <v>857</v>
      </c>
      <c r="F36">
        <v>18</v>
      </c>
      <c r="G36">
        <v>20</v>
      </c>
      <c r="H36">
        <v>0</v>
      </c>
      <c r="I36">
        <v>15</v>
      </c>
      <c r="J36">
        <v>0</v>
      </c>
      <c r="K36">
        <f>SUMIFS(order_details[Order Value], order_details[ProductID], A36)</f>
        <v>13643.999999999998</v>
      </c>
    </row>
    <row r="37" spans="1:11" x14ac:dyDescent="0.35">
      <c r="A37">
        <v>36</v>
      </c>
      <c r="B37" s="1" t="s">
        <v>922</v>
      </c>
      <c r="C37">
        <v>17</v>
      </c>
      <c r="D37">
        <v>8</v>
      </c>
      <c r="E37" s="1" t="s">
        <v>923</v>
      </c>
      <c r="F37">
        <v>19</v>
      </c>
      <c r="G37">
        <v>112</v>
      </c>
      <c r="H37">
        <v>0</v>
      </c>
      <c r="I37">
        <v>20</v>
      </c>
      <c r="J37">
        <v>0</v>
      </c>
      <c r="K37">
        <f>SUMIFS(order_details[Order Value], order_details[ProductID], A37)</f>
        <v>13458.460000000001</v>
      </c>
    </row>
    <row r="38" spans="1:11" x14ac:dyDescent="0.35">
      <c r="A38">
        <v>37</v>
      </c>
      <c r="B38" s="1" t="s">
        <v>924</v>
      </c>
      <c r="C38">
        <v>17</v>
      </c>
      <c r="D38">
        <v>8</v>
      </c>
      <c r="E38" s="1" t="s">
        <v>925</v>
      </c>
      <c r="F38">
        <v>26</v>
      </c>
      <c r="G38">
        <v>11</v>
      </c>
      <c r="H38">
        <v>50</v>
      </c>
      <c r="I38">
        <v>25</v>
      </c>
      <c r="J38">
        <v>0</v>
      </c>
      <c r="K38">
        <f>SUMIFS(order_details[Order Value], order_details[ProductID], A38)</f>
        <v>2688.3999999999996</v>
      </c>
    </row>
    <row r="39" spans="1:11" x14ac:dyDescent="0.35">
      <c r="A39">
        <v>38</v>
      </c>
      <c r="B39" s="1" t="s">
        <v>926</v>
      </c>
      <c r="C39">
        <v>18</v>
      </c>
      <c r="D39">
        <v>1</v>
      </c>
      <c r="E39" s="1" t="s">
        <v>927</v>
      </c>
      <c r="F39">
        <v>263.5</v>
      </c>
      <c r="G39">
        <v>17</v>
      </c>
      <c r="H39">
        <v>0</v>
      </c>
      <c r="I39">
        <v>15</v>
      </c>
      <c r="J39">
        <v>0</v>
      </c>
      <c r="K39">
        <f>SUMIFS(order_details[Order Value], order_details[ProductID], A39)</f>
        <v>141396.73499999999</v>
      </c>
    </row>
    <row r="40" spans="1:11" x14ac:dyDescent="0.35">
      <c r="A40">
        <v>39</v>
      </c>
      <c r="B40" s="1" t="s">
        <v>928</v>
      </c>
      <c r="C40">
        <v>18</v>
      </c>
      <c r="D40">
        <v>1</v>
      </c>
      <c r="E40" s="1" t="s">
        <v>929</v>
      </c>
      <c r="F40">
        <v>18</v>
      </c>
      <c r="G40">
        <v>69</v>
      </c>
      <c r="H40">
        <v>0</v>
      </c>
      <c r="I40">
        <v>5</v>
      </c>
      <c r="J40">
        <v>0</v>
      </c>
      <c r="K40">
        <f>SUMIFS(order_details[Order Value], order_details[ProductID], A40)</f>
        <v>12294.54</v>
      </c>
    </row>
    <row r="41" spans="1:11" x14ac:dyDescent="0.35">
      <c r="A41">
        <v>40</v>
      </c>
      <c r="B41" s="1" t="s">
        <v>930</v>
      </c>
      <c r="C41">
        <v>19</v>
      </c>
      <c r="D41">
        <v>8</v>
      </c>
      <c r="E41" s="1" t="s">
        <v>931</v>
      </c>
      <c r="F41">
        <v>18.399999999999999</v>
      </c>
      <c r="G41">
        <v>123</v>
      </c>
      <c r="H41">
        <v>0</v>
      </c>
      <c r="I41">
        <v>30</v>
      </c>
      <c r="J41">
        <v>0</v>
      </c>
      <c r="K41">
        <f>SUMIFS(order_details[Order Value], order_details[ProductID], A41)</f>
        <v>17910.63</v>
      </c>
    </row>
    <row r="42" spans="1:11" x14ac:dyDescent="0.35">
      <c r="A42">
        <v>41</v>
      </c>
      <c r="B42" s="1" t="s">
        <v>932</v>
      </c>
      <c r="C42">
        <v>19</v>
      </c>
      <c r="D42">
        <v>8</v>
      </c>
      <c r="E42" s="1" t="s">
        <v>933</v>
      </c>
      <c r="F42">
        <v>9.65</v>
      </c>
      <c r="G42">
        <v>85</v>
      </c>
      <c r="H42">
        <v>0</v>
      </c>
      <c r="I42">
        <v>10</v>
      </c>
      <c r="J42">
        <v>0</v>
      </c>
      <c r="K42">
        <f>SUMIFS(order_details[Order Value], order_details[ProductID], A42)</f>
        <v>8680.3450000000048</v>
      </c>
    </row>
    <row r="43" spans="1:11" x14ac:dyDescent="0.35">
      <c r="A43">
        <v>42</v>
      </c>
      <c r="B43" s="1" t="s">
        <v>934</v>
      </c>
      <c r="C43">
        <v>20</v>
      </c>
      <c r="D43">
        <v>5</v>
      </c>
      <c r="E43" s="1" t="s">
        <v>935</v>
      </c>
      <c r="F43">
        <v>14</v>
      </c>
      <c r="G43">
        <v>26</v>
      </c>
      <c r="H43">
        <v>0</v>
      </c>
      <c r="I43">
        <v>0</v>
      </c>
      <c r="J43">
        <v>1</v>
      </c>
      <c r="K43">
        <f>SUMIFS(order_details[Order Value], order_details[ProductID], A43)</f>
        <v>8575</v>
      </c>
    </row>
    <row r="44" spans="1:11" x14ac:dyDescent="0.35">
      <c r="A44">
        <v>43</v>
      </c>
      <c r="B44" s="1" t="s">
        <v>936</v>
      </c>
      <c r="C44">
        <v>20</v>
      </c>
      <c r="D44">
        <v>1</v>
      </c>
      <c r="E44" s="1" t="s">
        <v>937</v>
      </c>
      <c r="F44">
        <v>46</v>
      </c>
      <c r="G44">
        <v>17</v>
      </c>
      <c r="H44">
        <v>10</v>
      </c>
      <c r="I44">
        <v>25</v>
      </c>
      <c r="J44">
        <v>0</v>
      </c>
      <c r="K44">
        <f>SUMIFS(order_details[Order Value], order_details[ProductID], A44)</f>
        <v>23526.699999999997</v>
      </c>
    </row>
    <row r="45" spans="1:11" x14ac:dyDescent="0.35">
      <c r="A45">
        <v>44</v>
      </c>
      <c r="B45" s="1" t="s">
        <v>938</v>
      </c>
      <c r="C45">
        <v>20</v>
      </c>
      <c r="D45">
        <v>2</v>
      </c>
      <c r="E45" s="1" t="s">
        <v>939</v>
      </c>
      <c r="F45">
        <v>19.45</v>
      </c>
      <c r="G45">
        <v>27</v>
      </c>
      <c r="H45">
        <v>0</v>
      </c>
      <c r="I45">
        <v>15</v>
      </c>
      <c r="J45">
        <v>0</v>
      </c>
      <c r="K45">
        <f>SUMIFS(order_details[Order Value], order_details[ProductID], A45)</f>
        <v>9915.9450000000015</v>
      </c>
    </row>
    <row r="46" spans="1:11" x14ac:dyDescent="0.35">
      <c r="A46">
        <v>45</v>
      </c>
      <c r="B46" s="1" t="s">
        <v>940</v>
      </c>
      <c r="C46">
        <v>21</v>
      </c>
      <c r="D46">
        <v>8</v>
      </c>
      <c r="E46" s="1" t="s">
        <v>941</v>
      </c>
      <c r="F46">
        <v>9.5</v>
      </c>
      <c r="G46">
        <v>5</v>
      </c>
      <c r="H46">
        <v>70</v>
      </c>
      <c r="I46">
        <v>15</v>
      </c>
      <c r="J46">
        <v>0</v>
      </c>
      <c r="K46">
        <f>SUMIFS(order_details[Order Value], order_details[ProductID], A46)</f>
        <v>4338.1750000000002</v>
      </c>
    </row>
    <row r="47" spans="1:11" x14ac:dyDescent="0.35">
      <c r="A47">
        <v>46</v>
      </c>
      <c r="B47" s="1" t="s">
        <v>942</v>
      </c>
      <c r="C47">
        <v>21</v>
      </c>
      <c r="D47">
        <v>8</v>
      </c>
      <c r="E47" s="1" t="s">
        <v>943</v>
      </c>
      <c r="F47">
        <v>12</v>
      </c>
      <c r="G47">
        <v>95</v>
      </c>
      <c r="H47">
        <v>0</v>
      </c>
      <c r="I47">
        <v>0</v>
      </c>
      <c r="J47">
        <v>0</v>
      </c>
      <c r="K47">
        <f>SUMIFS(order_details[Order Value], order_details[ProductID], A47)</f>
        <v>5882.9999999999991</v>
      </c>
    </row>
    <row r="48" spans="1:11" x14ac:dyDescent="0.35">
      <c r="A48">
        <v>47</v>
      </c>
      <c r="B48" s="1" t="s">
        <v>944</v>
      </c>
      <c r="C48">
        <v>22</v>
      </c>
      <c r="D48">
        <v>3</v>
      </c>
      <c r="E48" s="1" t="s">
        <v>945</v>
      </c>
      <c r="F48">
        <v>9.5</v>
      </c>
      <c r="G48">
        <v>36</v>
      </c>
      <c r="H48">
        <v>0</v>
      </c>
      <c r="I48">
        <v>0</v>
      </c>
      <c r="J48">
        <v>0</v>
      </c>
      <c r="K48">
        <f>SUMIFS(order_details[Order Value], order_details[ProductID], A48)</f>
        <v>3958.08</v>
      </c>
    </row>
    <row r="49" spans="1:11" x14ac:dyDescent="0.35">
      <c r="A49">
        <v>48</v>
      </c>
      <c r="B49" s="1" t="s">
        <v>946</v>
      </c>
      <c r="C49">
        <v>22</v>
      </c>
      <c r="D49">
        <v>3</v>
      </c>
      <c r="E49" s="1" t="s">
        <v>947</v>
      </c>
      <c r="F49">
        <v>12.75</v>
      </c>
      <c r="G49">
        <v>15</v>
      </c>
      <c r="H49">
        <v>70</v>
      </c>
      <c r="I49">
        <v>25</v>
      </c>
      <c r="J49">
        <v>0</v>
      </c>
      <c r="K49">
        <f>SUMIFS(order_details[Order Value], order_details[ProductID], A49)</f>
        <v>1368.7125000000001</v>
      </c>
    </row>
    <row r="50" spans="1:11" x14ac:dyDescent="0.35">
      <c r="A50">
        <v>49</v>
      </c>
      <c r="B50" s="1" t="s">
        <v>948</v>
      </c>
      <c r="C50">
        <v>23</v>
      </c>
      <c r="D50">
        <v>3</v>
      </c>
      <c r="E50" s="1" t="s">
        <v>949</v>
      </c>
      <c r="F50">
        <v>20</v>
      </c>
      <c r="G50">
        <v>10</v>
      </c>
      <c r="H50">
        <v>60</v>
      </c>
      <c r="I50">
        <v>15</v>
      </c>
      <c r="J50">
        <v>0</v>
      </c>
      <c r="K50">
        <f>SUMIFS(order_details[Order Value], order_details[ProductID], A50)</f>
        <v>9244.6</v>
      </c>
    </row>
    <row r="51" spans="1:11" x14ac:dyDescent="0.35">
      <c r="A51">
        <v>50</v>
      </c>
      <c r="B51" s="1" t="s">
        <v>950</v>
      </c>
      <c r="C51">
        <v>23</v>
      </c>
      <c r="D51">
        <v>3</v>
      </c>
      <c r="E51" s="1" t="s">
        <v>951</v>
      </c>
      <c r="F51">
        <v>16.25</v>
      </c>
      <c r="G51">
        <v>65</v>
      </c>
      <c r="H51">
        <v>0</v>
      </c>
      <c r="I51">
        <v>30</v>
      </c>
      <c r="J51">
        <v>0</v>
      </c>
      <c r="K51">
        <f>SUMIFS(order_details[Order Value], order_details[ProductID], A51)</f>
        <v>3437.6875</v>
      </c>
    </row>
    <row r="52" spans="1:11" x14ac:dyDescent="0.35">
      <c r="A52">
        <v>51</v>
      </c>
      <c r="B52" s="1" t="s">
        <v>952</v>
      </c>
      <c r="C52">
        <v>24</v>
      </c>
      <c r="D52">
        <v>7</v>
      </c>
      <c r="E52" s="1" t="s">
        <v>953</v>
      </c>
      <c r="F52">
        <v>53</v>
      </c>
      <c r="G52">
        <v>20</v>
      </c>
      <c r="H52">
        <v>0</v>
      </c>
      <c r="I52">
        <v>10</v>
      </c>
      <c r="J52">
        <v>0</v>
      </c>
      <c r="K52">
        <f>SUMIFS(order_details[Order Value], order_details[ProductID], A52)</f>
        <v>41819.65</v>
      </c>
    </row>
    <row r="53" spans="1:11" x14ac:dyDescent="0.35">
      <c r="A53">
        <v>52</v>
      </c>
      <c r="B53" s="1" t="s">
        <v>954</v>
      </c>
      <c r="C53">
        <v>24</v>
      </c>
      <c r="D53">
        <v>5</v>
      </c>
      <c r="E53" s="1" t="s">
        <v>955</v>
      </c>
      <c r="F53">
        <v>7</v>
      </c>
      <c r="G53">
        <v>38</v>
      </c>
      <c r="H53">
        <v>0</v>
      </c>
      <c r="I53">
        <v>25</v>
      </c>
      <c r="J53">
        <v>0</v>
      </c>
      <c r="K53">
        <f>SUMIFS(order_details[Order Value], order_details[ProductID], A53)</f>
        <v>3232.9500000000003</v>
      </c>
    </row>
    <row r="54" spans="1:11" x14ac:dyDescent="0.35">
      <c r="A54">
        <v>53</v>
      </c>
      <c r="B54" s="1" t="s">
        <v>956</v>
      </c>
      <c r="C54">
        <v>24</v>
      </c>
      <c r="D54">
        <v>6</v>
      </c>
      <c r="E54" s="1" t="s">
        <v>957</v>
      </c>
      <c r="F54">
        <v>32.799999999999997</v>
      </c>
      <c r="G54">
        <v>0</v>
      </c>
      <c r="H54">
        <v>0</v>
      </c>
      <c r="I54">
        <v>0</v>
      </c>
      <c r="J54">
        <v>1</v>
      </c>
      <c r="K54">
        <f>SUMIFS(order_details[Order Value], order_details[ProductID], A54)</f>
        <v>20574.170000000006</v>
      </c>
    </row>
    <row r="55" spans="1:11" x14ac:dyDescent="0.35">
      <c r="A55">
        <v>54</v>
      </c>
      <c r="B55" s="1" t="s">
        <v>958</v>
      </c>
      <c r="C55">
        <v>25</v>
      </c>
      <c r="D55">
        <v>6</v>
      </c>
      <c r="E55" s="1" t="s">
        <v>959</v>
      </c>
      <c r="F55">
        <v>7.45</v>
      </c>
      <c r="G55">
        <v>21</v>
      </c>
      <c r="H55">
        <v>0</v>
      </c>
      <c r="I55">
        <v>10</v>
      </c>
      <c r="J55">
        <v>0</v>
      </c>
      <c r="K55">
        <f>SUMIFS(order_details[Order Value], order_details[ProductID], A55)</f>
        <v>4728.2375000000002</v>
      </c>
    </row>
    <row r="56" spans="1:11" x14ac:dyDescent="0.35">
      <c r="A56">
        <v>55</v>
      </c>
      <c r="B56" s="1" t="s">
        <v>960</v>
      </c>
      <c r="C56">
        <v>25</v>
      </c>
      <c r="D56">
        <v>6</v>
      </c>
      <c r="E56" s="1" t="s">
        <v>961</v>
      </c>
      <c r="F56">
        <v>24</v>
      </c>
      <c r="G56">
        <v>115</v>
      </c>
      <c r="H56">
        <v>0</v>
      </c>
      <c r="I56">
        <v>20</v>
      </c>
      <c r="J56">
        <v>0</v>
      </c>
      <c r="K56">
        <f>SUMIFS(order_details[Order Value], order_details[ProductID], A56)</f>
        <v>17426.400000000001</v>
      </c>
    </row>
    <row r="57" spans="1:11" x14ac:dyDescent="0.35">
      <c r="A57">
        <v>56</v>
      </c>
      <c r="B57" s="1" t="s">
        <v>962</v>
      </c>
      <c r="C57">
        <v>26</v>
      </c>
      <c r="D57">
        <v>5</v>
      </c>
      <c r="E57" s="1" t="s">
        <v>963</v>
      </c>
      <c r="F57">
        <v>38</v>
      </c>
      <c r="G57">
        <v>21</v>
      </c>
      <c r="H57">
        <v>10</v>
      </c>
      <c r="I57">
        <v>30</v>
      </c>
      <c r="J57">
        <v>0</v>
      </c>
      <c r="K57">
        <f>SUMIFS(order_details[Order Value], order_details[ProductID], A57)</f>
        <v>42593.06</v>
      </c>
    </row>
    <row r="58" spans="1:11" x14ac:dyDescent="0.35">
      <c r="A58">
        <v>57</v>
      </c>
      <c r="B58" s="1" t="s">
        <v>964</v>
      </c>
      <c r="C58">
        <v>26</v>
      </c>
      <c r="D58">
        <v>5</v>
      </c>
      <c r="E58" s="1" t="s">
        <v>963</v>
      </c>
      <c r="F58">
        <v>19.5</v>
      </c>
      <c r="G58">
        <v>36</v>
      </c>
      <c r="H58">
        <v>0</v>
      </c>
      <c r="I58">
        <v>20</v>
      </c>
      <c r="J58">
        <v>0</v>
      </c>
      <c r="K58">
        <f>SUMIFS(order_details[Order Value], order_details[ProductID], A58)</f>
        <v>7661.5499999999993</v>
      </c>
    </row>
    <row r="59" spans="1:11" x14ac:dyDescent="0.35">
      <c r="A59">
        <v>58</v>
      </c>
      <c r="B59" s="1" t="s">
        <v>965</v>
      </c>
      <c r="C59">
        <v>27</v>
      </c>
      <c r="D59">
        <v>8</v>
      </c>
      <c r="E59" s="1" t="s">
        <v>966</v>
      </c>
      <c r="F59">
        <v>13.25</v>
      </c>
      <c r="G59">
        <v>62</v>
      </c>
      <c r="H59">
        <v>0</v>
      </c>
      <c r="I59">
        <v>20</v>
      </c>
      <c r="J59">
        <v>0</v>
      </c>
      <c r="K59">
        <f>SUMIFS(order_details[Order Value], order_details[ProductID], A59)</f>
        <v>5881.6749999999993</v>
      </c>
    </row>
    <row r="60" spans="1:11" x14ac:dyDescent="0.35">
      <c r="A60">
        <v>59</v>
      </c>
      <c r="B60" s="1" t="s">
        <v>967</v>
      </c>
      <c r="C60">
        <v>28</v>
      </c>
      <c r="D60">
        <v>4</v>
      </c>
      <c r="E60" s="1" t="s">
        <v>968</v>
      </c>
      <c r="F60">
        <v>55</v>
      </c>
      <c r="G60">
        <v>79</v>
      </c>
      <c r="H60">
        <v>0</v>
      </c>
      <c r="I60">
        <v>0</v>
      </c>
      <c r="J60">
        <v>0</v>
      </c>
      <c r="K60">
        <f>SUMIFS(order_details[Order Value], order_details[ProductID], A60)</f>
        <v>71155.7</v>
      </c>
    </row>
    <row r="61" spans="1:11" x14ac:dyDescent="0.35">
      <c r="A61">
        <v>60</v>
      </c>
      <c r="B61" s="1" t="s">
        <v>969</v>
      </c>
      <c r="C61">
        <v>28</v>
      </c>
      <c r="D61">
        <v>4</v>
      </c>
      <c r="E61" s="1" t="s">
        <v>970</v>
      </c>
      <c r="F61">
        <v>34</v>
      </c>
      <c r="G61">
        <v>19</v>
      </c>
      <c r="H61">
        <v>0</v>
      </c>
      <c r="I61">
        <v>0</v>
      </c>
      <c r="J61">
        <v>0</v>
      </c>
      <c r="K61">
        <f>SUMIFS(order_details[Order Value], order_details[ProductID], A61)</f>
        <v>46825.48</v>
      </c>
    </row>
    <row r="62" spans="1:11" x14ac:dyDescent="0.35">
      <c r="A62">
        <v>61</v>
      </c>
      <c r="B62" s="1" t="s">
        <v>971</v>
      </c>
      <c r="C62">
        <v>29</v>
      </c>
      <c r="D62">
        <v>2</v>
      </c>
      <c r="E62" s="1" t="s">
        <v>972</v>
      </c>
      <c r="F62">
        <v>28.5</v>
      </c>
      <c r="G62">
        <v>113</v>
      </c>
      <c r="H62">
        <v>0</v>
      </c>
      <c r="I62">
        <v>25</v>
      </c>
      <c r="J62">
        <v>0</v>
      </c>
      <c r="K62">
        <f>SUMIFS(order_details[Order Value], order_details[ProductID], A62)</f>
        <v>14352.6</v>
      </c>
    </row>
    <row r="63" spans="1:11" x14ac:dyDescent="0.35">
      <c r="A63">
        <v>62</v>
      </c>
      <c r="B63" s="1" t="s">
        <v>973</v>
      </c>
      <c r="C63">
        <v>29</v>
      </c>
      <c r="D63">
        <v>3</v>
      </c>
      <c r="E63" s="1" t="s">
        <v>974</v>
      </c>
      <c r="F63">
        <v>49.3</v>
      </c>
      <c r="G63">
        <v>17</v>
      </c>
      <c r="H63">
        <v>0</v>
      </c>
      <c r="I63">
        <v>0</v>
      </c>
      <c r="J63">
        <v>0</v>
      </c>
      <c r="K63">
        <f>SUMIFS(order_details[Order Value], order_details[ProductID], A63)</f>
        <v>47234.97</v>
      </c>
    </row>
    <row r="64" spans="1:11" x14ac:dyDescent="0.35">
      <c r="A64">
        <v>63</v>
      </c>
      <c r="B64" s="1" t="s">
        <v>975</v>
      </c>
      <c r="C64">
        <v>7</v>
      </c>
      <c r="D64">
        <v>2</v>
      </c>
      <c r="E64" s="1" t="s">
        <v>976</v>
      </c>
      <c r="F64">
        <v>43.9</v>
      </c>
      <c r="G64">
        <v>24</v>
      </c>
      <c r="H64">
        <v>0</v>
      </c>
      <c r="I64">
        <v>5</v>
      </c>
      <c r="J64">
        <v>0</v>
      </c>
      <c r="K64">
        <f>SUMIFS(order_details[Order Value], order_details[ProductID], A64)</f>
        <v>16701.095000000001</v>
      </c>
    </row>
    <row r="65" spans="1:11" x14ac:dyDescent="0.35">
      <c r="A65">
        <v>64</v>
      </c>
      <c r="B65" s="1" t="s">
        <v>977</v>
      </c>
      <c r="C65">
        <v>12</v>
      </c>
      <c r="D65">
        <v>5</v>
      </c>
      <c r="E65" s="1" t="s">
        <v>978</v>
      </c>
      <c r="F65">
        <v>33.25</v>
      </c>
      <c r="G65">
        <v>22</v>
      </c>
      <c r="H65">
        <v>80</v>
      </c>
      <c r="I65">
        <v>30</v>
      </c>
      <c r="J65">
        <v>0</v>
      </c>
      <c r="K65">
        <f>SUMIFS(order_details[Order Value], order_details[ProductID], A65)</f>
        <v>21957.967500000002</v>
      </c>
    </row>
    <row r="66" spans="1:11" x14ac:dyDescent="0.35">
      <c r="A66">
        <v>65</v>
      </c>
      <c r="B66" s="1" t="s">
        <v>979</v>
      </c>
      <c r="C66">
        <v>2</v>
      </c>
      <c r="D66">
        <v>2</v>
      </c>
      <c r="E66" s="1" t="s">
        <v>980</v>
      </c>
      <c r="F66">
        <v>21.05</v>
      </c>
      <c r="G66">
        <v>76</v>
      </c>
      <c r="H66">
        <v>0</v>
      </c>
      <c r="I66">
        <v>0</v>
      </c>
      <c r="J66">
        <v>0</v>
      </c>
      <c r="K66">
        <f>SUMIFS(order_details[Order Value], order_details[ProductID], A66)</f>
        <v>13869.890000000001</v>
      </c>
    </row>
    <row r="67" spans="1:11" x14ac:dyDescent="0.35">
      <c r="A67">
        <v>66</v>
      </c>
      <c r="B67" s="1" t="s">
        <v>981</v>
      </c>
      <c r="C67">
        <v>2</v>
      </c>
      <c r="D67">
        <v>2</v>
      </c>
      <c r="E67" s="1" t="s">
        <v>982</v>
      </c>
      <c r="F67">
        <v>17</v>
      </c>
      <c r="G67">
        <v>4</v>
      </c>
      <c r="H67">
        <v>100</v>
      </c>
      <c r="I67">
        <v>20</v>
      </c>
      <c r="J67">
        <v>0</v>
      </c>
      <c r="K67">
        <f>SUMIFS(order_details[Order Value], order_details[ProductID], A67)</f>
        <v>3383</v>
      </c>
    </row>
    <row r="68" spans="1:11" x14ac:dyDescent="0.35">
      <c r="A68">
        <v>67</v>
      </c>
      <c r="B68" s="1" t="s">
        <v>983</v>
      </c>
      <c r="C68">
        <v>16</v>
      </c>
      <c r="D68">
        <v>1</v>
      </c>
      <c r="E68" s="1" t="s">
        <v>857</v>
      </c>
      <c r="F68">
        <v>14</v>
      </c>
      <c r="G68">
        <v>52</v>
      </c>
      <c r="H68">
        <v>0</v>
      </c>
      <c r="I68">
        <v>10</v>
      </c>
      <c r="J68">
        <v>0</v>
      </c>
      <c r="K68">
        <f>SUMIFS(order_details[Order Value], order_details[ProductID], A68)</f>
        <v>2396.8000000000002</v>
      </c>
    </row>
    <row r="69" spans="1:11" x14ac:dyDescent="0.35">
      <c r="A69">
        <v>68</v>
      </c>
      <c r="B69" s="1" t="s">
        <v>984</v>
      </c>
      <c r="C69">
        <v>8</v>
      </c>
      <c r="D69">
        <v>3</v>
      </c>
      <c r="E69" s="1" t="s">
        <v>985</v>
      </c>
      <c r="F69">
        <v>12.5</v>
      </c>
      <c r="G69">
        <v>6</v>
      </c>
      <c r="H69">
        <v>10</v>
      </c>
      <c r="I69">
        <v>15</v>
      </c>
      <c r="J69">
        <v>0</v>
      </c>
      <c r="K69">
        <f>SUMIFS(order_details[Order Value], order_details[ProductID], A69)</f>
        <v>8714</v>
      </c>
    </row>
    <row r="70" spans="1:11" x14ac:dyDescent="0.35">
      <c r="A70">
        <v>69</v>
      </c>
      <c r="B70" s="1" t="s">
        <v>986</v>
      </c>
      <c r="C70">
        <v>15</v>
      </c>
      <c r="D70">
        <v>4</v>
      </c>
      <c r="E70" s="1" t="s">
        <v>987</v>
      </c>
      <c r="F70">
        <v>36</v>
      </c>
      <c r="G70">
        <v>26</v>
      </c>
      <c r="H70">
        <v>0</v>
      </c>
      <c r="I70">
        <v>15</v>
      </c>
      <c r="J70">
        <v>0</v>
      </c>
      <c r="K70">
        <f>SUMIFS(order_details[Order Value], order_details[ProductID], A70)</f>
        <v>21942.36</v>
      </c>
    </row>
    <row r="71" spans="1:11" x14ac:dyDescent="0.35">
      <c r="A71">
        <v>70</v>
      </c>
      <c r="B71" s="1" t="s">
        <v>988</v>
      </c>
      <c r="C71">
        <v>7</v>
      </c>
      <c r="D71">
        <v>1</v>
      </c>
      <c r="E71" s="1" t="s">
        <v>989</v>
      </c>
      <c r="F71">
        <v>15</v>
      </c>
      <c r="G71">
        <v>15</v>
      </c>
      <c r="H71">
        <v>10</v>
      </c>
      <c r="I71">
        <v>30</v>
      </c>
      <c r="J71">
        <v>0</v>
      </c>
      <c r="K71">
        <f>SUMIFS(order_details[Order Value], order_details[ProductID], A71)</f>
        <v>10672.65</v>
      </c>
    </row>
    <row r="72" spans="1:11" x14ac:dyDescent="0.35">
      <c r="A72">
        <v>71</v>
      </c>
      <c r="B72" s="1" t="s">
        <v>990</v>
      </c>
      <c r="C72">
        <v>15</v>
      </c>
      <c r="D72">
        <v>4</v>
      </c>
      <c r="E72" s="1" t="s">
        <v>877</v>
      </c>
      <c r="F72">
        <v>21.5</v>
      </c>
      <c r="G72">
        <v>26</v>
      </c>
      <c r="H72">
        <v>0</v>
      </c>
      <c r="I72">
        <v>0</v>
      </c>
      <c r="J72">
        <v>0</v>
      </c>
      <c r="K72">
        <f>SUMIFS(order_details[Order Value], order_details[ProductID], A72)</f>
        <v>19551.024999999998</v>
      </c>
    </row>
    <row r="73" spans="1:11" x14ac:dyDescent="0.35">
      <c r="A73">
        <v>72</v>
      </c>
      <c r="B73" s="1" t="s">
        <v>991</v>
      </c>
      <c r="C73">
        <v>14</v>
      </c>
      <c r="D73">
        <v>4</v>
      </c>
      <c r="E73" s="1" t="s">
        <v>917</v>
      </c>
      <c r="F73">
        <v>34.799999999999997</v>
      </c>
      <c r="G73">
        <v>14</v>
      </c>
      <c r="H73">
        <v>0</v>
      </c>
      <c r="I73">
        <v>0</v>
      </c>
      <c r="J73">
        <v>0</v>
      </c>
      <c r="K73">
        <f>SUMIFS(order_details[Order Value], order_details[ProductID], A73)</f>
        <v>24900.13</v>
      </c>
    </row>
    <row r="74" spans="1:11" x14ac:dyDescent="0.35">
      <c r="A74">
        <v>73</v>
      </c>
      <c r="B74" s="1" t="s">
        <v>992</v>
      </c>
      <c r="C74">
        <v>17</v>
      </c>
      <c r="D74">
        <v>8</v>
      </c>
      <c r="E74" s="1" t="s">
        <v>993</v>
      </c>
      <c r="F74">
        <v>15</v>
      </c>
      <c r="G74">
        <v>101</v>
      </c>
      <c r="H74">
        <v>0</v>
      </c>
      <c r="I74">
        <v>5</v>
      </c>
      <c r="J74">
        <v>0</v>
      </c>
      <c r="K74">
        <f>SUMIFS(order_details[Order Value], order_details[ProductID], A74)</f>
        <v>3997.2</v>
      </c>
    </row>
    <row r="75" spans="1:11" x14ac:dyDescent="0.35">
      <c r="A75">
        <v>74</v>
      </c>
      <c r="B75" s="1" t="s">
        <v>994</v>
      </c>
      <c r="C75">
        <v>4</v>
      </c>
      <c r="D75">
        <v>7</v>
      </c>
      <c r="E75" s="1" t="s">
        <v>968</v>
      </c>
      <c r="F75">
        <v>10</v>
      </c>
      <c r="G75">
        <v>4</v>
      </c>
      <c r="H75">
        <v>20</v>
      </c>
      <c r="I75">
        <v>5</v>
      </c>
      <c r="J75">
        <v>0</v>
      </c>
      <c r="K75">
        <f>SUMIFS(order_details[Order Value], order_details[ProductID], A75)</f>
        <v>2432.5</v>
      </c>
    </row>
    <row r="76" spans="1:11" x14ac:dyDescent="0.35">
      <c r="A76">
        <v>75</v>
      </c>
      <c r="B76" s="1" t="s">
        <v>995</v>
      </c>
      <c r="C76">
        <v>12</v>
      </c>
      <c r="D76">
        <v>1</v>
      </c>
      <c r="E76" s="1" t="s">
        <v>996</v>
      </c>
      <c r="F76">
        <v>7.75</v>
      </c>
      <c r="G76">
        <v>125</v>
      </c>
      <c r="H76">
        <v>0</v>
      </c>
      <c r="I76">
        <v>25</v>
      </c>
      <c r="J76">
        <v>0</v>
      </c>
      <c r="K76">
        <f>SUMIFS(order_details[Order Value], order_details[ProductID], A76)</f>
        <v>8177.4899999999989</v>
      </c>
    </row>
    <row r="77" spans="1:11" x14ac:dyDescent="0.35">
      <c r="A77">
        <v>76</v>
      </c>
      <c r="B77" s="1" t="s">
        <v>997</v>
      </c>
      <c r="C77">
        <v>23</v>
      </c>
      <c r="D77">
        <v>1</v>
      </c>
      <c r="E77" s="1" t="s">
        <v>998</v>
      </c>
      <c r="F77">
        <v>18</v>
      </c>
      <c r="G77">
        <v>57</v>
      </c>
      <c r="H77">
        <v>0</v>
      </c>
      <c r="I77">
        <v>20</v>
      </c>
      <c r="J77">
        <v>0</v>
      </c>
      <c r="K77">
        <f>SUMIFS(order_details[Order Value], order_details[ProductID], A77)</f>
        <v>15760.44</v>
      </c>
    </row>
    <row r="78" spans="1:11" x14ac:dyDescent="0.35">
      <c r="A78">
        <v>77</v>
      </c>
      <c r="B78" s="1" t="s">
        <v>999</v>
      </c>
      <c r="C78">
        <v>12</v>
      </c>
      <c r="D78">
        <v>2</v>
      </c>
      <c r="E78" s="1" t="s">
        <v>1000</v>
      </c>
      <c r="F78">
        <v>13</v>
      </c>
      <c r="G78">
        <v>32</v>
      </c>
      <c r="H78">
        <v>0</v>
      </c>
      <c r="I78">
        <v>15</v>
      </c>
      <c r="J78">
        <v>0</v>
      </c>
      <c r="K78">
        <f>SUMIFS(order_details[Order Value], order_details[ProductID], A78)</f>
        <v>9171.6299999999992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3B2D74-C50D-4EA5-A90C-1D88DB545AB6}">
  <dimension ref="A1:R10"/>
  <sheetViews>
    <sheetView zoomScale="51" workbookViewId="0">
      <selection activeCell="R1" sqref="R1:R1048576"/>
    </sheetView>
  </sheetViews>
  <sheetFormatPr defaultRowHeight="14.5" x14ac:dyDescent="0.35"/>
  <cols>
    <col min="1" max="1" width="19.1796875" bestFit="1" customWidth="1"/>
    <col min="2" max="2" width="16.6328125" bestFit="1" customWidth="1"/>
    <col min="3" max="3" width="17" bestFit="1" customWidth="1"/>
    <col min="4" max="4" width="24.36328125" bestFit="1" customWidth="1"/>
    <col min="5" max="5" width="23.6328125" bestFit="1" customWidth="1"/>
    <col min="6" max="6" width="16.08984375" bestFit="1" customWidth="1"/>
    <col min="7" max="7" width="15.26953125" bestFit="1" customWidth="1"/>
    <col min="8" max="8" width="33.26953125" bestFit="1" customWidth="1"/>
    <col min="9" max="9" width="10.26953125" bestFit="1" customWidth="1"/>
    <col min="10" max="10" width="13.6328125" bestFit="1" customWidth="1"/>
    <col min="11" max="11" width="18.26953125" bestFit="1" customWidth="1"/>
    <col min="12" max="12" width="14.54296875" bestFit="1" customWidth="1"/>
    <col min="13" max="13" width="19.1796875" bestFit="1" customWidth="1"/>
    <col min="14" max="14" width="16.81640625" bestFit="1" customWidth="1"/>
    <col min="15" max="15" width="80.7265625" bestFit="1" customWidth="1"/>
    <col min="16" max="16" width="17.1796875" bestFit="1" customWidth="1"/>
    <col min="17" max="17" width="21.08984375" bestFit="1" customWidth="1"/>
    <col min="18" max="18" width="15.453125" bestFit="1" customWidth="1"/>
  </cols>
  <sheetData>
    <row r="1" spans="1:18" x14ac:dyDescent="0.35">
      <c r="A1" t="s">
        <v>748</v>
      </c>
      <c r="B1" t="s">
        <v>749</v>
      </c>
      <c r="C1" t="s">
        <v>750</v>
      </c>
      <c r="D1" t="s">
        <v>751</v>
      </c>
      <c r="E1" t="s">
        <v>752</v>
      </c>
      <c r="F1" t="s">
        <v>753</v>
      </c>
      <c r="G1" t="s">
        <v>754</v>
      </c>
      <c r="H1" t="s">
        <v>23</v>
      </c>
      <c r="I1" t="s">
        <v>24</v>
      </c>
      <c r="J1" t="s">
        <v>25</v>
      </c>
      <c r="K1" t="s">
        <v>26</v>
      </c>
      <c r="L1" t="s">
        <v>27</v>
      </c>
      <c r="M1" t="s">
        <v>755</v>
      </c>
      <c r="N1" t="s">
        <v>756</v>
      </c>
      <c r="O1" t="s">
        <v>757</v>
      </c>
      <c r="P1" t="s">
        <v>758</v>
      </c>
      <c r="Q1" t="s">
        <v>1221</v>
      </c>
      <c r="R1" t="s">
        <v>1288</v>
      </c>
    </row>
    <row r="2" spans="1:18" x14ac:dyDescent="0.35">
      <c r="A2">
        <v>1</v>
      </c>
      <c r="B2" s="1" t="s">
        <v>759</v>
      </c>
      <c r="C2" s="1" t="s">
        <v>760</v>
      </c>
      <c r="D2" s="1" t="s">
        <v>33</v>
      </c>
      <c r="E2" s="1" t="s">
        <v>761</v>
      </c>
      <c r="F2" s="2">
        <v>17875</v>
      </c>
      <c r="G2" s="2">
        <v>33725</v>
      </c>
      <c r="H2" s="1" t="s">
        <v>1207</v>
      </c>
      <c r="I2" s="1" t="s">
        <v>728</v>
      </c>
      <c r="J2" s="1" t="s">
        <v>381</v>
      </c>
      <c r="K2" s="1" t="s">
        <v>762</v>
      </c>
      <c r="L2" s="1" t="s">
        <v>292</v>
      </c>
      <c r="M2" s="1" t="s">
        <v>763</v>
      </c>
      <c r="N2">
        <v>5467</v>
      </c>
      <c r="O2" s="1" t="s">
        <v>764</v>
      </c>
      <c r="P2">
        <v>2</v>
      </c>
      <c r="Q2">
        <v>33.624657534246573</v>
      </c>
      <c r="R2">
        <f>YEAR(employees[[#This Row],[HireDate]])</f>
        <v>1992</v>
      </c>
    </row>
    <row r="3" spans="1:18" x14ac:dyDescent="0.35">
      <c r="A3">
        <v>2</v>
      </c>
      <c r="B3" s="1" t="s">
        <v>765</v>
      </c>
      <c r="C3" s="1" t="s">
        <v>766</v>
      </c>
      <c r="D3" s="1" t="s">
        <v>767</v>
      </c>
      <c r="E3" s="1" t="s">
        <v>768</v>
      </c>
      <c r="F3" s="2">
        <v>19043</v>
      </c>
      <c r="G3" s="2">
        <v>33830</v>
      </c>
      <c r="H3" s="1" t="s">
        <v>769</v>
      </c>
      <c r="I3" s="1" t="s">
        <v>770</v>
      </c>
      <c r="J3" s="1" t="s">
        <v>381</v>
      </c>
      <c r="K3" s="1" t="s">
        <v>771</v>
      </c>
      <c r="L3" s="1" t="s">
        <v>292</v>
      </c>
      <c r="M3" s="1" t="s">
        <v>772</v>
      </c>
      <c r="N3">
        <v>3457</v>
      </c>
      <c r="O3" s="1" t="s">
        <v>773</v>
      </c>
      <c r="Q3">
        <v>33.336986301369862</v>
      </c>
      <c r="R3">
        <f>YEAR(employees[[#This Row],[HireDate]])</f>
        <v>1992</v>
      </c>
    </row>
    <row r="4" spans="1:18" x14ac:dyDescent="0.35">
      <c r="A4">
        <v>3</v>
      </c>
      <c r="B4" s="1" t="s">
        <v>774</v>
      </c>
      <c r="C4" s="1" t="s">
        <v>775</v>
      </c>
      <c r="D4" s="1" t="s">
        <v>33</v>
      </c>
      <c r="E4" s="1" t="s">
        <v>761</v>
      </c>
      <c r="F4" s="2">
        <v>23253</v>
      </c>
      <c r="G4" s="2">
        <v>33695</v>
      </c>
      <c r="H4" s="1" t="s">
        <v>776</v>
      </c>
      <c r="I4" s="1" t="s">
        <v>674</v>
      </c>
      <c r="J4" s="1" t="s">
        <v>381</v>
      </c>
      <c r="K4" s="1" t="s">
        <v>777</v>
      </c>
      <c r="L4" s="1" t="s">
        <v>292</v>
      </c>
      <c r="M4" s="1" t="s">
        <v>778</v>
      </c>
      <c r="N4">
        <v>3355</v>
      </c>
      <c r="O4" s="1" t="s">
        <v>779</v>
      </c>
      <c r="P4">
        <v>2</v>
      </c>
      <c r="Q4">
        <v>33.706849315068496</v>
      </c>
      <c r="R4">
        <f>YEAR(employees[[#This Row],[HireDate]])</f>
        <v>1992</v>
      </c>
    </row>
    <row r="5" spans="1:18" x14ac:dyDescent="0.35">
      <c r="A5">
        <v>4</v>
      </c>
      <c r="B5" s="1" t="s">
        <v>780</v>
      </c>
      <c r="C5" s="1" t="s">
        <v>781</v>
      </c>
      <c r="D5" s="1" t="s">
        <v>33</v>
      </c>
      <c r="E5" s="1" t="s">
        <v>782</v>
      </c>
      <c r="F5" s="2">
        <v>13777</v>
      </c>
      <c r="G5" s="2">
        <v>34092</v>
      </c>
      <c r="H5" s="1" t="s">
        <v>783</v>
      </c>
      <c r="I5" s="1" t="s">
        <v>784</v>
      </c>
      <c r="J5" s="1" t="s">
        <v>381</v>
      </c>
      <c r="K5" s="1" t="s">
        <v>785</v>
      </c>
      <c r="L5" s="1" t="s">
        <v>292</v>
      </c>
      <c r="M5" s="1" t="s">
        <v>786</v>
      </c>
      <c r="N5">
        <v>5176</v>
      </c>
      <c r="O5" s="1" t="s">
        <v>787</v>
      </c>
      <c r="P5">
        <v>2</v>
      </c>
      <c r="Q5">
        <v>32.61917808219178</v>
      </c>
      <c r="R5">
        <f>YEAR(employees[[#This Row],[HireDate]])</f>
        <v>1993</v>
      </c>
    </row>
    <row r="6" spans="1:18" x14ac:dyDescent="0.35">
      <c r="A6">
        <v>5</v>
      </c>
      <c r="B6" s="1" t="s">
        <v>788</v>
      </c>
      <c r="C6" s="1" t="s">
        <v>789</v>
      </c>
      <c r="D6" s="1" t="s">
        <v>195</v>
      </c>
      <c r="E6" s="1" t="s">
        <v>790</v>
      </c>
      <c r="F6" s="2">
        <v>20152</v>
      </c>
      <c r="G6" s="2">
        <v>34259</v>
      </c>
      <c r="H6" s="1" t="s">
        <v>791</v>
      </c>
      <c r="I6" s="1" t="s">
        <v>61</v>
      </c>
      <c r="J6" s="1" t="s">
        <v>36</v>
      </c>
      <c r="K6" s="1" t="s">
        <v>792</v>
      </c>
      <c r="L6" s="1" t="s">
        <v>63</v>
      </c>
      <c r="M6" s="1" t="s">
        <v>793</v>
      </c>
      <c r="N6">
        <v>3453</v>
      </c>
      <c r="O6" s="1" t="s">
        <v>794</v>
      </c>
      <c r="P6">
        <v>2</v>
      </c>
      <c r="Q6">
        <v>32.161643835616438</v>
      </c>
      <c r="R6">
        <f>YEAR(employees[[#This Row],[HireDate]])</f>
        <v>1993</v>
      </c>
    </row>
    <row r="7" spans="1:18" x14ac:dyDescent="0.35">
      <c r="A7">
        <v>6</v>
      </c>
      <c r="B7" s="1" t="s">
        <v>795</v>
      </c>
      <c r="C7" s="1" t="s">
        <v>796</v>
      </c>
      <c r="D7" s="1" t="s">
        <v>33</v>
      </c>
      <c r="E7" s="1" t="s">
        <v>790</v>
      </c>
      <c r="F7" s="2">
        <v>23194</v>
      </c>
      <c r="G7" s="2">
        <v>34259</v>
      </c>
      <c r="H7" s="1" t="s">
        <v>1208</v>
      </c>
      <c r="I7" s="1" t="s">
        <v>61</v>
      </c>
      <c r="J7" s="1" t="s">
        <v>36</v>
      </c>
      <c r="K7" s="1" t="s">
        <v>797</v>
      </c>
      <c r="L7" s="1" t="s">
        <v>63</v>
      </c>
      <c r="M7" s="1" t="s">
        <v>798</v>
      </c>
      <c r="N7">
        <v>428</v>
      </c>
      <c r="O7" s="1" t="s">
        <v>799</v>
      </c>
      <c r="P7">
        <v>5</v>
      </c>
      <c r="Q7">
        <v>32.161643835616438</v>
      </c>
      <c r="R7">
        <f>YEAR(employees[[#This Row],[HireDate]])</f>
        <v>1993</v>
      </c>
    </row>
    <row r="8" spans="1:18" x14ac:dyDescent="0.35">
      <c r="A8">
        <v>7</v>
      </c>
      <c r="B8" s="1" t="s">
        <v>800</v>
      </c>
      <c r="C8" s="1" t="s">
        <v>801</v>
      </c>
      <c r="D8" s="1" t="s">
        <v>33</v>
      </c>
      <c r="E8" s="1" t="s">
        <v>790</v>
      </c>
      <c r="F8" s="2">
        <v>22065</v>
      </c>
      <c r="G8" s="2">
        <v>34336</v>
      </c>
      <c r="H8" s="1" t="s">
        <v>1209</v>
      </c>
      <c r="I8" s="1" t="s">
        <v>61</v>
      </c>
      <c r="J8" s="1" t="s">
        <v>36</v>
      </c>
      <c r="K8" s="1" t="s">
        <v>802</v>
      </c>
      <c r="L8" s="1" t="s">
        <v>63</v>
      </c>
      <c r="M8" s="1" t="s">
        <v>803</v>
      </c>
      <c r="N8">
        <v>465</v>
      </c>
      <c r="O8" s="1" t="s">
        <v>804</v>
      </c>
      <c r="P8">
        <v>5</v>
      </c>
      <c r="Q8">
        <v>31.950684931506849</v>
      </c>
      <c r="R8">
        <f>YEAR(employees[[#This Row],[HireDate]])</f>
        <v>1994</v>
      </c>
    </row>
    <row r="9" spans="1:18" x14ac:dyDescent="0.35">
      <c r="A9">
        <v>8</v>
      </c>
      <c r="B9" s="1" t="s">
        <v>805</v>
      </c>
      <c r="C9" s="1" t="s">
        <v>806</v>
      </c>
      <c r="D9" s="1" t="s">
        <v>807</v>
      </c>
      <c r="E9" s="1" t="s">
        <v>761</v>
      </c>
      <c r="F9" s="2">
        <v>21194</v>
      </c>
      <c r="G9" s="2">
        <v>34398</v>
      </c>
      <c r="H9" s="1" t="s">
        <v>808</v>
      </c>
      <c r="I9" s="1" t="s">
        <v>728</v>
      </c>
      <c r="J9" s="1" t="s">
        <v>381</v>
      </c>
      <c r="K9" s="1" t="s">
        <v>809</v>
      </c>
      <c r="L9" s="1" t="s">
        <v>292</v>
      </c>
      <c r="M9" s="1" t="s">
        <v>810</v>
      </c>
      <c r="N9">
        <v>2344</v>
      </c>
      <c r="O9" s="1" t="s">
        <v>811</v>
      </c>
      <c r="P9">
        <v>2</v>
      </c>
      <c r="Q9">
        <v>31.780821917808218</v>
      </c>
      <c r="R9">
        <f>YEAR(employees[[#This Row],[HireDate]])</f>
        <v>1994</v>
      </c>
    </row>
    <row r="10" spans="1:18" x14ac:dyDescent="0.35">
      <c r="A10">
        <v>9</v>
      </c>
      <c r="B10" s="1" t="s">
        <v>812</v>
      </c>
      <c r="C10" s="1" t="s">
        <v>813</v>
      </c>
      <c r="D10" s="1" t="s">
        <v>33</v>
      </c>
      <c r="E10" s="1" t="s">
        <v>761</v>
      </c>
      <c r="F10" s="2">
        <v>24134</v>
      </c>
      <c r="G10" s="2">
        <v>34653</v>
      </c>
      <c r="H10" s="1" t="s">
        <v>814</v>
      </c>
      <c r="I10" s="1" t="s">
        <v>61</v>
      </c>
      <c r="J10" s="1" t="s">
        <v>36</v>
      </c>
      <c r="K10" s="1" t="s">
        <v>815</v>
      </c>
      <c r="L10" s="1" t="s">
        <v>63</v>
      </c>
      <c r="M10" s="1" t="s">
        <v>816</v>
      </c>
      <c r="N10">
        <v>452</v>
      </c>
      <c r="O10" s="1" t="s">
        <v>817</v>
      </c>
      <c r="P10">
        <v>5</v>
      </c>
      <c r="Q10">
        <v>31.082191780821919</v>
      </c>
      <c r="R10">
        <f>YEAR(employees[[#This Row],[HireDate]])</f>
        <v>1994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0A106-9BA6-46E9-9B61-583CA0820EEA}">
  <dimension ref="A1:K30"/>
  <sheetViews>
    <sheetView zoomScale="69" workbookViewId="0">
      <selection activeCell="B17" sqref="B17"/>
    </sheetView>
  </sheetViews>
  <sheetFormatPr defaultRowHeight="14.5" x14ac:dyDescent="0.35"/>
  <cols>
    <col min="1" max="1" width="12.7265625" bestFit="1" customWidth="1"/>
    <col min="2" max="2" width="35" bestFit="1" customWidth="1"/>
    <col min="3" max="3" width="23.26953125" bestFit="1" customWidth="1"/>
    <col min="4" max="4" width="25.26953125" bestFit="1" customWidth="1"/>
    <col min="5" max="5" width="39.26953125" bestFit="1" customWidth="1"/>
    <col min="6" max="6" width="12.453125" bestFit="1" customWidth="1"/>
    <col min="7" max="7" width="9.81640625" bestFit="1" customWidth="1"/>
    <col min="8" max="8" width="13.36328125" bestFit="1" customWidth="1"/>
    <col min="9" max="9" width="11" bestFit="1" customWidth="1"/>
    <col min="10" max="11" width="13.26953125" bestFit="1" customWidth="1"/>
    <col min="12" max="12" width="80.7265625" bestFit="1" customWidth="1"/>
  </cols>
  <sheetData>
    <row r="1" spans="1:11" x14ac:dyDescent="0.35">
      <c r="A1" t="s">
        <v>848</v>
      </c>
      <c r="B1" t="s">
        <v>20</v>
      </c>
      <c r="C1" t="s">
        <v>21</v>
      </c>
      <c r="D1" t="s">
        <v>22</v>
      </c>
      <c r="E1" t="s">
        <v>23</v>
      </c>
      <c r="F1" t="s">
        <v>24</v>
      </c>
      <c r="G1" t="s">
        <v>25</v>
      </c>
      <c r="H1" t="s">
        <v>26</v>
      </c>
      <c r="I1" t="s">
        <v>27</v>
      </c>
      <c r="J1" t="s">
        <v>28</v>
      </c>
      <c r="K1" t="s">
        <v>29</v>
      </c>
    </row>
    <row r="2" spans="1:11" x14ac:dyDescent="0.35">
      <c r="A2">
        <v>1</v>
      </c>
      <c r="B2" s="1" t="s">
        <v>1008</v>
      </c>
      <c r="C2" s="1" t="s">
        <v>1009</v>
      </c>
      <c r="D2" s="1" t="s">
        <v>1010</v>
      </c>
      <c r="E2" s="1" t="s">
        <v>1011</v>
      </c>
      <c r="F2" s="1" t="s">
        <v>61</v>
      </c>
      <c r="G2" s="1" t="s">
        <v>1195</v>
      </c>
      <c r="H2" s="1" t="s">
        <v>1012</v>
      </c>
      <c r="I2" s="1" t="s">
        <v>63</v>
      </c>
      <c r="J2" s="1" t="s">
        <v>1013</v>
      </c>
      <c r="K2" s="1" t="s">
        <v>1195</v>
      </c>
    </row>
    <row r="3" spans="1:11" x14ac:dyDescent="0.35">
      <c r="A3">
        <v>2</v>
      </c>
      <c r="B3" s="1" t="s">
        <v>1014</v>
      </c>
      <c r="C3" s="1" t="s">
        <v>1015</v>
      </c>
      <c r="D3" s="1" t="s">
        <v>69</v>
      </c>
      <c r="E3" s="1" t="s">
        <v>1016</v>
      </c>
      <c r="F3" s="1" t="s">
        <v>1017</v>
      </c>
      <c r="G3" s="1" t="s">
        <v>1018</v>
      </c>
      <c r="H3" s="1" t="s">
        <v>1019</v>
      </c>
      <c r="I3" s="1" t="s">
        <v>292</v>
      </c>
      <c r="J3" s="1" t="s">
        <v>1020</v>
      </c>
      <c r="K3" s="1" t="s">
        <v>1195</v>
      </c>
    </row>
    <row r="4" spans="1:11" x14ac:dyDescent="0.35">
      <c r="A4">
        <v>3</v>
      </c>
      <c r="B4" s="1" t="s">
        <v>1021</v>
      </c>
      <c r="C4" s="1" t="s">
        <v>1022</v>
      </c>
      <c r="D4" s="1" t="s">
        <v>33</v>
      </c>
      <c r="E4" s="1" t="s">
        <v>1023</v>
      </c>
      <c r="F4" s="1" t="s">
        <v>1024</v>
      </c>
      <c r="G4" s="1" t="s">
        <v>1025</v>
      </c>
      <c r="H4" s="1" t="s">
        <v>1026</v>
      </c>
      <c r="I4" s="1" t="s">
        <v>292</v>
      </c>
      <c r="J4" s="1" t="s">
        <v>1027</v>
      </c>
      <c r="K4" s="1" t="s">
        <v>1028</v>
      </c>
    </row>
    <row r="5" spans="1:11" x14ac:dyDescent="0.35">
      <c r="A5">
        <v>4</v>
      </c>
      <c r="B5" s="1" t="s">
        <v>1029</v>
      </c>
      <c r="C5" s="1" t="s">
        <v>1030</v>
      </c>
      <c r="D5" s="1" t="s">
        <v>87</v>
      </c>
      <c r="E5" s="1" t="s">
        <v>1211</v>
      </c>
      <c r="F5" s="1" t="s">
        <v>1031</v>
      </c>
      <c r="G5" s="1" t="s">
        <v>1195</v>
      </c>
      <c r="H5" s="1" t="s">
        <v>1032</v>
      </c>
      <c r="I5" s="1" t="s">
        <v>1033</v>
      </c>
      <c r="J5" s="1" t="s">
        <v>1034</v>
      </c>
      <c r="K5" s="1" t="s">
        <v>1195</v>
      </c>
    </row>
    <row r="6" spans="1:11" x14ac:dyDescent="0.35">
      <c r="A6">
        <v>5</v>
      </c>
      <c r="B6" s="1" t="s">
        <v>1035</v>
      </c>
      <c r="C6" s="1" t="s">
        <v>1212</v>
      </c>
      <c r="D6" s="1" t="s">
        <v>1036</v>
      </c>
      <c r="E6" s="1" t="s">
        <v>1037</v>
      </c>
      <c r="F6" s="1" t="s">
        <v>1038</v>
      </c>
      <c r="G6" s="1" t="s">
        <v>1039</v>
      </c>
      <c r="H6" s="1" t="s">
        <v>1040</v>
      </c>
      <c r="I6" s="1" t="s">
        <v>100</v>
      </c>
      <c r="J6" s="1" t="s">
        <v>1041</v>
      </c>
      <c r="K6" s="1" t="s">
        <v>1195</v>
      </c>
    </row>
    <row r="7" spans="1:11" x14ac:dyDescent="0.35">
      <c r="A7">
        <v>6</v>
      </c>
      <c r="B7" s="1" t="s">
        <v>1042</v>
      </c>
      <c r="C7" s="1" t="s">
        <v>1043</v>
      </c>
      <c r="D7" s="1" t="s">
        <v>1044</v>
      </c>
      <c r="E7" s="1" t="s">
        <v>1213</v>
      </c>
      <c r="F7" s="1" t="s">
        <v>1045</v>
      </c>
      <c r="G7" s="1" t="s">
        <v>1195</v>
      </c>
      <c r="H7" s="1" t="s">
        <v>1046</v>
      </c>
      <c r="I7" s="1" t="s">
        <v>1033</v>
      </c>
      <c r="J7" s="1" t="s">
        <v>1047</v>
      </c>
      <c r="K7" s="1" t="s">
        <v>1195</v>
      </c>
    </row>
    <row r="8" spans="1:11" x14ac:dyDescent="0.35">
      <c r="A8">
        <v>7</v>
      </c>
      <c r="B8" s="1" t="s">
        <v>1048</v>
      </c>
      <c r="C8" s="1" t="s">
        <v>1049</v>
      </c>
      <c r="D8" s="1" t="s">
        <v>87</v>
      </c>
      <c r="E8" s="1" t="s">
        <v>1214</v>
      </c>
      <c r="F8" s="1" t="s">
        <v>1050</v>
      </c>
      <c r="G8" s="1" t="s">
        <v>1051</v>
      </c>
      <c r="H8" s="1" t="s">
        <v>1052</v>
      </c>
      <c r="I8" s="1" t="s">
        <v>1053</v>
      </c>
      <c r="J8" s="1" t="s">
        <v>1054</v>
      </c>
      <c r="K8" s="1" t="s">
        <v>1055</v>
      </c>
    </row>
    <row r="9" spans="1:11" x14ac:dyDescent="0.35">
      <c r="A9">
        <v>8</v>
      </c>
      <c r="B9" s="1" t="s">
        <v>1056</v>
      </c>
      <c r="C9" s="1" t="s">
        <v>1057</v>
      </c>
      <c r="D9" s="1" t="s">
        <v>33</v>
      </c>
      <c r="E9" s="1" t="s">
        <v>1058</v>
      </c>
      <c r="F9" s="1" t="s">
        <v>1059</v>
      </c>
      <c r="G9" s="1" t="s">
        <v>1195</v>
      </c>
      <c r="H9" s="1" t="s">
        <v>1060</v>
      </c>
      <c r="I9" s="1" t="s">
        <v>63</v>
      </c>
      <c r="J9" s="1" t="s">
        <v>1061</v>
      </c>
      <c r="K9" s="1" t="s">
        <v>1195</v>
      </c>
    </row>
    <row r="10" spans="1:11" x14ac:dyDescent="0.35">
      <c r="A10">
        <v>9</v>
      </c>
      <c r="B10" s="1" t="s">
        <v>1062</v>
      </c>
      <c r="C10" s="1" t="s">
        <v>1063</v>
      </c>
      <c r="D10" s="1" t="s">
        <v>131</v>
      </c>
      <c r="E10" s="1" t="s">
        <v>1064</v>
      </c>
      <c r="F10" s="1" t="s">
        <v>1065</v>
      </c>
      <c r="G10" s="1" t="s">
        <v>1195</v>
      </c>
      <c r="H10" s="1" t="s">
        <v>1066</v>
      </c>
      <c r="I10" s="1" t="s">
        <v>73</v>
      </c>
      <c r="J10" s="1" t="s">
        <v>1067</v>
      </c>
      <c r="K10" s="1" t="s">
        <v>1068</v>
      </c>
    </row>
    <row r="11" spans="1:11" x14ac:dyDescent="0.35">
      <c r="A11">
        <v>10</v>
      </c>
      <c r="B11" s="1" t="s">
        <v>1069</v>
      </c>
      <c r="C11" s="1" t="s">
        <v>1070</v>
      </c>
      <c r="D11" s="1" t="s">
        <v>87</v>
      </c>
      <c r="E11" s="1" t="s">
        <v>1071</v>
      </c>
      <c r="F11" s="1" t="s">
        <v>158</v>
      </c>
      <c r="G11" s="1" t="s">
        <v>1195</v>
      </c>
      <c r="H11" s="1" t="s">
        <v>1072</v>
      </c>
      <c r="I11" s="1" t="s">
        <v>161</v>
      </c>
      <c r="J11" s="1" t="s">
        <v>1073</v>
      </c>
      <c r="K11" s="1" t="s">
        <v>1195</v>
      </c>
    </row>
    <row r="12" spans="1:11" x14ac:dyDescent="0.35">
      <c r="A12">
        <v>11</v>
      </c>
      <c r="B12" s="1" t="s">
        <v>1074</v>
      </c>
      <c r="C12" s="1" t="s">
        <v>1075</v>
      </c>
      <c r="D12" s="1" t="s">
        <v>195</v>
      </c>
      <c r="E12" s="1" t="s">
        <v>1076</v>
      </c>
      <c r="F12" s="1" t="s">
        <v>35</v>
      </c>
      <c r="G12" s="1" t="s">
        <v>1195</v>
      </c>
      <c r="H12" s="1" t="s">
        <v>1077</v>
      </c>
      <c r="I12" s="1" t="s">
        <v>38</v>
      </c>
      <c r="J12" s="1" t="s">
        <v>1078</v>
      </c>
      <c r="K12" s="1" t="s">
        <v>1195</v>
      </c>
    </row>
    <row r="13" spans="1:11" x14ac:dyDescent="0.35">
      <c r="A13">
        <v>12</v>
      </c>
      <c r="B13" s="1" t="s">
        <v>1079</v>
      </c>
      <c r="C13" s="1" t="s">
        <v>1080</v>
      </c>
      <c r="D13" s="1" t="s">
        <v>1081</v>
      </c>
      <c r="E13" s="1" t="s">
        <v>1082</v>
      </c>
      <c r="F13" s="1" t="s">
        <v>1083</v>
      </c>
      <c r="G13" s="1" t="s">
        <v>1195</v>
      </c>
      <c r="H13" s="1" t="s">
        <v>1084</v>
      </c>
      <c r="I13" s="1" t="s">
        <v>38</v>
      </c>
      <c r="J13" s="1" t="s">
        <v>1085</v>
      </c>
      <c r="K13" s="1" t="s">
        <v>1195</v>
      </c>
    </row>
    <row r="14" spans="1:11" x14ac:dyDescent="0.35">
      <c r="A14">
        <v>13</v>
      </c>
      <c r="B14" s="1" t="s">
        <v>1086</v>
      </c>
      <c r="C14" s="1" t="s">
        <v>1087</v>
      </c>
      <c r="D14" s="1" t="s">
        <v>1088</v>
      </c>
      <c r="E14" s="1" t="s">
        <v>1089</v>
      </c>
      <c r="F14" s="1" t="s">
        <v>1090</v>
      </c>
      <c r="G14" s="1" t="s">
        <v>1195</v>
      </c>
      <c r="H14" s="1" t="s">
        <v>1091</v>
      </c>
      <c r="I14" s="1" t="s">
        <v>38</v>
      </c>
      <c r="J14" s="1" t="s">
        <v>1092</v>
      </c>
      <c r="K14" s="1" t="s">
        <v>1093</v>
      </c>
    </row>
    <row r="15" spans="1:11" x14ac:dyDescent="0.35">
      <c r="A15">
        <v>14</v>
      </c>
      <c r="B15" s="1" t="s">
        <v>1094</v>
      </c>
      <c r="C15" s="1" t="s">
        <v>1095</v>
      </c>
      <c r="D15" s="1" t="s">
        <v>33</v>
      </c>
      <c r="E15" s="1" t="s">
        <v>1096</v>
      </c>
      <c r="F15" s="1" t="s">
        <v>1097</v>
      </c>
      <c r="G15" s="1" t="s">
        <v>1195</v>
      </c>
      <c r="H15" s="1" t="s">
        <v>1098</v>
      </c>
      <c r="I15" s="1" t="s">
        <v>252</v>
      </c>
      <c r="J15" s="1" t="s">
        <v>1099</v>
      </c>
      <c r="K15" s="1" t="s">
        <v>1100</v>
      </c>
    </row>
    <row r="16" spans="1:11" x14ac:dyDescent="0.35">
      <c r="A16">
        <v>15</v>
      </c>
      <c r="B16" s="1" t="s">
        <v>1101</v>
      </c>
      <c r="C16" s="1" t="s">
        <v>1102</v>
      </c>
      <c r="D16" s="1" t="s">
        <v>87</v>
      </c>
      <c r="E16" s="1" t="s">
        <v>1103</v>
      </c>
      <c r="F16" s="1" t="s">
        <v>1104</v>
      </c>
      <c r="G16" s="1" t="s">
        <v>1195</v>
      </c>
      <c r="H16" s="1" t="s">
        <v>1105</v>
      </c>
      <c r="I16" s="1" t="s">
        <v>585</v>
      </c>
      <c r="J16" s="1" t="s">
        <v>1106</v>
      </c>
      <c r="K16" s="1" t="s">
        <v>1195</v>
      </c>
    </row>
    <row r="17" spans="1:11" x14ac:dyDescent="0.35">
      <c r="A17">
        <v>16</v>
      </c>
      <c r="B17" s="1" t="s">
        <v>1107</v>
      </c>
      <c r="C17" s="1" t="s">
        <v>1108</v>
      </c>
      <c r="D17" s="1" t="s">
        <v>1109</v>
      </c>
      <c r="E17" s="1" t="s">
        <v>1215</v>
      </c>
      <c r="F17" s="1" t="s">
        <v>1110</v>
      </c>
      <c r="G17" s="1" t="s">
        <v>290</v>
      </c>
      <c r="H17" s="1" t="s">
        <v>1111</v>
      </c>
      <c r="I17" s="1" t="s">
        <v>292</v>
      </c>
      <c r="J17" s="1" t="s">
        <v>1007</v>
      </c>
      <c r="K17" s="1" t="s">
        <v>1195</v>
      </c>
    </row>
    <row r="18" spans="1:11" x14ac:dyDescent="0.35">
      <c r="A18">
        <v>17</v>
      </c>
      <c r="B18" s="1" t="s">
        <v>1112</v>
      </c>
      <c r="C18" s="1" t="s">
        <v>1113</v>
      </c>
      <c r="D18" s="1" t="s">
        <v>33</v>
      </c>
      <c r="E18" s="1" t="s">
        <v>1114</v>
      </c>
      <c r="F18" s="1" t="s">
        <v>1115</v>
      </c>
      <c r="G18" s="1" t="s">
        <v>1195</v>
      </c>
      <c r="H18" s="1" t="s">
        <v>1116</v>
      </c>
      <c r="I18" s="1" t="s">
        <v>73</v>
      </c>
      <c r="J18" s="1" t="s">
        <v>1117</v>
      </c>
      <c r="K18" s="1" t="s">
        <v>1195</v>
      </c>
    </row>
    <row r="19" spans="1:11" x14ac:dyDescent="0.35">
      <c r="A19">
        <v>18</v>
      </c>
      <c r="B19" s="1" t="s">
        <v>1118</v>
      </c>
      <c r="C19" s="1" t="s">
        <v>1119</v>
      </c>
      <c r="D19" s="1" t="s">
        <v>195</v>
      </c>
      <c r="E19" s="1" t="s">
        <v>1120</v>
      </c>
      <c r="F19" s="1" t="s">
        <v>490</v>
      </c>
      <c r="G19" s="1" t="s">
        <v>1195</v>
      </c>
      <c r="H19" s="1" t="s">
        <v>1121</v>
      </c>
      <c r="I19" s="1" t="s">
        <v>91</v>
      </c>
      <c r="J19" s="1" t="s">
        <v>1122</v>
      </c>
      <c r="K19" s="1" t="s">
        <v>1123</v>
      </c>
    </row>
    <row r="20" spans="1:11" x14ac:dyDescent="0.35">
      <c r="A20">
        <v>19</v>
      </c>
      <c r="B20" s="1" t="s">
        <v>1124</v>
      </c>
      <c r="C20" s="1" t="s">
        <v>1125</v>
      </c>
      <c r="D20" s="1" t="s">
        <v>1126</v>
      </c>
      <c r="E20" s="1" t="s">
        <v>1216</v>
      </c>
      <c r="F20" s="1" t="s">
        <v>1127</v>
      </c>
      <c r="G20" s="1" t="s">
        <v>1128</v>
      </c>
      <c r="H20" s="1" t="s">
        <v>1129</v>
      </c>
      <c r="I20" s="1" t="s">
        <v>292</v>
      </c>
      <c r="J20" s="1" t="s">
        <v>1130</v>
      </c>
      <c r="K20" s="1" t="s">
        <v>1131</v>
      </c>
    </row>
    <row r="21" spans="1:11" x14ac:dyDescent="0.35">
      <c r="A21">
        <v>20</v>
      </c>
      <c r="B21" s="1" t="s">
        <v>1132</v>
      </c>
      <c r="C21" s="1" t="s">
        <v>1133</v>
      </c>
      <c r="D21" s="1" t="s">
        <v>44</v>
      </c>
      <c r="E21" s="1" t="s">
        <v>1134</v>
      </c>
      <c r="F21" s="1" t="s">
        <v>1135</v>
      </c>
      <c r="G21" s="1" t="s">
        <v>1195</v>
      </c>
      <c r="H21" s="1" t="s">
        <v>1136</v>
      </c>
      <c r="I21" s="1" t="s">
        <v>1135</v>
      </c>
      <c r="J21" s="1" t="s">
        <v>1137</v>
      </c>
      <c r="K21" s="1" t="s">
        <v>1195</v>
      </c>
    </row>
    <row r="22" spans="1:11" x14ac:dyDescent="0.35">
      <c r="A22">
        <v>21</v>
      </c>
      <c r="B22" s="1" t="s">
        <v>1138</v>
      </c>
      <c r="C22" s="1" t="s">
        <v>1139</v>
      </c>
      <c r="D22" s="1" t="s">
        <v>195</v>
      </c>
      <c r="E22" s="1" t="s">
        <v>1217</v>
      </c>
      <c r="F22" s="1" t="s">
        <v>1140</v>
      </c>
      <c r="G22" s="1" t="s">
        <v>1195</v>
      </c>
      <c r="H22" s="1" t="s">
        <v>1141</v>
      </c>
      <c r="I22" s="1" t="s">
        <v>609</v>
      </c>
      <c r="J22" s="1" t="s">
        <v>1142</v>
      </c>
      <c r="K22" s="1" t="s">
        <v>1143</v>
      </c>
    </row>
    <row r="23" spans="1:11" x14ac:dyDescent="0.35">
      <c r="A23">
        <v>22</v>
      </c>
      <c r="B23" s="1" t="s">
        <v>1144</v>
      </c>
      <c r="C23" s="1" t="s">
        <v>1145</v>
      </c>
      <c r="D23" s="1" t="s">
        <v>114</v>
      </c>
      <c r="E23" s="1" t="s">
        <v>1218</v>
      </c>
      <c r="F23" s="1" t="s">
        <v>1146</v>
      </c>
      <c r="G23" s="1" t="s">
        <v>1195</v>
      </c>
      <c r="H23" s="1" t="s">
        <v>1147</v>
      </c>
      <c r="I23" s="1" t="s">
        <v>1148</v>
      </c>
      <c r="J23" s="1" t="s">
        <v>1149</v>
      </c>
      <c r="K23" s="1" t="s">
        <v>1150</v>
      </c>
    </row>
    <row r="24" spans="1:11" x14ac:dyDescent="0.35">
      <c r="A24">
        <v>23</v>
      </c>
      <c r="B24" s="1" t="s">
        <v>1151</v>
      </c>
      <c r="C24" s="1" t="s">
        <v>1152</v>
      </c>
      <c r="D24" s="1" t="s">
        <v>1153</v>
      </c>
      <c r="E24" s="1" t="s">
        <v>1154</v>
      </c>
      <c r="F24" s="1" t="s">
        <v>1155</v>
      </c>
      <c r="G24" s="1" t="s">
        <v>1195</v>
      </c>
      <c r="H24" s="1" t="s">
        <v>1156</v>
      </c>
      <c r="I24" s="1" t="s">
        <v>716</v>
      </c>
      <c r="J24" s="1" t="s">
        <v>1157</v>
      </c>
      <c r="K24" s="1" t="s">
        <v>1195</v>
      </c>
    </row>
    <row r="25" spans="1:11" x14ac:dyDescent="0.35">
      <c r="A25">
        <v>24</v>
      </c>
      <c r="B25" s="1" t="s">
        <v>1158</v>
      </c>
      <c r="C25" s="1" t="s">
        <v>1159</v>
      </c>
      <c r="D25" s="1" t="s">
        <v>33</v>
      </c>
      <c r="E25" s="1" t="s">
        <v>1219</v>
      </c>
      <c r="F25" s="1" t="s">
        <v>1160</v>
      </c>
      <c r="G25" s="1" t="s">
        <v>1161</v>
      </c>
      <c r="H25" s="1" t="s">
        <v>1162</v>
      </c>
      <c r="I25" s="1" t="s">
        <v>1053</v>
      </c>
      <c r="J25" s="1" t="s">
        <v>1163</v>
      </c>
      <c r="K25" s="1" t="s">
        <v>1164</v>
      </c>
    </row>
    <row r="26" spans="1:11" x14ac:dyDescent="0.35">
      <c r="A26">
        <v>25</v>
      </c>
      <c r="B26" s="1" t="s">
        <v>1165</v>
      </c>
      <c r="C26" s="1" t="s">
        <v>1166</v>
      </c>
      <c r="D26" s="1" t="s">
        <v>87</v>
      </c>
      <c r="E26" s="1" t="s">
        <v>1167</v>
      </c>
      <c r="F26" s="1" t="s">
        <v>446</v>
      </c>
      <c r="G26" s="1" t="s">
        <v>447</v>
      </c>
      <c r="H26" s="1" t="s">
        <v>448</v>
      </c>
      <c r="I26" s="1" t="s">
        <v>119</v>
      </c>
      <c r="J26" s="1" t="s">
        <v>1168</v>
      </c>
      <c r="K26" s="1" t="s">
        <v>1195</v>
      </c>
    </row>
    <row r="27" spans="1:11" x14ac:dyDescent="0.35">
      <c r="A27">
        <v>26</v>
      </c>
      <c r="B27" s="1" t="s">
        <v>1169</v>
      </c>
      <c r="C27" s="1" t="s">
        <v>1170</v>
      </c>
      <c r="D27" s="1" t="s">
        <v>69</v>
      </c>
      <c r="E27" s="1" t="s">
        <v>1171</v>
      </c>
      <c r="F27" s="1" t="s">
        <v>1172</v>
      </c>
      <c r="G27" s="1" t="s">
        <v>1195</v>
      </c>
      <c r="H27" s="1" t="s">
        <v>1173</v>
      </c>
      <c r="I27" s="1" t="s">
        <v>252</v>
      </c>
      <c r="J27" s="1" t="s">
        <v>1174</v>
      </c>
      <c r="K27" s="1" t="s">
        <v>1175</v>
      </c>
    </row>
    <row r="28" spans="1:11" x14ac:dyDescent="0.35">
      <c r="A28">
        <v>27</v>
      </c>
      <c r="B28" s="1" t="s">
        <v>1176</v>
      </c>
      <c r="C28" s="1" t="s">
        <v>1177</v>
      </c>
      <c r="D28" s="1" t="s">
        <v>195</v>
      </c>
      <c r="E28" s="1" t="s">
        <v>1178</v>
      </c>
      <c r="F28" s="1" t="s">
        <v>1179</v>
      </c>
      <c r="G28" s="1" t="s">
        <v>1195</v>
      </c>
      <c r="H28" s="1" t="s">
        <v>1180</v>
      </c>
      <c r="I28" s="1" t="s">
        <v>91</v>
      </c>
      <c r="J28" s="1" t="s">
        <v>1181</v>
      </c>
      <c r="K28" s="1" t="s">
        <v>1195</v>
      </c>
    </row>
    <row r="29" spans="1:11" x14ac:dyDescent="0.35">
      <c r="A29">
        <v>28</v>
      </c>
      <c r="B29" s="1" t="s">
        <v>1182</v>
      </c>
      <c r="C29" s="1" t="s">
        <v>1183</v>
      </c>
      <c r="D29" s="1" t="s">
        <v>33</v>
      </c>
      <c r="E29" s="1" t="s">
        <v>1220</v>
      </c>
      <c r="F29" s="1" t="s">
        <v>1184</v>
      </c>
      <c r="G29" s="1" t="s">
        <v>1195</v>
      </c>
      <c r="H29" s="1" t="s">
        <v>1185</v>
      </c>
      <c r="I29" s="1" t="s">
        <v>91</v>
      </c>
      <c r="J29" s="1" t="s">
        <v>1186</v>
      </c>
      <c r="K29" s="1" t="s">
        <v>1187</v>
      </c>
    </row>
    <row r="30" spans="1:11" x14ac:dyDescent="0.35">
      <c r="A30">
        <v>29</v>
      </c>
      <c r="B30" s="1" t="s">
        <v>1188</v>
      </c>
      <c r="C30" s="1" t="s">
        <v>1189</v>
      </c>
      <c r="D30" s="1" t="s">
        <v>114</v>
      </c>
      <c r="E30" s="1" t="s">
        <v>1190</v>
      </c>
      <c r="F30" s="1" t="s">
        <v>1191</v>
      </c>
      <c r="G30" s="1" t="s">
        <v>447</v>
      </c>
      <c r="H30" s="1" t="s">
        <v>1192</v>
      </c>
      <c r="I30" s="1" t="s">
        <v>119</v>
      </c>
      <c r="J30" s="1" t="s">
        <v>1193</v>
      </c>
      <c r="K30" s="1" t="s">
        <v>1194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0170E1-3F55-4D93-B6B2-FF37F8FDDCDE}">
  <dimension ref="A1:C9"/>
  <sheetViews>
    <sheetView workbookViewId="0">
      <selection activeCell="D3" sqref="D3"/>
    </sheetView>
  </sheetViews>
  <sheetFormatPr defaultRowHeight="14.5" x14ac:dyDescent="0.35"/>
  <cols>
    <col min="1" max="1" width="12.36328125" bestFit="1" customWidth="1"/>
    <col min="2" max="2" width="15.54296875" bestFit="1" customWidth="1"/>
    <col min="3" max="3" width="50.6328125" bestFit="1" customWidth="1"/>
    <col min="4" max="4" width="80.7265625" bestFit="1" customWidth="1"/>
  </cols>
  <sheetData>
    <row r="1" spans="1:3" x14ac:dyDescent="0.35">
      <c r="A1" t="s">
        <v>0</v>
      </c>
      <c r="B1" t="s">
        <v>1</v>
      </c>
      <c r="C1" t="s">
        <v>2</v>
      </c>
    </row>
    <row r="2" spans="1:3" x14ac:dyDescent="0.35">
      <c r="A2">
        <v>1</v>
      </c>
      <c r="B2" s="1" t="s">
        <v>3</v>
      </c>
      <c r="C2" s="1" t="s">
        <v>4</v>
      </c>
    </row>
    <row r="3" spans="1:3" x14ac:dyDescent="0.35">
      <c r="A3">
        <v>2</v>
      </c>
      <c r="B3" s="1" t="s">
        <v>5</v>
      </c>
      <c r="C3" s="1" t="s">
        <v>6</v>
      </c>
    </row>
    <row r="4" spans="1:3" x14ac:dyDescent="0.35">
      <c r="A4">
        <v>3</v>
      </c>
      <c r="B4" s="1" t="s">
        <v>7</v>
      </c>
      <c r="C4" s="1" t="s">
        <v>8</v>
      </c>
    </row>
    <row r="5" spans="1:3" x14ac:dyDescent="0.35">
      <c r="A5">
        <v>4</v>
      </c>
      <c r="B5" s="1" t="s">
        <v>9</v>
      </c>
      <c r="C5" s="1" t="s">
        <v>10</v>
      </c>
    </row>
    <row r="6" spans="1:3" x14ac:dyDescent="0.35">
      <c r="A6">
        <v>5</v>
      </c>
      <c r="B6" s="1" t="s">
        <v>11</v>
      </c>
      <c r="C6" s="1" t="s">
        <v>12</v>
      </c>
    </row>
    <row r="7" spans="1:3" x14ac:dyDescent="0.35">
      <c r="A7">
        <v>6</v>
      </c>
      <c r="B7" s="1" t="s">
        <v>13</v>
      </c>
      <c r="C7" s="1" t="s">
        <v>14</v>
      </c>
    </row>
    <row r="8" spans="1:3" x14ac:dyDescent="0.35">
      <c r="A8">
        <v>7</v>
      </c>
      <c r="B8" s="1" t="s">
        <v>15</v>
      </c>
      <c r="C8" s="1" t="s">
        <v>16</v>
      </c>
    </row>
    <row r="9" spans="1:3" x14ac:dyDescent="0.35">
      <c r="A9">
        <v>8</v>
      </c>
      <c r="B9" s="1" t="s">
        <v>17</v>
      </c>
      <c r="C9" s="1" t="s">
        <v>18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899223-D45C-494C-A113-751231DBBDBA}">
  <dimension ref="A1:C4"/>
  <sheetViews>
    <sheetView workbookViewId="0"/>
  </sheetViews>
  <sheetFormatPr defaultRowHeight="14.5" x14ac:dyDescent="0.35"/>
  <cols>
    <col min="1" max="1" width="11.26953125" bestFit="1" customWidth="1"/>
    <col min="2" max="2" width="16" bestFit="1" customWidth="1"/>
    <col min="3" max="3" width="13.26953125" bestFit="1" customWidth="1"/>
  </cols>
  <sheetData>
    <row r="1" spans="1:3" x14ac:dyDescent="0.35">
      <c r="A1" t="s">
        <v>1001</v>
      </c>
      <c r="B1" t="s">
        <v>20</v>
      </c>
      <c r="C1" t="s">
        <v>28</v>
      </c>
    </row>
    <row r="2" spans="1:3" x14ac:dyDescent="0.35">
      <c r="A2">
        <v>1</v>
      </c>
      <c r="B2" s="1" t="s">
        <v>1002</v>
      </c>
      <c r="C2" s="1" t="s">
        <v>1003</v>
      </c>
    </row>
    <row r="3" spans="1:3" x14ac:dyDescent="0.35">
      <c r="A3">
        <v>2</v>
      </c>
      <c r="B3" s="1" t="s">
        <v>1004</v>
      </c>
      <c r="C3" s="1" t="s">
        <v>1005</v>
      </c>
    </row>
    <row r="4" spans="1:3" x14ac:dyDescent="0.35">
      <c r="A4">
        <v>3</v>
      </c>
      <c r="B4" s="1" t="s">
        <v>1006</v>
      </c>
      <c r="C4" s="1" t="s">
        <v>1007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F0BB0-45DF-481E-B278-ABB10570BA30}">
  <dimension ref="A1:F91"/>
  <sheetViews>
    <sheetView workbookViewId="0">
      <selection activeCell="D9" sqref="D9"/>
    </sheetView>
  </sheetViews>
  <sheetFormatPr defaultRowHeight="14.5" x14ac:dyDescent="0.35"/>
  <cols>
    <col min="1" max="1" width="12.36328125" bestFit="1" customWidth="1"/>
    <col min="2" max="2" width="15.36328125" customWidth="1"/>
    <col min="3" max="3" width="6.36328125" customWidth="1"/>
    <col min="4" max="4" width="27" customWidth="1"/>
    <col min="5" max="5" width="7.6328125" customWidth="1"/>
    <col min="6" max="6" width="13.1796875" bestFit="1" customWidth="1"/>
  </cols>
  <sheetData>
    <row r="1" spans="1:6" x14ac:dyDescent="0.35">
      <c r="A1" s="5" t="s">
        <v>1223</v>
      </c>
      <c r="B1" t="s">
        <v>1225</v>
      </c>
    </row>
    <row r="2" spans="1:6" x14ac:dyDescent="0.35">
      <c r="A2" s="6" t="s">
        <v>30</v>
      </c>
      <c r="B2" s="1">
        <v>6</v>
      </c>
      <c r="C2" s="1"/>
      <c r="D2" s="12" t="s">
        <v>1237</v>
      </c>
      <c r="E2" s="31">
        <f>AVERAGE(B2:B90)</f>
        <v>9.3258426966292127</v>
      </c>
    </row>
    <row r="3" spans="1:6" x14ac:dyDescent="0.35">
      <c r="A3" s="6" t="s">
        <v>41</v>
      </c>
      <c r="B3" s="1">
        <v>4</v>
      </c>
      <c r="C3" s="1"/>
    </row>
    <row r="4" spans="1:6" ht="17.5" x14ac:dyDescent="0.35">
      <c r="A4" s="6" t="s">
        <v>51</v>
      </c>
      <c r="B4" s="1">
        <v>7</v>
      </c>
      <c r="C4" s="1"/>
      <c r="D4" s="8" t="s">
        <v>1228</v>
      </c>
    </row>
    <row r="5" spans="1:6" x14ac:dyDescent="0.35">
      <c r="A5" s="6" t="s">
        <v>57</v>
      </c>
      <c r="B5" s="1">
        <v>13</v>
      </c>
      <c r="C5" s="1"/>
      <c r="D5" s="9"/>
      <c r="F5" s="6"/>
    </row>
    <row r="6" spans="1:6" x14ac:dyDescent="0.35">
      <c r="A6" s="6" t="s">
        <v>66</v>
      </c>
      <c r="B6" s="1">
        <v>18</v>
      </c>
      <c r="C6" s="1"/>
      <c r="D6" s="9" t="s">
        <v>1229</v>
      </c>
    </row>
    <row r="7" spans="1:6" x14ac:dyDescent="0.35">
      <c r="A7" s="6" t="s">
        <v>76</v>
      </c>
      <c r="B7" s="1">
        <v>7</v>
      </c>
      <c r="C7" s="1"/>
      <c r="D7" s="9" t="s">
        <v>1230</v>
      </c>
    </row>
    <row r="8" spans="1:6" x14ac:dyDescent="0.35">
      <c r="A8" s="6" t="s">
        <v>84</v>
      </c>
      <c r="B8" s="1">
        <v>11</v>
      </c>
      <c r="C8" s="1"/>
    </row>
    <row r="9" spans="1:6" ht="17.5" x14ac:dyDescent="0.35">
      <c r="A9" s="6" t="s">
        <v>94</v>
      </c>
      <c r="B9" s="1">
        <v>3</v>
      </c>
      <c r="C9" s="1"/>
      <c r="D9" s="8" t="s">
        <v>1231</v>
      </c>
    </row>
    <row r="10" spans="1:6" x14ac:dyDescent="0.35">
      <c r="A10" s="6" t="s">
        <v>103</v>
      </c>
      <c r="B10" s="1">
        <v>17</v>
      </c>
      <c r="C10" s="1"/>
    </row>
    <row r="11" spans="1:6" x14ac:dyDescent="0.35">
      <c r="A11" s="6" t="s">
        <v>111</v>
      </c>
      <c r="B11" s="1">
        <v>14</v>
      </c>
      <c r="C11" s="1"/>
      <c r="D11" t="s">
        <v>1232</v>
      </c>
    </row>
    <row r="12" spans="1:6" x14ac:dyDescent="0.35">
      <c r="A12" s="6" t="s">
        <v>122</v>
      </c>
      <c r="B12" s="1">
        <v>10</v>
      </c>
      <c r="C12" s="1"/>
      <c r="D12" s="9"/>
    </row>
    <row r="13" spans="1:6" x14ac:dyDescent="0.35">
      <c r="A13" s="6" t="s">
        <v>128</v>
      </c>
      <c r="B13" s="1">
        <v>6</v>
      </c>
      <c r="C13" s="1"/>
      <c r="D13" s="9" t="s">
        <v>1233</v>
      </c>
    </row>
    <row r="14" spans="1:6" x14ac:dyDescent="0.35">
      <c r="A14" s="6" t="s">
        <v>138</v>
      </c>
      <c r="B14" s="1">
        <v>1</v>
      </c>
      <c r="C14" s="1"/>
      <c r="D14" s="9"/>
    </row>
    <row r="15" spans="1:6" x14ac:dyDescent="0.35">
      <c r="A15" s="6" t="s">
        <v>145</v>
      </c>
      <c r="B15" s="1">
        <v>8</v>
      </c>
      <c r="C15" s="1"/>
      <c r="D15" s="9" t="s">
        <v>1234</v>
      </c>
    </row>
    <row r="16" spans="1:6" x14ac:dyDescent="0.35">
      <c r="A16" s="6" t="s">
        <v>153</v>
      </c>
      <c r="B16" s="1">
        <v>5</v>
      </c>
      <c r="C16" s="1"/>
    </row>
    <row r="17" spans="1:4" x14ac:dyDescent="0.35">
      <c r="A17" s="6" t="s">
        <v>163</v>
      </c>
      <c r="B17" s="1">
        <v>3</v>
      </c>
      <c r="C17" s="1"/>
      <c r="D17" t="s">
        <v>1235</v>
      </c>
    </row>
    <row r="18" spans="1:4" x14ac:dyDescent="0.35">
      <c r="A18" s="6" t="s">
        <v>169</v>
      </c>
      <c r="B18" s="1">
        <v>6</v>
      </c>
      <c r="C18" s="1"/>
      <c r="D18" t="s">
        <v>1236</v>
      </c>
    </row>
    <row r="19" spans="1:4" x14ac:dyDescent="0.35">
      <c r="A19" s="6" t="s">
        <v>177</v>
      </c>
      <c r="B19" s="1">
        <v>4</v>
      </c>
      <c r="C19" s="1"/>
    </row>
    <row r="20" spans="1:4" x14ac:dyDescent="0.35">
      <c r="A20" s="6" t="s">
        <v>185</v>
      </c>
      <c r="B20" s="1">
        <v>8</v>
      </c>
      <c r="C20" s="1"/>
    </row>
    <row r="21" spans="1:4" x14ac:dyDescent="0.35">
      <c r="A21" s="6" t="s">
        <v>192</v>
      </c>
      <c r="B21" s="1">
        <v>30</v>
      </c>
      <c r="C21" s="1"/>
    </row>
    <row r="22" spans="1:4" x14ac:dyDescent="0.35">
      <c r="A22" s="6" t="s">
        <v>202</v>
      </c>
      <c r="B22" s="1">
        <v>7</v>
      </c>
      <c r="C22" s="1"/>
    </row>
    <row r="23" spans="1:4" x14ac:dyDescent="0.35">
      <c r="A23" s="6" t="s">
        <v>216</v>
      </c>
      <c r="B23" s="1">
        <v>5</v>
      </c>
      <c r="C23" s="1"/>
    </row>
    <row r="24" spans="1:4" x14ac:dyDescent="0.35">
      <c r="A24" s="6" t="s">
        <v>225</v>
      </c>
      <c r="B24" s="1">
        <v>19</v>
      </c>
      <c r="C24" s="1"/>
    </row>
    <row r="25" spans="1:4" x14ac:dyDescent="0.35">
      <c r="A25" s="6" t="s">
        <v>232</v>
      </c>
      <c r="B25" s="1">
        <v>15</v>
      </c>
      <c r="C25" s="1"/>
    </row>
    <row r="26" spans="1:4" x14ac:dyDescent="0.35">
      <c r="A26" s="6" t="s">
        <v>240</v>
      </c>
      <c r="B26" s="1">
        <v>3</v>
      </c>
      <c r="C26" s="1"/>
    </row>
    <row r="27" spans="1:4" x14ac:dyDescent="0.35">
      <c r="A27" s="6" t="s">
        <v>246</v>
      </c>
      <c r="B27" s="1">
        <v>6</v>
      </c>
      <c r="C27" s="1"/>
    </row>
    <row r="28" spans="1:4" x14ac:dyDescent="0.35">
      <c r="A28" s="6" t="s">
        <v>255</v>
      </c>
      <c r="B28" s="1">
        <v>8</v>
      </c>
      <c r="C28" s="1"/>
    </row>
    <row r="29" spans="1:4" x14ac:dyDescent="0.35">
      <c r="A29" s="6" t="s">
        <v>263</v>
      </c>
      <c r="B29" s="1">
        <v>5</v>
      </c>
      <c r="C29" s="1"/>
    </row>
    <row r="30" spans="1:4" x14ac:dyDescent="0.35">
      <c r="A30" s="6" t="s">
        <v>271</v>
      </c>
      <c r="B30" s="1">
        <v>10</v>
      </c>
      <c r="C30" s="1"/>
    </row>
    <row r="31" spans="1:4" x14ac:dyDescent="0.35">
      <c r="A31" s="6" t="s">
        <v>278</v>
      </c>
      <c r="B31" s="1">
        <v>9</v>
      </c>
      <c r="C31" s="1"/>
    </row>
    <row r="32" spans="1:4" x14ac:dyDescent="0.35">
      <c r="A32" s="6" t="s">
        <v>285</v>
      </c>
      <c r="B32" s="1">
        <v>11</v>
      </c>
      <c r="C32" s="1"/>
    </row>
    <row r="33" spans="1:3" x14ac:dyDescent="0.35">
      <c r="A33" s="6" t="s">
        <v>294</v>
      </c>
      <c r="B33" s="1">
        <v>2</v>
      </c>
      <c r="C33" s="1"/>
    </row>
    <row r="34" spans="1:3" x14ac:dyDescent="0.35">
      <c r="A34" s="6" t="s">
        <v>304</v>
      </c>
      <c r="B34" s="1">
        <v>14</v>
      </c>
      <c r="C34" s="1"/>
    </row>
    <row r="35" spans="1:3" x14ac:dyDescent="0.35">
      <c r="A35" s="6" t="s">
        <v>313</v>
      </c>
      <c r="B35" s="1">
        <v>18</v>
      </c>
      <c r="C35" s="1"/>
    </row>
    <row r="36" spans="1:3" x14ac:dyDescent="0.35">
      <c r="A36" s="6" t="s">
        <v>322</v>
      </c>
      <c r="B36" s="1">
        <v>5</v>
      </c>
      <c r="C36" s="1"/>
    </row>
    <row r="37" spans="1:3" x14ac:dyDescent="0.35">
      <c r="A37" s="6" t="s">
        <v>329</v>
      </c>
      <c r="B37" s="1">
        <v>19</v>
      </c>
      <c r="C37" s="1"/>
    </row>
    <row r="38" spans="1:3" x14ac:dyDescent="0.35">
      <c r="A38" s="6" t="s">
        <v>338</v>
      </c>
      <c r="B38" s="1">
        <v>10</v>
      </c>
      <c r="C38" s="1"/>
    </row>
    <row r="39" spans="1:3" x14ac:dyDescent="0.35">
      <c r="A39" s="6" t="s">
        <v>345</v>
      </c>
      <c r="B39" s="1">
        <v>14</v>
      </c>
      <c r="C39" s="1"/>
    </row>
    <row r="40" spans="1:3" x14ac:dyDescent="0.35">
      <c r="A40" s="6" t="s">
        <v>352</v>
      </c>
      <c r="B40" s="1">
        <v>4</v>
      </c>
      <c r="C40" s="1"/>
    </row>
    <row r="41" spans="1:3" x14ac:dyDescent="0.35">
      <c r="A41" s="6" t="s">
        <v>360</v>
      </c>
      <c r="B41" s="1">
        <v>14</v>
      </c>
      <c r="C41" s="1"/>
    </row>
    <row r="42" spans="1:3" x14ac:dyDescent="0.35">
      <c r="A42" s="6" t="s">
        <v>368</v>
      </c>
      <c r="B42" s="1">
        <v>3</v>
      </c>
      <c r="C42" s="1"/>
    </row>
    <row r="43" spans="1:3" x14ac:dyDescent="0.35">
      <c r="A43" s="6" t="s">
        <v>376</v>
      </c>
      <c r="B43" s="1">
        <v>2</v>
      </c>
      <c r="C43" s="1"/>
    </row>
    <row r="44" spans="1:3" x14ac:dyDescent="0.35">
      <c r="A44" s="6" t="s">
        <v>385</v>
      </c>
      <c r="B44" s="1">
        <v>15</v>
      </c>
      <c r="C44" s="1"/>
    </row>
    <row r="45" spans="1:3" x14ac:dyDescent="0.35">
      <c r="A45" s="6" t="s">
        <v>392</v>
      </c>
      <c r="B45" s="1">
        <v>4</v>
      </c>
      <c r="C45" s="1"/>
    </row>
    <row r="46" spans="1:3" x14ac:dyDescent="0.35">
      <c r="A46" s="6" t="s">
        <v>399</v>
      </c>
      <c r="B46" s="1">
        <v>14</v>
      </c>
      <c r="C46" s="1"/>
    </row>
    <row r="47" spans="1:3" x14ac:dyDescent="0.35">
      <c r="A47" s="6" t="s">
        <v>408</v>
      </c>
      <c r="B47" s="1">
        <v>12</v>
      </c>
      <c r="C47" s="1"/>
    </row>
    <row r="48" spans="1:3" x14ac:dyDescent="0.35">
      <c r="A48" s="6" t="s">
        <v>417</v>
      </c>
      <c r="B48" s="1">
        <v>8</v>
      </c>
      <c r="C48" s="1"/>
    </row>
    <row r="49" spans="1:3" x14ac:dyDescent="0.35">
      <c r="A49" s="6" t="s">
        <v>425</v>
      </c>
      <c r="B49" s="1">
        <v>10</v>
      </c>
      <c r="C49" s="1"/>
    </row>
    <row r="50" spans="1:3" x14ac:dyDescent="0.35">
      <c r="A50" s="6" t="s">
        <v>433</v>
      </c>
      <c r="B50" s="1">
        <v>7</v>
      </c>
      <c r="C50" s="1"/>
    </row>
    <row r="51" spans="1:3" x14ac:dyDescent="0.35">
      <c r="A51" s="6" t="s">
        <v>442</v>
      </c>
      <c r="B51" s="1">
        <v>13</v>
      </c>
      <c r="C51" s="1"/>
    </row>
    <row r="52" spans="1:3" x14ac:dyDescent="0.35">
      <c r="A52" s="6" t="s">
        <v>451</v>
      </c>
      <c r="B52" s="1">
        <v>5</v>
      </c>
      <c r="C52" s="1"/>
    </row>
    <row r="53" spans="1:3" x14ac:dyDescent="0.35">
      <c r="A53" s="6" t="s">
        <v>458</v>
      </c>
      <c r="B53" s="1">
        <v>3</v>
      </c>
      <c r="C53" s="1"/>
    </row>
    <row r="54" spans="1:3" x14ac:dyDescent="0.35">
      <c r="A54" s="6" t="s">
        <v>464</v>
      </c>
      <c r="B54" s="1">
        <v>5</v>
      </c>
      <c r="C54" s="1"/>
    </row>
    <row r="55" spans="1:3" x14ac:dyDescent="0.35">
      <c r="A55" s="6" t="s">
        <v>469</v>
      </c>
      <c r="B55" s="1">
        <v>10</v>
      </c>
      <c r="C55" s="1"/>
    </row>
    <row r="56" spans="1:3" x14ac:dyDescent="0.35">
      <c r="A56" s="6" t="s">
        <v>478</v>
      </c>
      <c r="B56" s="1">
        <v>10</v>
      </c>
      <c r="C56" s="1"/>
    </row>
    <row r="57" spans="1:3" x14ac:dyDescent="0.35">
      <c r="A57" s="6" t="s">
        <v>494</v>
      </c>
      <c r="B57" s="1">
        <v>6</v>
      </c>
      <c r="C57" s="1"/>
    </row>
    <row r="58" spans="1:3" x14ac:dyDescent="0.35">
      <c r="A58" s="6" t="s">
        <v>501</v>
      </c>
      <c r="B58" s="1">
        <v>10</v>
      </c>
      <c r="C58" s="1"/>
    </row>
    <row r="59" spans="1:3" x14ac:dyDescent="0.35">
      <c r="A59" s="6" t="s">
        <v>509</v>
      </c>
      <c r="B59" s="1">
        <v>5</v>
      </c>
      <c r="C59" s="1"/>
    </row>
    <row r="60" spans="1:3" x14ac:dyDescent="0.35">
      <c r="A60" s="6" t="s">
        <v>515</v>
      </c>
      <c r="B60" s="1">
        <v>9</v>
      </c>
      <c r="C60" s="1"/>
    </row>
    <row r="61" spans="1:3" x14ac:dyDescent="0.35">
      <c r="A61" s="6" t="s">
        <v>522</v>
      </c>
      <c r="B61" s="1">
        <v>13</v>
      </c>
      <c r="C61" s="1"/>
    </row>
    <row r="62" spans="1:3" x14ac:dyDescent="0.35">
      <c r="A62" s="6" t="s">
        <v>528</v>
      </c>
      <c r="B62" s="1">
        <v>28</v>
      </c>
      <c r="C62" s="1"/>
    </row>
    <row r="63" spans="1:3" x14ac:dyDescent="0.35">
      <c r="A63" s="6" t="s">
        <v>535</v>
      </c>
      <c r="B63" s="1">
        <v>5</v>
      </c>
      <c r="C63" s="1"/>
    </row>
    <row r="64" spans="1:3" x14ac:dyDescent="0.35">
      <c r="A64" s="6" t="s">
        <v>541</v>
      </c>
      <c r="B64" s="1">
        <v>18</v>
      </c>
      <c r="C64" s="1"/>
    </row>
    <row r="65" spans="1:3" x14ac:dyDescent="0.35">
      <c r="A65" s="6" t="s">
        <v>551</v>
      </c>
      <c r="B65" s="1">
        <v>12</v>
      </c>
      <c r="C65" s="1"/>
    </row>
    <row r="66" spans="1:3" x14ac:dyDescent="0.35">
      <c r="A66" s="6" t="s">
        <v>559</v>
      </c>
      <c r="B66" s="1">
        <v>11</v>
      </c>
      <c r="C66" s="1"/>
    </row>
    <row r="67" spans="1:3" x14ac:dyDescent="0.35">
      <c r="A67" s="6" t="s">
        <v>565</v>
      </c>
      <c r="B67" s="1">
        <v>10</v>
      </c>
      <c r="C67" s="1"/>
    </row>
    <row r="68" spans="1:3" x14ac:dyDescent="0.35">
      <c r="A68" s="6" t="s">
        <v>572</v>
      </c>
      <c r="B68" s="1">
        <v>5</v>
      </c>
      <c r="C68" s="1"/>
    </row>
    <row r="69" spans="1:3" x14ac:dyDescent="0.35">
      <c r="A69" s="6" t="s">
        <v>579</v>
      </c>
      <c r="B69" s="1">
        <v>6</v>
      </c>
      <c r="C69" s="1"/>
    </row>
    <row r="70" spans="1:3" x14ac:dyDescent="0.35">
      <c r="A70" s="6" t="s">
        <v>588</v>
      </c>
      <c r="B70" s="1">
        <v>31</v>
      </c>
      <c r="C70" s="1"/>
    </row>
    <row r="71" spans="1:3" x14ac:dyDescent="0.35">
      <c r="A71" s="6" t="s">
        <v>596</v>
      </c>
      <c r="B71" s="1">
        <v>9</v>
      </c>
      <c r="C71" s="1"/>
    </row>
    <row r="72" spans="1:3" x14ac:dyDescent="0.35">
      <c r="A72" s="6" t="s">
        <v>603</v>
      </c>
      <c r="B72" s="1">
        <v>7</v>
      </c>
      <c r="C72" s="1"/>
    </row>
    <row r="73" spans="1:3" x14ac:dyDescent="0.35">
      <c r="A73" s="6" t="s">
        <v>612</v>
      </c>
      <c r="B73" s="1">
        <v>4</v>
      </c>
      <c r="C73" s="1"/>
    </row>
    <row r="74" spans="1:3" x14ac:dyDescent="0.35">
      <c r="A74" s="6" t="s">
        <v>619</v>
      </c>
      <c r="B74" s="1">
        <v>9</v>
      </c>
      <c r="C74" s="1"/>
    </row>
    <row r="75" spans="1:3" x14ac:dyDescent="0.35">
      <c r="A75" s="6" t="s">
        <v>628</v>
      </c>
      <c r="B75" s="1">
        <v>12</v>
      </c>
      <c r="C75" s="1"/>
    </row>
    <row r="76" spans="1:3" x14ac:dyDescent="0.35">
      <c r="A76" s="6" t="s">
        <v>636</v>
      </c>
      <c r="B76" s="1">
        <v>4</v>
      </c>
      <c r="C76" s="1"/>
    </row>
    <row r="77" spans="1:3" x14ac:dyDescent="0.35">
      <c r="A77" s="6" t="s">
        <v>641</v>
      </c>
      <c r="B77" s="1">
        <v>3</v>
      </c>
      <c r="C77" s="1"/>
    </row>
    <row r="78" spans="1:3" x14ac:dyDescent="0.35">
      <c r="A78" s="6" t="s">
        <v>650</v>
      </c>
      <c r="B78" s="1">
        <v>6</v>
      </c>
      <c r="C78" s="1"/>
    </row>
    <row r="79" spans="1:3" x14ac:dyDescent="0.35">
      <c r="A79" s="6" t="s">
        <v>658</v>
      </c>
      <c r="B79" s="1">
        <v>10</v>
      </c>
      <c r="C79" s="1"/>
    </row>
    <row r="80" spans="1:3" x14ac:dyDescent="0.35">
      <c r="A80" s="6" t="s">
        <v>663</v>
      </c>
      <c r="B80" s="1">
        <v>6</v>
      </c>
      <c r="C80" s="1"/>
    </row>
    <row r="81" spans="1:3" x14ac:dyDescent="0.35">
      <c r="A81" s="6" t="s">
        <v>670</v>
      </c>
      <c r="B81" s="1">
        <v>3</v>
      </c>
      <c r="C81" s="1"/>
    </row>
    <row r="82" spans="1:3" x14ac:dyDescent="0.35">
      <c r="A82" s="6" t="s">
        <v>678</v>
      </c>
      <c r="B82" s="1">
        <v>11</v>
      </c>
      <c r="C82" s="1"/>
    </row>
    <row r="83" spans="1:3" x14ac:dyDescent="0.35">
      <c r="A83" s="6" t="s">
        <v>686</v>
      </c>
      <c r="B83" s="1">
        <v>10</v>
      </c>
      <c r="C83" s="1"/>
    </row>
    <row r="84" spans="1:3" x14ac:dyDescent="0.35">
      <c r="A84" s="6" t="s">
        <v>694</v>
      </c>
      <c r="B84" s="1">
        <v>5</v>
      </c>
      <c r="C84" s="1"/>
    </row>
    <row r="85" spans="1:3" x14ac:dyDescent="0.35">
      <c r="A85" s="6" t="s">
        <v>702</v>
      </c>
      <c r="B85" s="1">
        <v>10</v>
      </c>
      <c r="C85" s="1"/>
    </row>
    <row r="86" spans="1:3" x14ac:dyDescent="0.35">
      <c r="A86" s="6" t="s">
        <v>710</v>
      </c>
      <c r="B86" s="1">
        <v>15</v>
      </c>
      <c r="C86" s="1"/>
    </row>
    <row r="87" spans="1:3" x14ac:dyDescent="0.35">
      <c r="A87" s="6" t="s">
        <v>718</v>
      </c>
      <c r="B87" s="1">
        <v>9</v>
      </c>
      <c r="C87" s="1"/>
    </row>
    <row r="88" spans="1:3" x14ac:dyDescent="0.35">
      <c r="A88" s="6" t="s">
        <v>725</v>
      </c>
      <c r="B88" s="1">
        <v>14</v>
      </c>
      <c r="C88" s="1"/>
    </row>
    <row r="89" spans="1:3" x14ac:dyDescent="0.35">
      <c r="A89" s="6" t="s">
        <v>732</v>
      </c>
      <c r="B89" s="1">
        <v>7</v>
      </c>
      <c r="C89" s="1"/>
    </row>
    <row r="90" spans="1:3" x14ac:dyDescent="0.35">
      <c r="A90" s="6" t="s">
        <v>740</v>
      </c>
      <c r="B90" s="1">
        <v>7</v>
      </c>
      <c r="C90" s="1"/>
    </row>
    <row r="91" spans="1:3" x14ac:dyDescent="0.35">
      <c r="A91" s="6" t="s">
        <v>1224</v>
      </c>
      <c r="B91" s="1">
        <v>830</v>
      </c>
      <c r="C91" s="1"/>
    </row>
  </sheetData>
  <pageMargins left="0.7" right="0.7" top="0.75" bottom="0.75" header="0.3" footer="0.3"/>
  <pageSetup orientation="portrait" horizontalDpi="300" verticalDpi="300"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EAE14-3198-4C8D-9730-2D715D9C81E0}">
  <dimension ref="A1:E72"/>
  <sheetViews>
    <sheetView workbookViewId="0">
      <selection activeCell="O13" sqref="O13"/>
    </sheetView>
  </sheetViews>
  <sheetFormatPr defaultRowHeight="14.5" x14ac:dyDescent="0.35"/>
  <cols>
    <col min="1" max="1" width="12.36328125" bestFit="1" customWidth="1"/>
    <col min="2" max="2" width="15.36328125" bestFit="1" customWidth="1"/>
    <col min="4" max="4" width="13.1796875" bestFit="1" customWidth="1"/>
    <col min="5" max="5" width="15.36328125" bestFit="1" customWidth="1"/>
  </cols>
  <sheetData>
    <row r="1" spans="1:5" x14ac:dyDescent="0.35">
      <c r="A1" s="5" t="s">
        <v>1223</v>
      </c>
      <c r="B1" t="s">
        <v>1225</v>
      </c>
      <c r="D1" s="5" t="s">
        <v>1223</v>
      </c>
      <c r="E1" t="s">
        <v>1225</v>
      </c>
    </row>
    <row r="2" spans="1:5" x14ac:dyDescent="0.35">
      <c r="A2" s="13" t="s">
        <v>292</v>
      </c>
      <c r="B2" s="14">
        <v>122</v>
      </c>
      <c r="D2" s="13" t="s">
        <v>308</v>
      </c>
      <c r="E2" s="14">
        <v>34</v>
      </c>
    </row>
    <row r="3" spans="1:5" x14ac:dyDescent="0.35">
      <c r="A3" s="13" t="s">
        <v>38</v>
      </c>
      <c r="B3" s="14">
        <v>122</v>
      </c>
      <c r="D3" s="13" t="s">
        <v>61</v>
      </c>
      <c r="E3" s="14">
        <v>33</v>
      </c>
    </row>
    <row r="4" spans="1:5" x14ac:dyDescent="0.35">
      <c r="A4" s="13" t="s">
        <v>161</v>
      </c>
      <c r="B4" s="14">
        <v>83</v>
      </c>
      <c r="D4" s="13" t="s">
        <v>158</v>
      </c>
      <c r="E4" s="14">
        <v>31</v>
      </c>
    </row>
    <row r="5" spans="1:5" x14ac:dyDescent="0.35">
      <c r="A5" s="13" t="s">
        <v>91</v>
      </c>
      <c r="B5" s="14">
        <v>77</v>
      </c>
      <c r="D5" s="13" t="s">
        <v>592</v>
      </c>
      <c r="E5" s="14">
        <v>31</v>
      </c>
    </row>
    <row r="6" spans="1:5" x14ac:dyDescent="0.35">
      <c r="A6" s="13" t="s">
        <v>63</v>
      </c>
      <c r="B6" s="14">
        <v>56</v>
      </c>
      <c r="D6" s="13" t="s">
        <v>197</v>
      </c>
      <c r="E6" s="14">
        <v>30</v>
      </c>
    </row>
    <row r="7" spans="1:5" x14ac:dyDescent="0.35">
      <c r="A7" s="6" t="s">
        <v>301</v>
      </c>
      <c r="B7" s="1">
        <v>46</v>
      </c>
      <c r="D7" s="6" t="s">
        <v>46</v>
      </c>
      <c r="E7" s="1">
        <v>28</v>
      </c>
    </row>
    <row r="8" spans="1:5" x14ac:dyDescent="0.35">
      <c r="A8" s="6" t="s">
        <v>199</v>
      </c>
      <c r="B8" s="1">
        <v>40</v>
      </c>
      <c r="D8" s="6" t="s">
        <v>532</v>
      </c>
      <c r="E8" s="1">
        <v>28</v>
      </c>
    </row>
    <row r="9" spans="1:5" x14ac:dyDescent="0.35">
      <c r="A9" s="6" t="s">
        <v>73</v>
      </c>
      <c r="B9" s="1">
        <v>37</v>
      </c>
      <c r="D9" s="6" t="s">
        <v>333</v>
      </c>
      <c r="E9" s="1">
        <v>19</v>
      </c>
    </row>
    <row r="10" spans="1:5" x14ac:dyDescent="0.35">
      <c r="A10" s="6" t="s">
        <v>119</v>
      </c>
      <c r="B10" s="1">
        <v>30</v>
      </c>
      <c r="D10" s="6" t="s">
        <v>229</v>
      </c>
      <c r="E10" s="1">
        <v>19</v>
      </c>
    </row>
    <row r="11" spans="1:5" x14ac:dyDescent="0.35">
      <c r="A11" s="6" t="s">
        <v>48</v>
      </c>
      <c r="B11" s="1">
        <v>28</v>
      </c>
      <c r="D11" s="6" t="s">
        <v>546</v>
      </c>
      <c r="E11" s="1">
        <v>18</v>
      </c>
    </row>
    <row r="12" spans="1:5" x14ac:dyDescent="0.35">
      <c r="A12" s="6" t="s">
        <v>252</v>
      </c>
      <c r="B12" s="1">
        <v>28</v>
      </c>
      <c r="D12" s="6" t="s">
        <v>317</v>
      </c>
      <c r="E12" s="1">
        <v>18</v>
      </c>
    </row>
    <row r="13" spans="1:5" x14ac:dyDescent="0.35">
      <c r="A13" s="6" t="s">
        <v>100</v>
      </c>
      <c r="B13" s="1">
        <v>23</v>
      </c>
      <c r="D13" s="6" t="s">
        <v>71</v>
      </c>
      <c r="E13" s="1">
        <v>18</v>
      </c>
    </row>
    <row r="14" spans="1:5" x14ac:dyDescent="0.35">
      <c r="A14" s="6" t="s">
        <v>716</v>
      </c>
      <c r="B14" s="1">
        <v>22</v>
      </c>
      <c r="D14" s="6" t="s">
        <v>107</v>
      </c>
      <c r="E14" s="1">
        <v>17</v>
      </c>
    </row>
    <row r="15" spans="1:5" x14ac:dyDescent="0.35">
      <c r="A15" s="6" t="s">
        <v>335</v>
      </c>
      <c r="B15" s="1">
        <v>19</v>
      </c>
      <c r="D15" s="6" t="s">
        <v>133</v>
      </c>
      <c r="E15" s="1">
        <v>16</v>
      </c>
    </row>
    <row r="16" spans="1:5" x14ac:dyDescent="0.35">
      <c r="A16" s="6" t="s">
        <v>439</v>
      </c>
      <c r="B16" s="1">
        <v>19</v>
      </c>
      <c r="D16" s="6" t="s">
        <v>1201</v>
      </c>
      <c r="E16" s="1">
        <v>15</v>
      </c>
    </row>
    <row r="17" spans="1:5" x14ac:dyDescent="0.35">
      <c r="A17" s="6" t="s">
        <v>609</v>
      </c>
      <c r="B17" s="1">
        <v>18</v>
      </c>
      <c r="D17" s="6" t="s">
        <v>714</v>
      </c>
      <c r="E17" s="1">
        <v>15</v>
      </c>
    </row>
    <row r="18" spans="1:5" x14ac:dyDescent="0.35">
      <c r="A18" s="6" t="s">
        <v>151</v>
      </c>
      <c r="B18" s="1">
        <v>18</v>
      </c>
      <c r="D18" s="6" t="s">
        <v>236</v>
      </c>
      <c r="E18" s="1">
        <v>15</v>
      </c>
    </row>
    <row r="19" spans="1:5" x14ac:dyDescent="0.35">
      <c r="A19" s="6" t="s">
        <v>135</v>
      </c>
      <c r="B19" s="1">
        <v>16</v>
      </c>
      <c r="D19" s="6" t="s">
        <v>728</v>
      </c>
      <c r="E19" s="1">
        <v>14</v>
      </c>
    </row>
    <row r="20" spans="1:5" x14ac:dyDescent="0.35">
      <c r="A20" s="6" t="s">
        <v>260</v>
      </c>
      <c r="B20" s="1">
        <v>13</v>
      </c>
      <c r="D20" s="6" t="s">
        <v>364</v>
      </c>
      <c r="E20" s="1">
        <v>14</v>
      </c>
    </row>
    <row r="21" spans="1:5" x14ac:dyDescent="0.35">
      <c r="A21" s="6" t="s">
        <v>746</v>
      </c>
      <c r="B21" s="1">
        <v>7</v>
      </c>
      <c r="D21" s="6" t="s">
        <v>349</v>
      </c>
      <c r="E21" s="1">
        <v>14</v>
      </c>
    </row>
    <row r="22" spans="1:5" x14ac:dyDescent="0.35">
      <c r="A22" s="6" t="s">
        <v>585</v>
      </c>
      <c r="B22" s="1">
        <v>6</v>
      </c>
      <c r="D22" s="6" t="s">
        <v>403</v>
      </c>
      <c r="E22" s="1">
        <v>14</v>
      </c>
    </row>
    <row r="23" spans="1:5" x14ac:dyDescent="0.35">
      <c r="A23" s="6" t="s">
        <v>1224</v>
      </c>
      <c r="B23" s="1">
        <v>830</v>
      </c>
      <c r="D23" s="6" t="s">
        <v>116</v>
      </c>
      <c r="E23" s="1">
        <v>14</v>
      </c>
    </row>
    <row r="24" spans="1:5" x14ac:dyDescent="0.35">
      <c r="D24" s="6" t="s">
        <v>258</v>
      </c>
      <c r="E24" s="1">
        <v>13</v>
      </c>
    </row>
    <row r="25" spans="1:5" x14ac:dyDescent="0.35">
      <c r="D25" s="6" t="s">
        <v>839</v>
      </c>
      <c r="E25" s="1">
        <v>13</v>
      </c>
    </row>
    <row r="26" spans="1:5" x14ac:dyDescent="0.35">
      <c r="D26" s="6" t="s">
        <v>446</v>
      </c>
      <c r="E26" s="1">
        <v>13</v>
      </c>
    </row>
    <row r="27" spans="1:5" x14ac:dyDescent="0.35">
      <c r="D27" s="6" t="s">
        <v>555</v>
      </c>
      <c r="E27" s="1">
        <v>12</v>
      </c>
    </row>
    <row r="28" spans="1:5" x14ac:dyDescent="0.35">
      <c r="D28" s="6" t="s">
        <v>412</v>
      </c>
      <c r="E28" s="1">
        <v>12</v>
      </c>
    </row>
    <row r="29" spans="1:5" x14ac:dyDescent="0.35">
      <c r="D29" s="6" t="s">
        <v>632</v>
      </c>
      <c r="E29" s="1">
        <v>12</v>
      </c>
    </row>
    <row r="30" spans="1:5" x14ac:dyDescent="0.35">
      <c r="D30" s="6" t="s">
        <v>421</v>
      </c>
      <c r="E30" s="1">
        <v>12</v>
      </c>
    </row>
    <row r="31" spans="1:5" x14ac:dyDescent="0.35">
      <c r="D31" s="6" t="s">
        <v>682</v>
      </c>
      <c r="E31" s="1">
        <v>11</v>
      </c>
    </row>
    <row r="32" spans="1:5" x14ac:dyDescent="0.35">
      <c r="D32" s="6" t="s">
        <v>289</v>
      </c>
      <c r="E32" s="1">
        <v>11</v>
      </c>
    </row>
    <row r="33" spans="4:5" x14ac:dyDescent="0.35">
      <c r="D33" s="6" t="s">
        <v>89</v>
      </c>
      <c r="E33" s="1">
        <v>11</v>
      </c>
    </row>
    <row r="34" spans="4:5" x14ac:dyDescent="0.35">
      <c r="D34" s="6" t="s">
        <v>505</v>
      </c>
      <c r="E34" s="1">
        <v>10</v>
      </c>
    </row>
    <row r="35" spans="4:5" x14ac:dyDescent="0.35">
      <c r="D35" s="6" t="s">
        <v>569</v>
      </c>
      <c r="E35" s="1">
        <v>10</v>
      </c>
    </row>
    <row r="36" spans="4:5" x14ac:dyDescent="0.35">
      <c r="D36" s="6" t="s">
        <v>482</v>
      </c>
      <c r="E36" s="1">
        <v>10</v>
      </c>
    </row>
    <row r="37" spans="4:5" x14ac:dyDescent="0.35">
      <c r="D37" s="6" t="s">
        <v>275</v>
      </c>
      <c r="E37" s="1">
        <v>10</v>
      </c>
    </row>
    <row r="38" spans="4:5" x14ac:dyDescent="0.35">
      <c r="D38" s="6" t="s">
        <v>473</v>
      </c>
      <c r="E38" s="1">
        <v>10</v>
      </c>
    </row>
    <row r="39" spans="4:5" x14ac:dyDescent="0.35">
      <c r="D39" s="6" t="s">
        <v>706</v>
      </c>
      <c r="E39" s="1">
        <v>10</v>
      </c>
    </row>
    <row r="40" spans="4:5" x14ac:dyDescent="0.35">
      <c r="D40" s="6" t="s">
        <v>341</v>
      </c>
      <c r="E40" s="1">
        <v>10</v>
      </c>
    </row>
    <row r="41" spans="4:5" x14ac:dyDescent="0.35">
      <c r="D41" s="6" t="s">
        <v>429</v>
      </c>
      <c r="E41" s="1">
        <v>10</v>
      </c>
    </row>
    <row r="42" spans="4:5" x14ac:dyDescent="0.35">
      <c r="D42" s="6" t="s">
        <v>690</v>
      </c>
      <c r="E42" s="1">
        <v>10</v>
      </c>
    </row>
    <row r="43" spans="4:5" x14ac:dyDescent="0.35">
      <c r="D43" s="6" t="s">
        <v>722</v>
      </c>
      <c r="E43" s="1">
        <v>9</v>
      </c>
    </row>
    <row r="44" spans="4:5" x14ac:dyDescent="0.35">
      <c r="D44" s="6" t="s">
        <v>282</v>
      </c>
      <c r="E44" s="1">
        <v>9</v>
      </c>
    </row>
    <row r="45" spans="4:5" x14ac:dyDescent="0.35">
      <c r="D45" s="6" t="s">
        <v>623</v>
      </c>
      <c r="E45" s="1">
        <v>9</v>
      </c>
    </row>
    <row r="46" spans="4:5" x14ac:dyDescent="0.35">
      <c r="D46" s="6" t="s">
        <v>98</v>
      </c>
      <c r="E46" s="1">
        <v>8</v>
      </c>
    </row>
    <row r="47" spans="4:5" x14ac:dyDescent="0.35">
      <c r="D47" s="6" t="s">
        <v>149</v>
      </c>
      <c r="E47" s="1">
        <v>8</v>
      </c>
    </row>
    <row r="48" spans="4:5" x14ac:dyDescent="0.35">
      <c r="D48" s="6" t="s">
        <v>437</v>
      </c>
      <c r="E48" s="1">
        <v>7</v>
      </c>
    </row>
    <row r="49" spans="4:5" x14ac:dyDescent="0.35">
      <c r="D49" s="6" t="s">
        <v>181</v>
      </c>
      <c r="E49" s="1">
        <v>7</v>
      </c>
    </row>
    <row r="50" spans="4:5" x14ac:dyDescent="0.35">
      <c r="D50" s="6" t="s">
        <v>80</v>
      </c>
      <c r="E50" s="1">
        <v>7</v>
      </c>
    </row>
    <row r="51" spans="4:5" x14ac:dyDescent="0.35">
      <c r="D51" s="6" t="s">
        <v>744</v>
      </c>
      <c r="E51" s="1">
        <v>7</v>
      </c>
    </row>
    <row r="52" spans="4:5" x14ac:dyDescent="0.35">
      <c r="D52" s="6" t="s">
        <v>737</v>
      </c>
      <c r="E52" s="1">
        <v>7</v>
      </c>
    </row>
    <row r="53" spans="4:5" x14ac:dyDescent="0.35">
      <c r="D53" s="6" t="s">
        <v>607</v>
      </c>
      <c r="E53" s="1">
        <v>7</v>
      </c>
    </row>
    <row r="54" spans="4:5" x14ac:dyDescent="0.35">
      <c r="D54" s="6" t="s">
        <v>654</v>
      </c>
      <c r="E54" s="1">
        <v>6</v>
      </c>
    </row>
    <row r="55" spans="4:5" x14ac:dyDescent="0.35">
      <c r="D55" s="6" t="s">
        <v>583</v>
      </c>
      <c r="E55" s="1">
        <v>6</v>
      </c>
    </row>
    <row r="56" spans="4:5" x14ac:dyDescent="0.35">
      <c r="D56" s="6" t="s">
        <v>250</v>
      </c>
      <c r="E56" s="1">
        <v>6</v>
      </c>
    </row>
    <row r="57" spans="4:5" x14ac:dyDescent="0.35">
      <c r="D57" s="6" t="s">
        <v>173</v>
      </c>
      <c r="E57" s="1">
        <v>6</v>
      </c>
    </row>
    <row r="58" spans="4:5" x14ac:dyDescent="0.35">
      <c r="D58" s="6" t="s">
        <v>35</v>
      </c>
      <c r="E58" s="1">
        <v>6</v>
      </c>
    </row>
    <row r="59" spans="4:5" x14ac:dyDescent="0.35">
      <c r="D59" s="6" t="s">
        <v>267</v>
      </c>
      <c r="E59" s="1">
        <v>5</v>
      </c>
    </row>
    <row r="60" spans="4:5" x14ac:dyDescent="0.35">
      <c r="D60" s="6" t="s">
        <v>698</v>
      </c>
      <c r="E60" s="1">
        <v>5</v>
      </c>
    </row>
    <row r="61" spans="4:5" x14ac:dyDescent="0.35">
      <c r="D61" s="6" t="s">
        <v>325</v>
      </c>
      <c r="E61" s="1">
        <v>5</v>
      </c>
    </row>
    <row r="62" spans="4:5" x14ac:dyDescent="0.35">
      <c r="D62" s="6" t="s">
        <v>455</v>
      </c>
      <c r="E62" s="1">
        <v>5</v>
      </c>
    </row>
    <row r="63" spans="4:5" x14ac:dyDescent="0.35">
      <c r="D63" s="6" t="s">
        <v>221</v>
      </c>
      <c r="E63" s="1">
        <v>5</v>
      </c>
    </row>
    <row r="64" spans="4:5" x14ac:dyDescent="0.35">
      <c r="D64" s="6" t="s">
        <v>490</v>
      </c>
      <c r="E64" s="1">
        <v>4</v>
      </c>
    </row>
    <row r="65" spans="4:5" x14ac:dyDescent="0.35">
      <c r="D65" s="6" t="s">
        <v>356</v>
      </c>
      <c r="E65" s="1">
        <v>4</v>
      </c>
    </row>
    <row r="66" spans="4:5" x14ac:dyDescent="0.35">
      <c r="D66" s="6" t="s">
        <v>395</v>
      </c>
      <c r="E66" s="1">
        <v>4</v>
      </c>
    </row>
    <row r="67" spans="4:5" x14ac:dyDescent="0.35">
      <c r="D67" s="6" t="s">
        <v>674</v>
      </c>
      <c r="E67" s="1">
        <v>3</v>
      </c>
    </row>
    <row r="68" spans="4:5" x14ac:dyDescent="0.35">
      <c r="D68" s="6" t="s">
        <v>372</v>
      </c>
      <c r="E68" s="1">
        <v>3</v>
      </c>
    </row>
    <row r="69" spans="4:5" x14ac:dyDescent="0.35">
      <c r="D69" s="6" t="s">
        <v>645</v>
      </c>
      <c r="E69" s="1">
        <v>3</v>
      </c>
    </row>
    <row r="70" spans="4:5" x14ac:dyDescent="0.35">
      <c r="D70" s="6" t="s">
        <v>298</v>
      </c>
      <c r="E70" s="1">
        <v>2</v>
      </c>
    </row>
    <row r="71" spans="4:5" x14ac:dyDescent="0.35">
      <c r="D71" s="6" t="s">
        <v>380</v>
      </c>
      <c r="E71" s="1">
        <v>2</v>
      </c>
    </row>
    <row r="72" spans="4:5" x14ac:dyDescent="0.35">
      <c r="D72" s="6" t="s">
        <v>1224</v>
      </c>
      <c r="E72" s="1">
        <v>830</v>
      </c>
    </row>
  </sheetData>
  <conditionalFormatting sqref="A2:A22">
    <cfRule type="top10" dxfId="1" priority="2" rank="5"/>
  </conditionalFormatting>
  <conditionalFormatting pivot="1" sqref="E2:E6">
    <cfRule type="top10" dxfId="0" priority="1" rank="5"/>
  </conditionalFormatting>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C998FC-6590-489D-842A-B579AF9FA373}">
  <dimension ref="A1:I90"/>
  <sheetViews>
    <sheetView workbookViewId="0">
      <selection activeCell="H7" sqref="H7"/>
    </sheetView>
  </sheetViews>
  <sheetFormatPr defaultRowHeight="14.5" x14ac:dyDescent="0.35"/>
  <cols>
    <col min="1" max="2" width="11.26953125" bestFit="1" customWidth="1"/>
    <col min="3" max="3" width="11.81640625" bestFit="1" customWidth="1"/>
    <col min="4" max="4" width="14.1796875" bestFit="1" customWidth="1"/>
    <col min="5" max="5" width="11.81640625" customWidth="1"/>
    <col min="6" max="6" width="18.6328125" bestFit="1" customWidth="1"/>
    <col min="7" max="7" width="17.54296875" customWidth="1"/>
  </cols>
  <sheetData>
    <row r="1" spans="1:9" x14ac:dyDescent="0.35">
      <c r="A1" s="24" t="s">
        <v>1242</v>
      </c>
      <c r="B1" s="24" t="s">
        <v>1243</v>
      </c>
      <c r="C1" s="24" t="s">
        <v>1241</v>
      </c>
      <c r="D1" s="24" t="s">
        <v>1247</v>
      </c>
      <c r="E1" s="24" t="s">
        <v>1246</v>
      </c>
      <c r="F1" s="24" t="s">
        <v>1244</v>
      </c>
      <c r="G1" s="24" t="s">
        <v>1245</v>
      </c>
    </row>
    <row r="2" spans="1:9" x14ac:dyDescent="0.35">
      <c r="A2" s="18" t="str" cm="1">
        <f t="array" ref="A2:A90">_xlfn.UNIQUE(orders[CustomerID])</f>
        <v>VINET</v>
      </c>
      <c r="B2" s="18" cm="1">
        <f t="array" ref="B2:B90">COUNTIFS(orders[CustomerID],_xlfn.ANCHORARRAY(A2))</f>
        <v>5</v>
      </c>
      <c r="C2" s="18" cm="1">
        <f t="array" ref="C2">_xlfn.LET(_xlpm.orderList, _xlfn._xlws.FILTER(orders[OrderID], orders[CustomerID]=A2), IFERROR(SUM(SUMIFS(order_details[Order Value], order_details[OrderID], _xlpm.orderList)),0))</f>
        <v>1480</v>
      </c>
      <c r="D2" s="4" t="str">
        <f>VLOOKUP(VLOOKUP(order_details[[#This Row],[ProductID]], products[], 4, FALSE), categories[], 2, FALSE)</f>
        <v>Dairy Products</v>
      </c>
      <c r="E2" s="18" t="str">
        <f>IF(AND(B2&gt;$F$2, C2&gt;$G$2),"High",IF(AND(B2&gt;=$F$2/2, C2&gt;=$G$2/2),"Medium","Low"))</f>
        <v>Low</v>
      </c>
      <c r="F2" s="21">
        <f>AVERAGE(B2:B90)</f>
        <v>9.3258426966292127</v>
      </c>
      <c r="G2" s="21">
        <f>AVERAGE(C2:C90)</f>
        <v>14222.393702247187</v>
      </c>
    </row>
    <row r="3" spans="1:9" x14ac:dyDescent="0.35">
      <c r="A3" s="18" t="str">
        <v>TOMSP</v>
      </c>
      <c r="B3" s="18">
        <v>6</v>
      </c>
      <c r="C3" s="18" cm="1">
        <f t="array" ref="C3">_xlfn.LET(_xlpm.orderList, _xlfn._xlws.FILTER(orders[OrderID], orders[CustomerID]=A3), IFERROR(SUM(SUMIFS(order_details[Order Value], order_details[OrderID], _xlpm.orderList)),0))</f>
        <v>4778.1400000000003</v>
      </c>
      <c r="D3" s="4" t="str">
        <f>VLOOKUP(VLOOKUP(order_details[[#This Row],[ProductID]], products[], 4, FALSE), categories[], 2, FALSE)</f>
        <v>Grains/Cereals</v>
      </c>
      <c r="E3" s="18" t="str">
        <f t="shared" ref="E3:E66" si="0">IF(AND(B3&gt;$F$2, C3&gt;$G$2),"High",IF(AND(B3&gt;=$F$2/2, C3&gt;=$G$2/2),"Medium","Low"))</f>
        <v>Low</v>
      </c>
      <c r="F3" s="18"/>
      <c r="G3" s="18"/>
    </row>
    <row r="4" spans="1:9" x14ac:dyDescent="0.35">
      <c r="A4" s="18" t="str">
        <v>HANAR</v>
      </c>
      <c r="B4" s="18">
        <v>14</v>
      </c>
      <c r="C4" s="18" cm="1">
        <f t="array" ref="C4">_xlfn.LET(_xlpm.orderList, _xlfn._xlws.FILTER(orders[OrderID], orders[CustomerID]=A4), IFERROR(SUM(SUMIFS(order_details[Order Value], order_details[OrderID], _xlpm.orderList)),0))</f>
        <v>32841.369999999995</v>
      </c>
      <c r="D4" s="4" t="str">
        <f>VLOOKUP(VLOOKUP(order_details[[#This Row],[ProductID]], products[], 4, FALSE), categories[], 2, FALSE)</f>
        <v>Dairy Products</v>
      </c>
      <c r="E4" s="18" t="str">
        <f t="shared" si="0"/>
        <v>High</v>
      </c>
      <c r="F4" s="20"/>
      <c r="G4" s="18"/>
    </row>
    <row r="5" spans="1:9" ht="17.5" x14ac:dyDescent="0.4">
      <c r="A5" s="18" t="str">
        <v>VICTE</v>
      </c>
      <c r="B5" s="18">
        <v>10</v>
      </c>
      <c r="C5" s="18" cm="1">
        <f t="array" ref="C5">_xlfn.LET(_xlpm.orderList, _xlfn._xlws.FILTER(orders[OrderID], orders[CustomerID]=A5), IFERROR(SUM(SUMIFS(order_details[Order Value], order_details[OrderID], _xlpm.orderList)),0))</f>
        <v>9182.43</v>
      </c>
      <c r="D5" s="4" t="str">
        <f>VLOOKUP(VLOOKUP(order_details[[#This Row],[ProductID]], products[], 4, FALSE), categories[], 2, FALSE)</f>
        <v>Produce</v>
      </c>
      <c r="E5" s="18" t="str">
        <f t="shared" si="0"/>
        <v>Medium</v>
      </c>
      <c r="F5" s="18"/>
      <c r="G5" s="18"/>
      <c r="H5" s="26" t="s">
        <v>1250</v>
      </c>
    </row>
    <row r="6" spans="1:9" x14ac:dyDescent="0.35">
      <c r="A6" s="18" t="str">
        <v>SUPRD</v>
      </c>
      <c r="B6" s="18">
        <v>12</v>
      </c>
      <c r="C6" s="18" cm="1">
        <f t="array" ref="C6">_xlfn.LET(_xlpm.orderList, _xlfn._xlws.FILTER(orders[OrderID], orders[CustomerID]=A6), IFERROR(SUM(SUMIFS(order_details[Order Value], order_details[OrderID], _xlpm.orderList)),0))</f>
        <v>24088.78</v>
      </c>
      <c r="D6" s="4" t="str">
        <f>VLOOKUP(VLOOKUP(order_details[[#This Row],[ProductID]], products[], 4, FALSE), categories[], 2, FALSE)</f>
        <v>Produce</v>
      </c>
      <c r="E6" s="18" t="str">
        <f t="shared" si="0"/>
        <v>High</v>
      </c>
      <c r="F6" s="18"/>
      <c r="G6" s="18"/>
    </row>
    <row r="7" spans="1:9" x14ac:dyDescent="0.35">
      <c r="A7" s="18" t="str">
        <v>CHOPS</v>
      </c>
      <c r="B7" s="18">
        <v>8</v>
      </c>
      <c r="C7" s="18" cm="1">
        <f t="array" ref="C7">_xlfn.LET(_xlpm.orderList, _xlfn._xlws.FILTER(orders[OrderID], orders[CustomerID]=A7), IFERROR(SUM(SUMIFS(order_details[Order Value], order_details[OrderID], _xlpm.orderList)),0))</f>
        <v>12348.88</v>
      </c>
      <c r="D7" s="4" t="str">
        <f>VLOOKUP(VLOOKUP(order_details[[#This Row],[ProductID]], products[], 4, FALSE), categories[], 2, FALSE)</f>
        <v>Seafood</v>
      </c>
      <c r="E7" s="18" t="str">
        <f t="shared" si="0"/>
        <v>Medium</v>
      </c>
      <c r="F7" s="22"/>
      <c r="G7" s="18"/>
      <c r="I7" t="s">
        <v>1251</v>
      </c>
    </row>
    <row r="8" spans="1:9" x14ac:dyDescent="0.35">
      <c r="A8" s="18" t="str">
        <v>RICSU</v>
      </c>
      <c r="B8" s="18">
        <v>10</v>
      </c>
      <c r="C8" s="18" cm="1">
        <f t="array" ref="C8">_xlfn.LET(_xlpm.orderList, _xlfn._xlws.FILTER(orders[OrderID], orders[CustomerID]=A8), IFERROR(SUM(SUMIFS(order_details[Order Value], order_details[OrderID], _xlpm.orderList)),0))</f>
        <v>19343.778999999999</v>
      </c>
      <c r="D8" s="4" t="str">
        <f>VLOOKUP(VLOOKUP(order_details[[#This Row],[ProductID]], products[], 4, FALSE), categories[], 2, FALSE)</f>
        <v>Produce</v>
      </c>
      <c r="E8" s="18" t="str">
        <f t="shared" si="0"/>
        <v>High</v>
      </c>
      <c r="F8" s="23"/>
      <c r="G8" s="18"/>
    </row>
    <row r="9" spans="1:9" x14ac:dyDescent="0.35">
      <c r="A9" s="18" t="str">
        <v>WELLI</v>
      </c>
      <c r="B9" s="18">
        <v>9</v>
      </c>
      <c r="C9" s="18" cm="1">
        <f t="array" ref="C9">_xlfn.LET(_xlpm.orderList, _xlfn._xlws.FILTER(orders[OrderID], orders[CustomerID]=A9), IFERROR(SUM(SUMIFS(order_details[Order Value], order_details[OrderID], _xlpm.orderList)),0))</f>
        <v>6068.2000000000007</v>
      </c>
      <c r="D9" s="4" t="str">
        <f>VLOOKUP(VLOOKUP(order_details[[#This Row],[ProductID]], products[], 4, FALSE), categories[], 2, FALSE)</f>
        <v>Condiments</v>
      </c>
      <c r="E9" s="18" t="str">
        <f t="shared" si="0"/>
        <v>Low</v>
      </c>
      <c r="F9" s="22"/>
      <c r="G9" s="18"/>
      <c r="I9" t="s">
        <v>1252</v>
      </c>
    </row>
    <row r="10" spans="1:9" x14ac:dyDescent="0.35">
      <c r="A10" s="18" t="str">
        <v>HILAA</v>
      </c>
      <c r="B10" s="18">
        <v>18</v>
      </c>
      <c r="C10" s="18" cm="1">
        <f t="array" ref="C10">_xlfn.LET(_xlpm.orderList, _xlfn._xlws.FILTER(orders[OrderID], orders[CustomerID]=A10), IFERROR(SUM(SUMIFS(order_details[Order Value], order_details[OrderID], _xlpm.orderList)),0))</f>
        <v>22768.764000000003</v>
      </c>
      <c r="D10" s="4" t="str">
        <f>VLOOKUP(VLOOKUP(order_details[[#This Row],[ProductID]], products[], 4, FALSE), categories[], 2, FALSE)</f>
        <v>Grains/Cereals</v>
      </c>
      <c r="E10" s="18" t="str">
        <f t="shared" si="0"/>
        <v>High</v>
      </c>
      <c r="F10" s="23"/>
      <c r="G10" s="18"/>
    </row>
    <row r="11" spans="1:9" x14ac:dyDescent="0.35">
      <c r="A11" s="18" t="str">
        <v>ERNSH</v>
      </c>
      <c r="B11" s="18">
        <v>30</v>
      </c>
      <c r="C11" s="18" cm="1">
        <f t="array" ref="C11">_xlfn.LET(_xlpm.orderList, _xlfn._xlws.FILTER(orders[OrderID], orders[CustomerID]=A11), IFERROR(SUM(SUMIFS(order_details[Order Value], order_details[OrderID], _xlpm.orderList)),0))</f>
        <v>104874.9785</v>
      </c>
      <c r="D11" s="4" t="str">
        <f>VLOOKUP(VLOOKUP(order_details[[#This Row],[ProductID]], products[], 4, FALSE), categories[], 2, FALSE)</f>
        <v>Grains/Cereals</v>
      </c>
      <c r="E11" s="18" t="str">
        <f t="shared" si="0"/>
        <v>High</v>
      </c>
      <c r="F11" s="22"/>
      <c r="G11" s="18"/>
      <c r="I11" s="7" t="s">
        <v>1253</v>
      </c>
    </row>
    <row r="12" spans="1:9" x14ac:dyDescent="0.35">
      <c r="A12" s="18" t="str">
        <v>CENTC</v>
      </c>
      <c r="B12" s="18">
        <v>1</v>
      </c>
      <c r="C12" s="18" cm="1">
        <f t="array" ref="C12">_xlfn.LET(_xlpm.orderList, _xlfn._xlws.FILTER(orders[OrderID], orders[CustomerID]=A12), IFERROR(SUM(SUMIFS(order_details[Order Value], order_details[OrderID], _xlpm.orderList)),0))</f>
        <v>100.8</v>
      </c>
      <c r="D12" s="4" t="str">
        <f>VLOOKUP(VLOOKUP(order_details[[#This Row],[ProductID]], products[], 4, FALSE), categories[], 2, FALSE)</f>
        <v>Condiments</v>
      </c>
      <c r="E12" s="18" t="str">
        <f t="shared" si="0"/>
        <v>Low</v>
      </c>
      <c r="F12" s="23"/>
      <c r="G12" s="18"/>
    </row>
    <row r="13" spans="1:9" x14ac:dyDescent="0.35">
      <c r="A13" s="18" t="str">
        <v>OTTIK</v>
      </c>
      <c r="B13" s="18">
        <v>10</v>
      </c>
      <c r="C13" s="18" cm="1">
        <f t="array" ref="C13">_xlfn.LET(_xlpm.orderList, _xlfn._xlws.FILTER(orders[OrderID], orders[CustomerID]=A13), IFERROR(SUM(SUMIFS(order_details[Order Value], order_details[OrderID], _xlpm.orderList)),0))</f>
        <v>12496.2</v>
      </c>
      <c r="D13" s="4" t="str">
        <f>VLOOKUP(VLOOKUP(order_details[[#This Row],[ProductID]], products[], 4, FALSE), categories[], 2, FALSE)</f>
        <v>Confections</v>
      </c>
      <c r="E13" s="18" t="str">
        <f t="shared" si="0"/>
        <v>Medium</v>
      </c>
      <c r="F13" s="18"/>
      <c r="G13" s="18"/>
      <c r="I13" s="7" t="s">
        <v>1254</v>
      </c>
    </row>
    <row r="14" spans="1:9" x14ac:dyDescent="0.35">
      <c r="A14" s="18" t="str">
        <v>QUEDE</v>
      </c>
      <c r="B14" s="18">
        <v>9</v>
      </c>
      <c r="C14" s="18" cm="1">
        <f t="array" ref="C14">_xlfn.LET(_xlpm.orderList, _xlfn._xlws.FILTER(orders[OrderID], orders[CustomerID]=A14), IFERROR(SUM(SUMIFS(order_details[Order Value], order_details[OrderID], _xlpm.orderList)),0))</f>
        <v>6664.8100000000013</v>
      </c>
      <c r="D14" s="4" t="str">
        <f>VLOOKUP(VLOOKUP(order_details[[#This Row],[ProductID]], products[], 4, FALSE), categories[], 2, FALSE)</f>
        <v>Dairy Products</v>
      </c>
      <c r="E14" s="18" t="str">
        <f t="shared" si="0"/>
        <v>Low</v>
      </c>
      <c r="F14" s="18"/>
      <c r="G14" s="18"/>
    </row>
    <row r="15" spans="1:9" x14ac:dyDescent="0.35">
      <c r="A15" s="18" t="str">
        <v>RATTC</v>
      </c>
      <c r="B15" s="18">
        <v>18</v>
      </c>
      <c r="C15" s="18" cm="1">
        <f t="array" ref="C15">_xlfn.LET(_xlpm.orderList, _xlfn._xlws.FILTER(orders[OrderID], orders[CustomerID]=A15), IFERROR(SUM(SUMIFS(order_details[Order Value], order_details[OrderID], _xlpm.orderList)),0))</f>
        <v>51097.800500000005</v>
      </c>
      <c r="D15" s="4" t="str">
        <f>VLOOKUP(VLOOKUP(order_details[[#This Row],[ProductID]], products[], 4, FALSE), categories[], 2, FALSE)</f>
        <v>Dairy Products</v>
      </c>
      <c r="E15" s="18" t="str">
        <f t="shared" si="0"/>
        <v>High</v>
      </c>
      <c r="F15" s="18"/>
      <c r="G15" s="18"/>
      <c r="I15" s="7" t="s">
        <v>1255</v>
      </c>
    </row>
    <row r="16" spans="1:9" x14ac:dyDescent="0.35">
      <c r="A16" s="18" t="str">
        <v>FOLKO</v>
      </c>
      <c r="B16" s="18">
        <v>19</v>
      </c>
      <c r="C16" s="18" cm="1">
        <f t="array" ref="C16">_xlfn.LET(_xlpm.orderList, _xlfn._xlws.FILTER(orders[OrderID], orders[CustomerID]=A16), IFERROR(SUM(SUMIFS(order_details[Order Value], order_details[OrderID], _xlpm.orderList)),0))</f>
        <v>29567.5625</v>
      </c>
      <c r="D16" s="4" t="str">
        <f>VLOOKUP(VLOOKUP(order_details[[#This Row],[ProductID]], products[], 4, FALSE), categories[], 2, FALSE)</f>
        <v>Dairy Products</v>
      </c>
      <c r="E16" s="18" t="str">
        <f t="shared" si="0"/>
        <v>High</v>
      </c>
      <c r="F16" s="18"/>
      <c r="G16" s="18"/>
    </row>
    <row r="17" spans="1:9" x14ac:dyDescent="0.35">
      <c r="A17" s="18" t="str">
        <v>BLONP</v>
      </c>
      <c r="B17" s="18">
        <v>11</v>
      </c>
      <c r="C17" s="18" cm="1">
        <f t="array" ref="C17">_xlfn.LET(_xlpm.orderList, _xlfn._xlws.FILTER(orders[OrderID], orders[CustomerID]=A17), IFERROR(SUM(SUMIFS(order_details[Order Value], order_details[OrderID], _xlpm.orderList)),0))</f>
        <v>18534.080000000002</v>
      </c>
      <c r="D17" s="4" t="str">
        <f>VLOOKUP(VLOOKUP(order_details[[#This Row],[ProductID]], products[], 4, FALSE), categories[], 2, FALSE)</f>
        <v>Beverages</v>
      </c>
      <c r="E17" s="18" t="str">
        <f t="shared" si="0"/>
        <v>High</v>
      </c>
      <c r="F17" s="18"/>
      <c r="G17" s="18"/>
      <c r="I17" t="s">
        <v>1256</v>
      </c>
    </row>
    <row r="18" spans="1:9" x14ac:dyDescent="0.35">
      <c r="A18" s="18" t="str">
        <v>WARTH</v>
      </c>
      <c r="B18" s="18">
        <v>15</v>
      </c>
      <c r="C18" s="18" cm="1">
        <f t="array" ref="C18">_xlfn.LET(_xlpm.orderList, _xlfn._xlws.FILTER(orders[OrderID], orders[CustomerID]=A18), IFERROR(SUM(SUMIFS(order_details[Order Value], order_details[OrderID], _xlpm.orderList)),0))</f>
        <v>15648.702499999999</v>
      </c>
      <c r="D18" s="4" t="str">
        <f>VLOOKUP(VLOOKUP(order_details[[#This Row],[ProductID]], products[], 4, FALSE), categories[], 2, FALSE)</f>
        <v>Confections</v>
      </c>
      <c r="E18" s="18" t="str">
        <f t="shared" si="0"/>
        <v>High</v>
      </c>
      <c r="F18" s="18"/>
      <c r="G18" s="18"/>
    </row>
    <row r="19" spans="1:9" x14ac:dyDescent="0.35">
      <c r="A19" s="18" t="str">
        <v>FRANK</v>
      </c>
      <c r="B19" s="18">
        <v>15</v>
      </c>
      <c r="C19" s="18" cm="1">
        <f t="array" ref="C19">_xlfn.LET(_xlpm.orderList, _xlfn._xlws.FILTER(orders[OrderID], orders[CustomerID]=A19), IFERROR(SUM(SUMIFS(order_details[Order Value], order_details[OrderID], _xlpm.orderList)),0))</f>
        <v>26656.559500000003</v>
      </c>
      <c r="D19" s="4" t="str">
        <f>VLOOKUP(VLOOKUP(order_details[[#This Row],[ProductID]], products[], 4, FALSE), categories[], 2, FALSE)</f>
        <v>Beverages</v>
      </c>
      <c r="E19" s="18" t="str">
        <f t="shared" si="0"/>
        <v>High</v>
      </c>
      <c r="F19" s="18"/>
      <c r="G19" s="18"/>
    </row>
    <row r="20" spans="1:9" x14ac:dyDescent="0.35">
      <c r="A20" s="18" t="str">
        <v>GROSR</v>
      </c>
      <c r="B20" s="18">
        <v>2</v>
      </c>
      <c r="C20" s="18" cm="1">
        <f t="array" ref="C20">_xlfn.LET(_xlpm.orderList, _xlfn._xlws.FILTER(orders[OrderID], orders[CustomerID]=A20), IFERROR(SUM(SUMIFS(order_details[Order Value], order_details[OrderID], _xlpm.orderList)),0))</f>
        <v>1488.7</v>
      </c>
      <c r="D20" s="4" t="str">
        <f>VLOOKUP(VLOOKUP(order_details[[#This Row],[ProductID]], products[], 4, FALSE), categories[], 2, FALSE)</f>
        <v>Meat/Poultry</v>
      </c>
      <c r="E20" s="18" t="str">
        <f t="shared" si="0"/>
        <v>Low</v>
      </c>
      <c r="F20" s="18"/>
      <c r="G20" s="18"/>
    </row>
    <row r="21" spans="1:9" x14ac:dyDescent="0.35">
      <c r="A21" s="18" t="str">
        <v>WHITC</v>
      </c>
      <c r="B21" s="18">
        <v>14</v>
      </c>
      <c r="C21" s="18" cm="1">
        <f t="array" ref="C21">_xlfn.LET(_xlpm.orderList, _xlfn._xlws.FILTER(orders[OrderID], orders[CustomerID]=A21), IFERROR(SUM(SUMIFS(order_details[Order Value], order_details[OrderID], _xlpm.orderList)),0))</f>
        <v>27363.605000000003</v>
      </c>
      <c r="D21" s="4" t="str">
        <f>VLOOKUP(VLOOKUP(order_details[[#This Row],[ProductID]], products[], 4, FALSE), categories[], 2, FALSE)</f>
        <v>Produce</v>
      </c>
      <c r="E21" s="18" t="str">
        <f t="shared" si="0"/>
        <v>High</v>
      </c>
      <c r="F21" s="18"/>
      <c r="G21" s="18"/>
    </row>
    <row r="22" spans="1:9" x14ac:dyDescent="0.35">
      <c r="A22" s="18" t="str">
        <v>SPLIR</v>
      </c>
      <c r="B22" s="18">
        <v>9</v>
      </c>
      <c r="C22" s="18" cm="1">
        <f t="array" ref="C22">_xlfn.LET(_xlpm.orderList, _xlfn._xlws.FILTER(orders[OrderID], orders[CustomerID]=A22), IFERROR(SUM(SUMIFS(order_details[Order Value], order_details[OrderID], _xlpm.orderList)),0))</f>
        <v>11441.630000000001</v>
      </c>
      <c r="D22" s="4" t="str">
        <f>VLOOKUP(VLOOKUP(order_details[[#This Row],[ProductID]], products[], 4, FALSE), categories[], 2, FALSE)</f>
        <v>Beverages</v>
      </c>
      <c r="E22" s="18" t="str">
        <f t="shared" si="0"/>
        <v>Medium</v>
      </c>
      <c r="F22" s="18"/>
      <c r="G22" s="18"/>
    </row>
    <row r="23" spans="1:9" x14ac:dyDescent="0.35">
      <c r="A23" s="18" t="str">
        <v>QUICK</v>
      </c>
      <c r="B23" s="18">
        <v>28</v>
      </c>
      <c r="C23" s="18" cm="1">
        <f t="array" ref="C23">_xlfn.LET(_xlpm.orderList, _xlfn._xlws.FILTER(orders[OrderID], orders[CustomerID]=A23), IFERROR(SUM(SUMIFS(order_details[Order Value], order_details[OrderID], _xlpm.orderList)),0))</f>
        <v>110277.30500000001</v>
      </c>
      <c r="D23" s="4" t="str">
        <f>VLOOKUP(VLOOKUP(order_details[[#This Row],[ProductID]], products[], 4, FALSE), categories[], 2, FALSE)</f>
        <v>Confections</v>
      </c>
      <c r="E23" s="18" t="str">
        <f t="shared" si="0"/>
        <v>High</v>
      </c>
      <c r="F23" s="18"/>
      <c r="G23" s="18"/>
    </row>
    <row r="24" spans="1:9" x14ac:dyDescent="0.35">
      <c r="A24" s="18" t="str">
        <v>MAGAA</v>
      </c>
      <c r="B24" s="18">
        <v>10</v>
      </c>
      <c r="C24" s="18" cm="1">
        <f t="array" ref="C24">_xlfn.LET(_xlpm.orderList, _xlfn._xlws.FILTER(orders[OrderID], orders[CustomerID]=A24), IFERROR(SUM(SUMIFS(order_details[Order Value], order_details[OrderID], _xlpm.orderList)),0))</f>
        <v>7176.2150000000001</v>
      </c>
      <c r="D24" s="4" t="str">
        <f>VLOOKUP(VLOOKUP(order_details[[#This Row],[ProductID]], products[], 4, FALSE), categories[], 2, FALSE)</f>
        <v>Seafood</v>
      </c>
      <c r="E24" s="18" t="str">
        <f t="shared" si="0"/>
        <v>Medium</v>
      </c>
      <c r="F24" s="18"/>
      <c r="G24" s="18"/>
    </row>
    <row r="25" spans="1:9" x14ac:dyDescent="0.35">
      <c r="A25" s="18" t="str">
        <v>TORTU</v>
      </c>
      <c r="B25" s="18">
        <v>10</v>
      </c>
      <c r="C25" s="18" cm="1">
        <f t="array" ref="C25">_xlfn.LET(_xlpm.orderList, _xlfn._xlws.FILTER(orders[OrderID], orders[CustomerID]=A25), IFERROR(SUM(SUMIFS(order_details[Order Value], order_details[OrderID], _xlpm.orderList)),0))</f>
        <v>10812.150000000001</v>
      </c>
      <c r="D25" s="4" t="str">
        <f>VLOOKUP(VLOOKUP(order_details[[#This Row],[ProductID]], products[], 4, FALSE), categories[], 2, FALSE)</f>
        <v>Dairy Products</v>
      </c>
      <c r="E25" s="18" t="str">
        <f t="shared" si="0"/>
        <v>Medium</v>
      </c>
      <c r="F25" s="18"/>
      <c r="G25" s="18"/>
    </row>
    <row r="26" spans="1:9" x14ac:dyDescent="0.35">
      <c r="A26" s="18" t="str">
        <v>MORGK</v>
      </c>
      <c r="B26" s="18">
        <v>5</v>
      </c>
      <c r="C26" s="18" cm="1">
        <f t="array" ref="C26">_xlfn.LET(_xlpm.orderList, _xlfn._xlws.FILTER(orders[OrderID], orders[CustomerID]=A26), IFERROR(SUM(SUMIFS(order_details[Order Value], order_details[OrderID], _xlpm.orderList)),0))</f>
        <v>5042.2</v>
      </c>
      <c r="D26" s="4" t="str">
        <f>VLOOKUP(VLOOKUP(order_details[[#This Row],[ProductID]], products[], 4, FALSE), categories[], 2, FALSE)</f>
        <v>Meat/Poultry</v>
      </c>
      <c r="E26" s="18" t="str">
        <f t="shared" si="0"/>
        <v>Low</v>
      </c>
      <c r="F26" s="18"/>
      <c r="G26" s="18"/>
    </row>
    <row r="27" spans="1:9" x14ac:dyDescent="0.35">
      <c r="A27" s="18" t="str">
        <v>BERGS</v>
      </c>
      <c r="B27" s="18">
        <v>18</v>
      </c>
      <c r="C27" s="18" cm="1">
        <f t="array" ref="C27">_xlfn.LET(_xlpm.orderList, _xlfn._xlws.FILTER(orders[OrderID], orders[CustomerID]=A27), IFERROR(SUM(SUMIFS(order_details[Order Value], order_details[OrderID], _xlpm.orderList)),0))</f>
        <v>24927.577500000003</v>
      </c>
      <c r="D27" s="4" t="str">
        <f>VLOOKUP(VLOOKUP(order_details[[#This Row],[ProductID]], products[], 4, FALSE), categories[], 2, FALSE)</f>
        <v>Condiments</v>
      </c>
      <c r="E27" s="18" t="str">
        <f t="shared" si="0"/>
        <v>High</v>
      </c>
      <c r="F27" s="18"/>
      <c r="G27" s="18"/>
    </row>
    <row r="28" spans="1:9" x14ac:dyDescent="0.35">
      <c r="A28" s="18" t="str">
        <v>LEHMS</v>
      </c>
      <c r="B28" s="18">
        <v>15</v>
      </c>
      <c r="C28" s="18" cm="1">
        <f t="array" ref="C28">_xlfn.LET(_xlpm.orderList, _xlfn._xlws.FILTER(orders[OrderID], orders[CustomerID]=A28), IFERROR(SUM(SUMIFS(order_details[Order Value], order_details[OrderID], _xlpm.orderList)),0))</f>
        <v>19261.41</v>
      </c>
      <c r="D28" s="4" t="str">
        <f>VLOOKUP(VLOOKUP(order_details[[#This Row],[ProductID]], products[], 4, FALSE), categories[], 2, FALSE)</f>
        <v>Confections</v>
      </c>
      <c r="E28" s="18" t="str">
        <f t="shared" si="0"/>
        <v>High</v>
      </c>
      <c r="F28" s="18"/>
      <c r="G28" s="18"/>
    </row>
    <row r="29" spans="1:9" x14ac:dyDescent="0.35">
      <c r="A29" s="18" t="str">
        <v>ROMEY</v>
      </c>
      <c r="B29" s="18">
        <v>5</v>
      </c>
      <c r="C29" s="18" cm="1">
        <f t="array" ref="C29">_xlfn.LET(_xlpm.orderList, _xlfn._xlws.FILTER(orders[OrderID], orders[CustomerID]=A29), IFERROR(SUM(SUMIFS(order_details[Order Value], order_details[OrderID], _xlpm.orderList)),0))</f>
        <v>1467.29</v>
      </c>
      <c r="D29" s="4" t="str">
        <f>VLOOKUP(VLOOKUP(order_details[[#This Row],[ProductID]], products[], 4, FALSE), categories[], 2, FALSE)</f>
        <v>Beverages</v>
      </c>
      <c r="E29" s="18" t="str">
        <f t="shared" si="0"/>
        <v>Low</v>
      </c>
      <c r="F29" s="18"/>
      <c r="G29" s="18"/>
    </row>
    <row r="30" spans="1:9" x14ac:dyDescent="0.35">
      <c r="A30" s="18" t="str">
        <v>LILAS</v>
      </c>
      <c r="B30" s="18">
        <v>14</v>
      </c>
      <c r="C30" s="18" cm="1">
        <f t="array" ref="C30">_xlfn.LET(_xlpm.orderList, _xlfn._xlws.FILTER(orders[OrderID], orders[CustomerID]=A30), IFERROR(SUM(SUMIFS(order_details[Order Value], order_details[OrderID], _xlpm.orderList)),0))</f>
        <v>16076.599999999999</v>
      </c>
      <c r="D30" s="4" t="str">
        <f>VLOOKUP(VLOOKUP(order_details[[#This Row],[ProductID]], products[], 4, FALSE), categories[], 2, FALSE)</f>
        <v>Condiments</v>
      </c>
      <c r="E30" s="18" t="str">
        <f t="shared" si="0"/>
        <v>High</v>
      </c>
      <c r="F30" s="18"/>
      <c r="G30" s="18"/>
    </row>
    <row r="31" spans="1:9" x14ac:dyDescent="0.35">
      <c r="A31" s="18" t="str">
        <v>RICAR</v>
      </c>
      <c r="B31" s="18">
        <v>11</v>
      </c>
      <c r="C31" s="18" cm="1">
        <f t="array" ref="C31">_xlfn.LET(_xlpm.orderList, _xlfn._xlws.FILTER(orders[OrderID], orders[CustomerID]=A31), IFERROR(SUM(SUMIFS(order_details[Order Value], order_details[OrderID], _xlpm.orderList)),0))</f>
        <v>12450.8</v>
      </c>
      <c r="D31" s="4" t="str">
        <f>VLOOKUP(VLOOKUP(order_details[[#This Row],[ProductID]], products[], 4, FALSE), categories[], 2, FALSE)</f>
        <v>Beverages</v>
      </c>
      <c r="E31" s="18" t="str">
        <f t="shared" si="0"/>
        <v>Medium</v>
      </c>
      <c r="F31" s="18"/>
      <c r="G31" s="18"/>
    </row>
    <row r="32" spans="1:9" x14ac:dyDescent="0.35">
      <c r="A32" s="18" t="str">
        <v>REGGC</v>
      </c>
      <c r="B32" s="18">
        <v>12</v>
      </c>
      <c r="C32" s="18" cm="1">
        <f t="array" ref="C32">_xlfn.LET(_xlpm.orderList, _xlfn._xlws.FILTER(orders[OrderID], orders[CustomerID]=A32), IFERROR(SUM(SUMIFS(order_details[Order Value], order_details[OrderID], _xlpm.orderList)),0))</f>
        <v>7048.24</v>
      </c>
      <c r="D32" s="4" t="str">
        <f>VLOOKUP(VLOOKUP(order_details[[#This Row],[ProductID]], products[], 4, FALSE), categories[], 2, FALSE)</f>
        <v>Condiments</v>
      </c>
      <c r="E32" s="18" t="str">
        <f t="shared" si="0"/>
        <v>Low</v>
      </c>
      <c r="F32" s="18"/>
      <c r="G32" s="18"/>
    </row>
    <row r="33" spans="1:7" x14ac:dyDescent="0.35">
      <c r="A33" s="18" t="str">
        <v>BSBEV</v>
      </c>
      <c r="B33" s="18">
        <v>10</v>
      </c>
      <c r="C33" s="18" cm="1">
        <f t="array" ref="C33">_xlfn.LET(_xlpm.orderList, _xlfn._xlws.FILTER(orders[OrderID], orders[CustomerID]=A33), IFERROR(SUM(SUMIFS(order_details[Order Value], order_details[OrderID], _xlpm.orderList)),0))</f>
        <v>6089.9</v>
      </c>
      <c r="D33" s="4" t="str">
        <f>VLOOKUP(VLOOKUP(order_details[[#This Row],[ProductID]], products[], 4, FALSE), categories[], 2, FALSE)</f>
        <v>Dairy Products</v>
      </c>
      <c r="E33" s="18" t="str">
        <f t="shared" si="0"/>
        <v>Low</v>
      </c>
      <c r="F33" s="18"/>
      <c r="G33" s="18"/>
    </row>
    <row r="34" spans="1:7" x14ac:dyDescent="0.35">
      <c r="A34" s="18" t="str">
        <v>COMMI</v>
      </c>
      <c r="B34" s="18">
        <v>5</v>
      </c>
      <c r="C34" s="18" cm="1">
        <f t="array" ref="C34">_xlfn.LET(_xlpm.orderList, _xlfn._xlws.FILTER(orders[OrderID], orders[CustomerID]=A34), IFERROR(SUM(SUMIFS(order_details[Order Value], order_details[OrderID], _xlpm.orderList)),0))</f>
        <v>3810.75</v>
      </c>
      <c r="D34" s="4" t="str">
        <f>VLOOKUP(VLOOKUP(order_details[[#This Row],[ProductID]], products[], 4, FALSE), categories[], 2, FALSE)</f>
        <v>Confections</v>
      </c>
      <c r="E34" s="18" t="str">
        <f t="shared" si="0"/>
        <v>Low</v>
      </c>
      <c r="F34" s="18"/>
      <c r="G34" s="18"/>
    </row>
    <row r="35" spans="1:7" x14ac:dyDescent="0.35">
      <c r="A35" s="18" t="str">
        <v>TRADH</v>
      </c>
      <c r="B35" s="18">
        <v>6</v>
      </c>
      <c r="C35" s="18" cm="1">
        <f t="array" ref="C35">_xlfn.LET(_xlpm.orderList, _xlfn._xlws.FILTER(orders[OrderID], orders[CustomerID]=A35), IFERROR(SUM(SUMIFS(order_details[Order Value], order_details[OrderID], _xlpm.orderList)),0))</f>
        <v>6850.6639999999998</v>
      </c>
      <c r="D35" s="4" t="str">
        <f>VLOOKUP(VLOOKUP(order_details[[#This Row],[ProductID]], products[], 4, FALSE), categories[], 2, FALSE)</f>
        <v>Seafood</v>
      </c>
      <c r="E35" s="18" t="str">
        <f t="shared" si="0"/>
        <v>Low</v>
      </c>
      <c r="F35" s="18"/>
      <c r="G35" s="18"/>
    </row>
    <row r="36" spans="1:7" x14ac:dyDescent="0.35">
      <c r="A36" s="18" t="str">
        <v>HUNGO</v>
      </c>
      <c r="B36" s="18">
        <v>19</v>
      </c>
      <c r="C36" s="18" cm="1">
        <f t="array" ref="C36">_xlfn.LET(_xlpm.orderList, _xlfn._xlws.FILTER(orders[OrderID], orders[CustomerID]=A36), IFERROR(SUM(SUMIFS(order_details[Order Value], order_details[OrderID], _xlpm.orderList)),0))</f>
        <v>49979.904999999999</v>
      </c>
      <c r="D36" s="4" t="str">
        <f>VLOOKUP(VLOOKUP(order_details[[#This Row],[ProductID]], products[], 4, FALSE), categories[], 2, FALSE)</f>
        <v>Seafood</v>
      </c>
      <c r="E36" s="18" t="str">
        <f t="shared" si="0"/>
        <v>High</v>
      </c>
      <c r="F36" s="18"/>
      <c r="G36" s="18"/>
    </row>
    <row r="37" spans="1:7" x14ac:dyDescent="0.35">
      <c r="A37" s="18" t="str">
        <v>WANDK</v>
      </c>
      <c r="B37" s="18">
        <v>10</v>
      </c>
      <c r="C37" s="18" cm="1">
        <f t="array" ref="C37">_xlfn.LET(_xlpm.orderList, _xlfn._xlws.FILTER(orders[OrderID], orders[CustomerID]=A37), IFERROR(SUM(SUMIFS(order_details[Order Value], order_details[OrderID], _xlpm.orderList)),0))</f>
        <v>9588.4249999999993</v>
      </c>
      <c r="D37" s="4" t="str">
        <f>VLOOKUP(VLOOKUP(order_details[[#This Row],[ProductID]], products[], 4, FALSE), categories[], 2, FALSE)</f>
        <v>Grains/Cereals</v>
      </c>
      <c r="E37" s="18" t="str">
        <f t="shared" si="0"/>
        <v>Medium</v>
      </c>
      <c r="F37" s="18"/>
      <c r="G37" s="18"/>
    </row>
    <row r="38" spans="1:7" x14ac:dyDescent="0.35">
      <c r="A38" s="18" t="str">
        <v>GODOS</v>
      </c>
      <c r="B38" s="18">
        <v>10</v>
      </c>
      <c r="C38" s="18" cm="1">
        <f t="array" ref="C38">_xlfn.LET(_xlpm.orderList, _xlfn._xlws.FILTER(orders[OrderID], orders[CustomerID]=A38), IFERROR(SUM(SUMIFS(order_details[Order Value], order_details[OrderID], _xlpm.orderList)),0))</f>
        <v>11446.36</v>
      </c>
      <c r="D38" s="4" t="str">
        <f>VLOOKUP(VLOOKUP(order_details[[#This Row],[ProductID]], products[], 4, FALSE), categories[], 2, FALSE)</f>
        <v>Confections</v>
      </c>
      <c r="E38" s="18" t="str">
        <f t="shared" si="0"/>
        <v>Medium</v>
      </c>
      <c r="F38" s="18"/>
      <c r="G38" s="18"/>
    </row>
    <row r="39" spans="1:7" x14ac:dyDescent="0.35">
      <c r="A39" s="18" t="str">
        <v>OLDWO</v>
      </c>
      <c r="B39" s="18">
        <v>10</v>
      </c>
      <c r="C39" s="18" cm="1">
        <f t="array" ref="C39">_xlfn.LET(_xlpm.orderList, _xlfn._xlws.FILTER(orders[OrderID], orders[CustomerID]=A39), IFERROR(SUM(SUMIFS(order_details[Order Value], order_details[OrderID], _xlpm.orderList)),0))</f>
        <v>15177.4625</v>
      </c>
      <c r="D39" s="4" t="str">
        <f>VLOOKUP(VLOOKUP(order_details[[#This Row],[ProductID]], products[], 4, FALSE), categories[], 2, FALSE)</f>
        <v>Beverages</v>
      </c>
      <c r="E39" s="18" t="str">
        <f t="shared" si="0"/>
        <v>High</v>
      </c>
      <c r="F39" s="18"/>
      <c r="G39" s="18"/>
    </row>
    <row r="40" spans="1:7" x14ac:dyDescent="0.35">
      <c r="A40" s="18" t="str">
        <v>LONEP</v>
      </c>
      <c r="B40" s="18">
        <v>8</v>
      </c>
      <c r="C40" s="18" cm="1">
        <f t="array" ref="C40">_xlfn.LET(_xlpm.orderList, _xlfn._xlws.FILTER(orders[OrderID], orders[CustomerID]=A40), IFERROR(SUM(SUMIFS(order_details[Order Value], order_details[OrderID], _xlpm.orderList)),0))</f>
        <v>4258.6000000000004</v>
      </c>
      <c r="D40" s="4" t="str">
        <f>VLOOKUP(VLOOKUP(order_details[[#This Row],[ProductID]], products[], 4, FALSE), categories[], 2, FALSE)</f>
        <v>Confections</v>
      </c>
      <c r="E40" s="18" t="str">
        <f t="shared" si="0"/>
        <v>Low</v>
      </c>
      <c r="F40" s="18"/>
      <c r="G40" s="18"/>
    </row>
    <row r="41" spans="1:7" x14ac:dyDescent="0.35">
      <c r="A41" s="18" t="str">
        <v>ANATR</v>
      </c>
      <c r="B41" s="18">
        <v>4</v>
      </c>
      <c r="C41" s="18" cm="1">
        <f t="array" ref="C41">_xlfn.LET(_xlpm.orderList, _xlfn._xlws.FILTER(orders[OrderID], orders[CustomerID]=A41), IFERROR(SUM(SUMIFS(order_details[Order Value], order_details[OrderID], _xlpm.orderList)),0))</f>
        <v>1402.9499999999998</v>
      </c>
      <c r="D41" s="4" t="str">
        <f>VLOOKUP(VLOOKUP(order_details[[#This Row],[ProductID]], products[], 4, FALSE), categories[], 2, FALSE)</f>
        <v>Beverages</v>
      </c>
      <c r="E41" s="18" t="str">
        <f t="shared" si="0"/>
        <v>Low</v>
      </c>
      <c r="F41" s="18"/>
      <c r="G41" s="18"/>
    </row>
    <row r="42" spans="1:7" x14ac:dyDescent="0.35">
      <c r="A42" s="18" t="str">
        <v>THEBI</v>
      </c>
      <c r="B42" s="18">
        <v>4</v>
      </c>
      <c r="C42" s="18" cm="1">
        <f t="array" ref="C42">_xlfn.LET(_xlpm.orderList, _xlfn._xlws.FILTER(orders[OrderID], orders[CustomerID]=A42), IFERROR(SUM(SUMIFS(order_details[Order Value], order_details[OrderID], _xlpm.orderList)),0))</f>
        <v>3361</v>
      </c>
      <c r="D42" s="4" t="str">
        <f>VLOOKUP(VLOOKUP(order_details[[#This Row],[ProductID]], products[], 4, FALSE), categories[], 2, FALSE)</f>
        <v>Condiments</v>
      </c>
      <c r="E42" s="18" t="str">
        <f t="shared" si="0"/>
        <v>Low</v>
      </c>
      <c r="F42" s="18"/>
      <c r="G42" s="18"/>
    </row>
    <row r="43" spans="1:7" x14ac:dyDescent="0.35">
      <c r="A43" s="18" t="str">
        <v>DUMON</v>
      </c>
      <c r="B43" s="18">
        <v>4</v>
      </c>
      <c r="C43" s="18" cm="1">
        <f t="array" ref="C43">_xlfn.LET(_xlpm.orderList, _xlfn._xlws.FILTER(orders[OrderID], orders[CustomerID]=A43), IFERROR(SUM(SUMIFS(order_details[Order Value], order_details[OrderID], _xlpm.orderList)),0))</f>
        <v>1615.9</v>
      </c>
      <c r="D43" s="4" t="str">
        <f>VLOOKUP(VLOOKUP(order_details[[#This Row],[ProductID]], products[], 4, FALSE), categories[], 2, FALSE)</f>
        <v>Produce</v>
      </c>
      <c r="E43" s="18" t="str">
        <f t="shared" si="0"/>
        <v>Low</v>
      </c>
      <c r="F43" s="18"/>
      <c r="G43" s="18"/>
    </row>
    <row r="44" spans="1:7" x14ac:dyDescent="0.35">
      <c r="A44" s="18" t="str">
        <v>ISLAT</v>
      </c>
      <c r="B44" s="18">
        <v>10</v>
      </c>
      <c r="C44" s="18" cm="1">
        <f t="array" ref="C44">_xlfn.LET(_xlpm.orderList, _xlfn._xlws.FILTER(orders[OrderID], orders[CustomerID]=A44), IFERROR(SUM(SUMIFS(order_details[Order Value], order_details[OrderID], _xlpm.orderList)),0))</f>
        <v>6146.3</v>
      </c>
      <c r="D44" s="4" t="str">
        <f>VLOOKUP(VLOOKUP(order_details[[#This Row],[ProductID]], products[], 4, FALSE), categories[], 2, FALSE)</f>
        <v>Grains/Cereals</v>
      </c>
      <c r="E44" s="18" t="str">
        <f t="shared" si="0"/>
        <v>Low</v>
      </c>
      <c r="F44" s="18"/>
      <c r="G44" s="18"/>
    </row>
    <row r="45" spans="1:7" x14ac:dyDescent="0.35">
      <c r="A45" s="18" t="str">
        <v>PERIC</v>
      </c>
      <c r="B45" s="18">
        <v>6</v>
      </c>
      <c r="C45" s="18" cm="1">
        <f t="array" ref="C45">_xlfn.LET(_xlpm.orderList, _xlfn._xlws.FILTER(orders[OrderID], orders[CustomerID]=A45), IFERROR(SUM(SUMIFS(order_details[Order Value], order_details[OrderID], _xlpm.orderList)),0))</f>
        <v>4242.2</v>
      </c>
      <c r="D45" s="4" t="str">
        <f>VLOOKUP(VLOOKUP(order_details[[#This Row],[ProductID]], products[], 4, FALSE), categories[], 2, FALSE)</f>
        <v>Confections</v>
      </c>
      <c r="E45" s="18" t="str">
        <f t="shared" si="0"/>
        <v>Low</v>
      </c>
      <c r="F45" s="18"/>
      <c r="G45" s="18"/>
    </row>
    <row r="46" spans="1:7" x14ac:dyDescent="0.35">
      <c r="A46" s="18" t="str">
        <v>KOENE</v>
      </c>
      <c r="B46" s="18">
        <v>14</v>
      </c>
      <c r="C46" s="18" cm="1">
        <f t="array" ref="C46">_xlfn.LET(_xlpm.orderList, _xlfn._xlws.FILTER(orders[OrderID], orders[CustomerID]=A46), IFERROR(SUM(SUMIFS(order_details[Order Value], order_details[OrderID], _xlpm.orderList)),0))</f>
        <v>30908.384000000002</v>
      </c>
      <c r="D46" s="4" t="str">
        <f>VLOOKUP(VLOOKUP(order_details[[#This Row],[ProductID]], products[], 4, FALSE), categories[], 2, FALSE)</f>
        <v>Beverages</v>
      </c>
      <c r="E46" s="18" t="str">
        <f t="shared" si="0"/>
        <v>High</v>
      </c>
      <c r="F46" s="18"/>
      <c r="G46" s="18"/>
    </row>
    <row r="47" spans="1:7" x14ac:dyDescent="0.35">
      <c r="A47" s="18" t="str">
        <v>SAVEA</v>
      </c>
      <c r="B47" s="18">
        <v>31</v>
      </c>
      <c r="C47" s="18" cm="1">
        <f t="array" ref="C47">_xlfn.LET(_xlpm.orderList, _xlfn._xlws.FILTER(orders[OrderID], orders[CustomerID]=A47), IFERROR(SUM(SUMIFS(order_details[Order Value], order_details[OrderID], _xlpm.orderList)),0))</f>
        <v>104361.95</v>
      </c>
      <c r="D47" s="4" t="str">
        <f>VLOOKUP(VLOOKUP(order_details[[#This Row],[ProductID]], products[], 4, FALSE), categories[], 2, FALSE)</f>
        <v>Seafood</v>
      </c>
      <c r="E47" s="18" t="str">
        <f t="shared" si="0"/>
        <v>High</v>
      </c>
      <c r="F47" s="18"/>
      <c r="G47" s="18"/>
    </row>
    <row r="48" spans="1:7" x14ac:dyDescent="0.35">
      <c r="A48" s="18" t="str">
        <v>BOLID</v>
      </c>
      <c r="B48" s="18">
        <v>3</v>
      </c>
      <c r="C48" s="18" cm="1">
        <f t="array" ref="C48">_xlfn.LET(_xlpm.orderList, _xlfn._xlws.FILTER(orders[OrderID], orders[CustomerID]=A48), IFERROR(SUM(SUMIFS(order_details[Order Value], order_details[OrderID], _xlpm.orderList)),0))</f>
        <v>4232.8500000000004</v>
      </c>
      <c r="D48" s="4" t="str">
        <f>VLOOKUP(VLOOKUP(order_details[[#This Row],[ProductID]], products[], 4, FALSE), categories[], 2, FALSE)</f>
        <v>Produce</v>
      </c>
      <c r="E48" s="18" t="str">
        <f t="shared" si="0"/>
        <v>Low</v>
      </c>
      <c r="F48" s="18"/>
      <c r="G48" s="18"/>
    </row>
    <row r="49" spans="1:7" x14ac:dyDescent="0.35">
      <c r="A49" s="18" t="str">
        <v>FURIB</v>
      </c>
      <c r="B49" s="18">
        <v>8</v>
      </c>
      <c r="C49" s="18" cm="1">
        <f t="array" ref="C49">_xlfn.LET(_xlpm.orderList, _xlfn._xlws.FILTER(orders[OrderID], orders[CustomerID]=A49), IFERROR(SUM(SUMIFS(order_details[Order Value], order_details[OrderID], _xlpm.orderList)),0))</f>
        <v>6427.4225000000006</v>
      </c>
      <c r="D49" s="4" t="str">
        <f>VLOOKUP(VLOOKUP(order_details[[#This Row],[ProductID]], products[], 4, FALSE), categories[], 2, FALSE)</f>
        <v>Beverages</v>
      </c>
      <c r="E49" s="18" t="str">
        <f t="shared" si="0"/>
        <v>Low</v>
      </c>
      <c r="F49" s="18"/>
      <c r="G49" s="18"/>
    </row>
    <row r="50" spans="1:7" x14ac:dyDescent="0.35">
      <c r="A50" s="18" t="str">
        <v>BONAP</v>
      </c>
      <c r="B50" s="18">
        <v>17</v>
      </c>
      <c r="C50" s="18" cm="1">
        <f t="array" ref="C50">_xlfn.LET(_xlpm.orderList, _xlfn._xlws.FILTER(orders[OrderID], orders[CustomerID]=A50), IFERROR(SUM(SUMIFS(order_details[Order Value], order_details[OrderID], _xlpm.orderList)),0))</f>
        <v>21963.252500000002</v>
      </c>
      <c r="D50" s="4" t="str">
        <f>VLOOKUP(VLOOKUP(order_details[[#This Row],[ProductID]], products[], 4, FALSE), categories[], 2, FALSE)</f>
        <v>Seafood</v>
      </c>
      <c r="E50" s="18" t="str">
        <f t="shared" si="0"/>
        <v>High</v>
      </c>
      <c r="F50" s="18"/>
      <c r="G50" s="18"/>
    </row>
    <row r="51" spans="1:7" x14ac:dyDescent="0.35">
      <c r="A51" s="18" t="str">
        <v>MEREP</v>
      </c>
      <c r="B51" s="18">
        <v>13</v>
      </c>
      <c r="C51" s="18" cm="1">
        <f t="array" ref="C51">_xlfn.LET(_xlpm.orderList, _xlfn._xlws.FILTER(orders[OrderID], orders[CustomerID]=A51), IFERROR(SUM(SUMIFS(order_details[Order Value], order_details[OrderID], _xlpm.orderList)),0))</f>
        <v>28872.190000000002</v>
      </c>
      <c r="D51" s="4" t="str">
        <f>VLOOKUP(VLOOKUP(order_details[[#This Row],[ProductID]], products[], 4, FALSE), categories[], 2, FALSE)</f>
        <v>Meat/Poultry</v>
      </c>
      <c r="E51" s="18" t="str">
        <f t="shared" si="0"/>
        <v>High</v>
      </c>
      <c r="F51" s="18"/>
      <c r="G51" s="18"/>
    </row>
    <row r="52" spans="1:7" x14ac:dyDescent="0.35">
      <c r="A52" s="18" t="str">
        <v>PRINI</v>
      </c>
      <c r="B52" s="18">
        <v>5</v>
      </c>
      <c r="C52" s="18" cm="1">
        <f t="array" ref="C52">_xlfn.LET(_xlpm.orderList, _xlfn._xlws.FILTER(orders[OrderID], orders[CustomerID]=A52), IFERROR(SUM(SUMIFS(order_details[Order Value], order_details[OrderID], _xlpm.orderList)),0))</f>
        <v>5044.9400000000005</v>
      </c>
      <c r="D52" s="4" t="str">
        <f>VLOOKUP(VLOOKUP(order_details[[#This Row],[ProductID]], products[], 4, FALSE), categories[], 2, FALSE)</f>
        <v>Beverages</v>
      </c>
      <c r="E52" s="18" t="str">
        <f t="shared" si="0"/>
        <v>Low</v>
      </c>
      <c r="F52" s="18"/>
      <c r="G52" s="18"/>
    </row>
    <row r="53" spans="1:7" x14ac:dyDescent="0.35">
      <c r="A53" s="18" t="str">
        <v>SIMOB</v>
      </c>
      <c r="B53" s="18">
        <v>7</v>
      </c>
      <c r="C53" s="18" cm="1">
        <f t="array" ref="C53">_xlfn.LET(_xlpm.orderList, _xlfn._xlws.FILTER(orders[OrderID], orders[CustomerID]=A53), IFERROR(SUM(SUMIFS(order_details[Order Value], order_details[OrderID], _xlpm.orderList)),0))</f>
        <v>16817.0975</v>
      </c>
      <c r="D53" s="4" t="str">
        <f>VLOOKUP(VLOOKUP(order_details[[#This Row],[ProductID]], products[], 4, FALSE), categories[], 2, FALSE)</f>
        <v>Dairy Products</v>
      </c>
      <c r="E53" s="18" t="str">
        <f t="shared" si="0"/>
        <v>Medium</v>
      </c>
      <c r="F53" s="18"/>
      <c r="G53" s="18"/>
    </row>
    <row r="54" spans="1:7" x14ac:dyDescent="0.35">
      <c r="A54" s="18" t="str">
        <v>FAMIA</v>
      </c>
      <c r="B54" s="18">
        <v>7</v>
      </c>
      <c r="C54" s="18" cm="1">
        <f t="array" ref="C54">_xlfn.LET(_xlpm.orderList, _xlfn._xlws.FILTER(orders[OrderID], orders[CustomerID]=A54), IFERROR(SUM(SUMIFS(order_details[Order Value], order_details[OrderID], _xlpm.orderList)),0))</f>
        <v>4107.55</v>
      </c>
      <c r="D54" s="4" t="str">
        <f>VLOOKUP(VLOOKUP(order_details[[#This Row],[ProductID]], products[], 4, FALSE), categories[], 2, FALSE)</f>
        <v>Seafood</v>
      </c>
      <c r="E54" s="18" t="str">
        <f t="shared" si="0"/>
        <v>Low</v>
      </c>
      <c r="F54" s="18"/>
      <c r="G54" s="18"/>
    </row>
    <row r="55" spans="1:7" x14ac:dyDescent="0.35">
      <c r="A55" s="18" t="str">
        <v>LAMAI</v>
      </c>
      <c r="B55" s="18">
        <v>14</v>
      </c>
      <c r="C55" s="18" cm="1">
        <f t="array" ref="C55">_xlfn.LET(_xlpm.orderList, _xlfn._xlws.FILTER(orders[OrderID], orders[CustomerID]=A55), IFERROR(SUM(SUMIFS(order_details[Order Value], order_details[OrderID], _xlpm.orderList)),0))</f>
        <v>9328.1999999999989</v>
      </c>
      <c r="D55" s="4" t="str">
        <f>VLOOKUP(VLOOKUP(order_details[[#This Row],[ProductID]], products[], 4, FALSE), categories[], 2, FALSE)</f>
        <v>Dairy Products</v>
      </c>
      <c r="E55" s="18" t="str">
        <f t="shared" si="0"/>
        <v>Medium</v>
      </c>
      <c r="F55" s="18"/>
      <c r="G55" s="18"/>
    </row>
    <row r="56" spans="1:7" x14ac:dyDescent="0.35">
      <c r="A56" s="18" t="str">
        <v>PICCO</v>
      </c>
      <c r="B56" s="18">
        <v>10</v>
      </c>
      <c r="C56" s="18" cm="1">
        <f t="array" ref="C56">_xlfn.LET(_xlpm.orderList, _xlfn._xlws.FILTER(orders[OrderID], orders[CustomerID]=A56), IFERROR(SUM(SUMIFS(order_details[Order Value], order_details[OrderID], _xlpm.orderList)),0))</f>
        <v>23128.86</v>
      </c>
      <c r="D56" s="4" t="str">
        <f>VLOOKUP(VLOOKUP(order_details[[#This Row],[ProductID]], products[], 4, FALSE), categories[], 2, FALSE)</f>
        <v>Beverages</v>
      </c>
      <c r="E56" s="18" t="str">
        <f t="shared" si="0"/>
        <v>High</v>
      </c>
      <c r="F56" s="18"/>
      <c r="G56" s="18"/>
    </row>
    <row r="57" spans="1:7" x14ac:dyDescent="0.35">
      <c r="A57" s="18" t="str">
        <v>AROUT</v>
      </c>
      <c r="B57" s="18">
        <v>13</v>
      </c>
      <c r="C57" s="18" cm="1">
        <f t="array" ref="C57">_xlfn.LET(_xlpm.orderList, _xlfn._xlws.FILTER(orders[OrderID], orders[CustomerID]=A57), IFERROR(SUM(SUMIFS(order_details[Order Value], order_details[OrderID], _xlpm.orderList)),0))</f>
        <v>13390.650000000001</v>
      </c>
      <c r="D57" s="4" t="str">
        <f>VLOOKUP(VLOOKUP(order_details[[#This Row],[ProductID]], products[], 4, FALSE), categories[], 2, FALSE)</f>
        <v>Meat/Poultry</v>
      </c>
      <c r="E57" s="18" t="str">
        <f t="shared" si="0"/>
        <v>Medium</v>
      </c>
      <c r="F57" s="18"/>
      <c r="G57" s="18"/>
    </row>
    <row r="58" spans="1:7" x14ac:dyDescent="0.35">
      <c r="A58" s="18" t="str">
        <v>SEVES</v>
      </c>
      <c r="B58" s="18">
        <v>9</v>
      </c>
      <c r="C58" s="18" cm="1">
        <f t="array" ref="C58">_xlfn.LET(_xlpm.orderList, _xlfn._xlws.FILTER(orders[OrderID], orders[CustomerID]=A58), IFERROR(SUM(SUMIFS(order_details[Order Value], order_details[OrderID], _xlpm.orderList)),0))</f>
        <v>16215.324999999999</v>
      </c>
      <c r="D58" s="4" t="str">
        <f>VLOOKUP(VLOOKUP(order_details[[#This Row],[ProductID]], products[], 4, FALSE), categories[], 2, FALSE)</f>
        <v>Dairy Products</v>
      </c>
      <c r="E58" s="18" t="str">
        <f t="shared" si="0"/>
        <v>Medium</v>
      </c>
      <c r="F58" s="18"/>
      <c r="G58" s="18"/>
    </row>
    <row r="59" spans="1:7" x14ac:dyDescent="0.35">
      <c r="A59" s="18" t="str">
        <v>DRACD</v>
      </c>
      <c r="B59" s="18">
        <v>6</v>
      </c>
      <c r="C59" s="18" cm="1">
        <f t="array" ref="C59">_xlfn.LET(_xlpm.orderList, _xlfn._xlws.FILTER(orders[OrderID], orders[CustomerID]=A59), IFERROR(SUM(SUMIFS(order_details[Order Value], order_details[OrderID], _xlpm.orderList)),0))</f>
        <v>3763.21</v>
      </c>
      <c r="D59" s="4" t="str">
        <f>VLOOKUP(VLOOKUP(order_details[[#This Row],[ProductID]], products[], 4, FALSE), categories[], 2, FALSE)</f>
        <v>Dairy Products</v>
      </c>
      <c r="E59" s="18" t="str">
        <f t="shared" si="0"/>
        <v>Low</v>
      </c>
      <c r="F59" s="18"/>
      <c r="G59" s="18"/>
    </row>
    <row r="60" spans="1:7" x14ac:dyDescent="0.35">
      <c r="A60" s="18" t="str">
        <v>EASTC</v>
      </c>
      <c r="B60" s="18">
        <v>8</v>
      </c>
      <c r="C60" s="18" cm="1">
        <f t="array" ref="C60">_xlfn.LET(_xlpm.orderList, _xlfn._xlws.FILTER(orders[OrderID], orders[CustomerID]=A60), IFERROR(SUM(SUMIFS(order_details[Order Value], order_details[OrderID], _xlpm.orderList)),0))</f>
        <v>14761.035</v>
      </c>
      <c r="D60" s="4" t="str">
        <f>VLOOKUP(VLOOKUP(order_details[[#This Row],[ProductID]], products[], 4, FALSE), categories[], 2, FALSE)</f>
        <v>Dairy Products</v>
      </c>
      <c r="E60" s="18" t="str">
        <f t="shared" si="0"/>
        <v>Medium</v>
      </c>
      <c r="F60" s="18"/>
      <c r="G60" s="18"/>
    </row>
    <row r="61" spans="1:7" x14ac:dyDescent="0.35">
      <c r="A61" s="18" t="str">
        <v>ANTON</v>
      </c>
      <c r="B61" s="18">
        <v>7</v>
      </c>
      <c r="C61" s="18" cm="1">
        <f t="array" ref="C61">_xlfn.LET(_xlpm.orderList, _xlfn._xlws.FILTER(orders[OrderID], orders[CustomerID]=A61), IFERROR(SUM(SUMIFS(order_details[Order Value], order_details[OrderID], _xlpm.orderList)),0))</f>
        <v>7023.9775</v>
      </c>
      <c r="D61" s="4" t="str">
        <f>VLOOKUP(VLOOKUP(order_details[[#This Row],[ProductID]], products[], 4, FALSE), categories[], 2, FALSE)</f>
        <v>Seafood</v>
      </c>
      <c r="E61" s="18" t="str">
        <f t="shared" si="0"/>
        <v>Low</v>
      </c>
      <c r="F61" s="18"/>
      <c r="G61" s="18"/>
    </row>
    <row r="62" spans="1:7" x14ac:dyDescent="0.35">
      <c r="A62" s="18" t="str">
        <v>GALED</v>
      </c>
      <c r="B62" s="18">
        <v>5</v>
      </c>
      <c r="C62" s="18" cm="1">
        <f t="array" ref="C62">_xlfn.LET(_xlpm.orderList, _xlfn._xlws.FILTER(orders[OrderID], orders[CustomerID]=A62), IFERROR(SUM(SUMIFS(order_details[Order Value], order_details[OrderID], _xlpm.orderList)),0))</f>
        <v>836.7</v>
      </c>
      <c r="D62" s="4" t="str">
        <f>VLOOKUP(VLOOKUP(order_details[[#This Row],[ProductID]], products[], 4, FALSE), categories[], 2, FALSE)</f>
        <v>Beverages</v>
      </c>
      <c r="E62" s="18" t="str">
        <f t="shared" si="0"/>
        <v>Low</v>
      </c>
      <c r="F62" s="18"/>
      <c r="G62" s="18"/>
    </row>
    <row r="63" spans="1:7" x14ac:dyDescent="0.35">
      <c r="A63" s="18" t="str">
        <v>VAFFE</v>
      </c>
      <c r="B63" s="18">
        <v>11</v>
      </c>
      <c r="C63" s="18" cm="1">
        <f t="array" ref="C63">_xlfn.LET(_xlpm.orderList, _xlfn._xlws.FILTER(orders[OrderID], orders[CustomerID]=A63), IFERROR(SUM(SUMIFS(order_details[Order Value], order_details[OrderID], _xlpm.orderList)),0))</f>
        <v>15843.924999999999</v>
      </c>
      <c r="D63" s="4" t="str">
        <f>VLOOKUP(VLOOKUP(order_details[[#This Row],[ProductID]], products[], 4, FALSE), categories[], 2, FALSE)</f>
        <v>Dairy Products</v>
      </c>
      <c r="E63" s="18" t="str">
        <f t="shared" si="0"/>
        <v>High</v>
      </c>
      <c r="F63" s="18"/>
      <c r="G63" s="18"/>
    </row>
    <row r="64" spans="1:7" x14ac:dyDescent="0.35">
      <c r="A64" s="18" t="str">
        <v>QUEEN</v>
      </c>
      <c r="B64" s="18">
        <v>13</v>
      </c>
      <c r="C64" s="18" cm="1">
        <f t="array" ref="C64">_xlfn.LET(_xlpm.orderList, _xlfn._xlws.FILTER(orders[OrderID], orders[CustomerID]=A64), IFERROR(SUM(SUMIFS(order_details[Order Value], order_details[OrderID], _xlpm.orderList)),0))</f>
        <v>25717.497500000005</v>
      </c>
      <c r="D64" s="4" t="str">
        <f>VLOOKUP(VLOOKUP(order_details[[#This Row],[ProductID]], products[], 4, FALSE), categories[], 2, FALSE)</f>
        <v>Confections</v>
      </c>
      <c r="E64" s="18" t="str">
        <f t="shared" si="0"/>
        <v>High</v>
      </c>
      <c r="F64" s="18"/>
      <c r="G64" s="18"/>
    </row>
    <row r="65" spans="1:7" x14ac:dyDescent="0.35">
      <c r="A65" s="18" t="str">
        <v>WOLZA</v>
      </c>
      <c r="B65" s="18">
        <v>7</v>
      </c>
      <c r="C65" s="18" cm="1">
        <f t="array" ref="C65">_xlfn.LET(_xlpm.orderList, _xlfn._xlws.FILTER(orders[OrderID], orders[CustomerID]=A65), IFERROR(SUM(SUMIFS(order_details[Order Value], order_details[OrderID], _xlpm.orderList)),0))</f>
        <v>3531.95</v>
      </c>
      <c r="D65" s="4" t="str">
        <f>VLOOKUP(VLOOKUP(order_details[[#This Row],[ProductID]], products[], 4, FALSE), categories[], 2, FALSE)</f>
        <v>Dairy Products</v>
      </c>
      <c r="E65" s="18" t="str">
        <f t="shared" si="0"/>
        <v>Low</v>
      </c>
      <c r="F65" s="18"/>
      <c r="G65" s="18"/>
    </row>
    <row r="66" spans="1:7" x14ac:dyDescent="0.35">
      <c r="A66" s="18" t="str">
        <v>HUNGC</v>
      </c>
      <c r="B66" s="18">
        <v>5</v>
      </c>
      <c r="C66" s="18" cm="1">
        <f t="array" ref="C66">_xlfn.LET(_xlpm.orderList, _xlfn._xlws.FILTER(orders[OrderID], orders[CustomerID]=A66), IFERROR(SUM(SUMIFS(order_details[Order Value], order_details[OrderID], _xlpm.orderList)),0))</f>
        <v>3063.2</v>
      </c>
      <c r="D66" s="4" t="str">
        <f>VLOOKUP(VLOOKUP(order_details[[#This Row],[ProductID]], products[], 4, FALSE), categories[], 2, FALSE)</f>
        <v>Dairy Products</v>
      </c>
      <c r="E66" s="18" t="str">
        <f t="shared" si="0"/>
        <v>Low</v>
      </c>
      <c r="F66" s="18"/>
      <c r="G66" s="18"/>
    </row>
    <row r="67" spans="1:7" x14ac:dyDescent="0.35">
      <c r="A67" s="18" t="str">
        <v>SANTG</v>
      </c>
      <c r="B67" s="18">
        <v>6</v>
      </c>
      <c r="C67" s="18" cm="1">
        <f t="array" ref="C67">_xlfn.LET(_xlpm.orderList, _xlfn._xlws.FILTER(orders[OrderID], orders[CustomerID]=A67), IFERROR(SUM(SUMIFS(order_details[Order Value], order_details[OrderID], _xlpm.orderList)),0))</f>
        <v>5735.1500000000005</v>
      </c>
      <c r="D67" s="4" t="str">
        <f>VLOOKUP(VLOOKUP(order_details[[#This Row],[ProductID]], products[], 4, FALSE), categories[], 2, FALSE)</f>
        <v>Seafood</v>
      </c>
      <c r="E67" s="18" t="str">
        <f t="shared" ref="E67:E90" si="1">IF(AND(B67&gt;$F$2, C67&gt;$G$2),"High",IF(AND(B67&gt;=$F$2/2, C67&gt;=$G$2/2),"Medium","Low"))</f>
        <v>Low</v>
      </c>
      <c r="F67" s="18"/>
      <c r="G67" s="18"/>
    </row>
    <row r="68" spans="1:7" x14ac:dyDescent="0.35">
      <c r="A68" s="18" t="str">
        <v>BOTTM</v>
      </c>
      <c r="B68" s="18">
        <v>14</v>
      </c>
      <c r="C68" s="18" cm="1">
        <f t="array" ref="C68">_xlfn.LET(_xlpm.orderList, _xlfn._xlws.FILTER(orders[OrderID], orders[CustomerID]=A68), IFERROR(SUM(SUMIFS(order_details[Order Value], order_details[OrderID], _xlpm.orderList)),0))</f>
        <v>20801.599999999999</v>
      </c>
      <c r="D68" s="4" t="str">
        <f>VLOOKUP(VLOOKUP(order_details[[#This Row],[ProductID]], products[], 4, FALSE), categories[], 2, FALSE)</f>
        <v>Dairy Products</v>
      </c>
      <c r="E68" s="18" t="str">
        <f t="shared" si="1"/>
        <v>High</v>
      </c>
      <c r="F68" s="18"/>
      <c r="G68" s="18"/>
    </row>
    <row r="69" spans="1:7" x14ac:dyDescent="0.35">
      <c r="A69" s="18" t="str">
        <v>LINOD</v>
      </c>
      <c r="B69" s="18">
        <v>12</v>
      </c>
      <c r="C69" s="18" cm="1">
        <f t="array" ref="C69">_xlfn.LET(_xlpm.orderList, _xlfn._xlws.FILTER(orders[OrderID], orders[CustomerID]=A69), IFERROR(SUM(SUMIFS(order_details[Order Value], order_details[OrderID], _xlpm.orderList)),0))</f>
        <v>16476.565000000002</v>
      </c>
      <c r="D69" s="4" t="str">
        <f>VLOOKUP(VLOOKUP(order_details[[#This Row],[ProductID]], products[], 4, FALSE), categories[], 2, FALSE)</f>
        <v>Dairy Products</v>
      </c>
      <c r="E69" s="18" t="str">
        <f t="shared" si="1"/>
        <v>High</v>
      </c>
      <c r="F69" s="18"/>
      <c r="G69" s="18"/>
    </row>
    <row r="70" spans="1:7" x14ac:dyDescent="0.35">
      <c r="A70" s="18" t="str">
        <v>FOLIG</v>
      </c>
      <c r="B70" s="18">
        <v>5</v>
      </c>
      <c r="C70" s="18" cm="1">
        <f t="array" ref="C70">_xlfn.LET(_xlpm.orderList, _xlfn._xlws.FILTER(orders[OrderID], orders[CustomerID]=A70), IFERROR(SUM(SUMIFS(order_details[Order Value], order_details[OrderID], _xlpm.orderList)),0))</f>
        <v>11666.9</v>
      </c>
      <c r="D70" s="4" t="str">
        <f>VLOOKUP(VLOOKUP(order_details[[#This Row],[ProductID]], products[], 4, FALSE), categories[], 2, FALSE)</f>
        <v>Seafood</v>
      </c>
      <c r="E70" s="18" t="str">
        <f t="shared" si="1"/>
        <v>Medium</v>
      </c>
      <c r="F70" s="18"/>
      <c r="G70" s="18"/>
    </row>
    <row r="71" spans="1:7" x14ac:dyDescent="0.35">
      <c r="A71" s="18" t="str">
        <v>OCEAN</v>
      </c>
      <c r="B71" s="18">
        <v>5</v>
      </c>
      <c r="C71" s="18" cm="1">
        <f t="array" ref="C71">_xlfn.LET(_xlpm.orderList, _xlfn._xlws.FILTER(orders[OrderID], orders[CustomerID]=A71), IFERROR(SUM(SUMIFS(order_details[Order Value], order_details[OrderID], _xlpm.orderList)),0))</f>
        <v>3460.2</v>
      </c>
      <c r="D71" s="4" t="str">
        <f>VLOOKUP(VLOOKUP(order_details[[#This Row],[ProductID]], products[], 4, FALSE), categories[], 2, FALSE)</f>
        <v>Beverages</v>
      </c>
      <c r="E71" s="18" t="str">
        <f t="shared" si="1"/>
        <v>Low</v>
      </c>
      <c r="F71" s="18"/>
      <c r="G71" s="18"/>
    </row>
    <row r="72" spans="1:7" x14ac:dyDescent="0.35">
      <c r="A72" s="18" t="str">
        <v>FRANS</v>
      </c>
      <c r="B72" s="18">
        <v>6</v>
      </c>
      <c r="C72" s="18" cm="1">
        <f t="array" ref="C72">_xlfn.LET(_xlpm.orderList, _xlfn._xlws.FILTER(orders[OrderID], orders[CustomerID]=A72), IFERROR(SUM(SUMIFS(order_details[Order Value], order_details[OrderID], _xlpm.orderList)),0))</f>
        <v>1545.7</v>
      </c>
      <c r="D72" s="4" t="str">
        <f>VLOOKUP(VLOOKUP(order_details[[#This Row],[ProductID]], products[], 4, FALSE), categories[], 2, FALSE)</f>
        <v>Dairy Products</v>
      </c>
      <c r="E72" s="18" t="str">
        <f t="shared" si="1"/>
        <v>Low</v>
      </c>
      <c r="F72" s="18"/>
      <c r="G72" s="18"/>
    </row>
    <row r="73" spans="1:7" x14ac:dyDescent="0.35">
      <c r="A73" s="18" t="str">
        <v>GOURL</v>
      </c>
      <c r="B73" s="18">
        <v>9</v>
      </c>
      <c r="C73" s="18" cm="1">
        <f t="array" ref="C73">_xlfn.LET(_xlpm.orderList, _xlfn._xlws.FILTER(orders[OrderID], orders[CustomerID]=A73), IFERROR(SUM(SUMIFS(order_details[Order Value], order_details[OrderID], _xlpm.orderList)),0))</f>
        <v>8414.1350000000002</v>
      </c>
      <c r="D73" s="4" t="str">
        <f>VLOOKUP(VLOOKUP(order_details[[#This Row],[ProductID]], products[], 4, FALSE), categories[], 2, FALSE)</f>
        <v>Dairy Products</v>
      </c>
      <c r="E73" s="18" t="str">
        <f t="shared" si="1"/>
        <v>Medium</v>
      </c>
      <c r="F73" s="18"/>
      <c r="G73" s="18"/>
    </row>
    <row r="74" spans="1:7" x14ac:dyDescent="0.35">
      <c r="A74" s="18" t="str">
        <v>CONSH</v>
      </c>
      <c r="B74" s="18">
        <v>3</v>
      </c>
      <c r="C74" s="18" cm="1">
        <f t="array" ref="C74">_xlfn.LET(_xlpm.orderList, _xlfn._xlws.FILTER(orders[OrderID], orders[CustomerID]=A74), IFERROR(SUM(SUMIFS(order_details[Order Value], order_details[OrderID], _xlpm.orderList)),0))</f>
        <v>1719.1</v>
      </c>
      <c r="D74" s="4" t="str">
        <f>VLOOKUP(VLOOKUP(order_details[[#This Row],[ProductID]], products[], 4, FALSE), categories[], 2, FALSE)</f>
        <v>Beverages</v>
      </c>
      <c r="E74" s="18" t="str">
        <f t="shared" si="1"/>
        <v>Low</v>
      </c>
      <c r="F74" s="18"/>
      <c r="G74" s="18"/>
    </row>
    <row r="75" spans="1:7" x14ac:dyDescent="0.35">
      <c r="A75" s="18" t="str">
        <v>RANCH</v>
      </c>
      <c r="B75" s="18">
        <v>5</v>
      </c>
      <c r="C75" s="18" cm="1">
        <f t="array" ref="C75">_xlfn.LET(_xlpm.orderList, _xlfn._xlws.FILTER(orders[OrderID], orders[CustomerID]=A75), IFERROR(SUM(SUMIFS(order_details[Order Value], order_details[OrderID], _xlpm.orderList)),0))</f>
        <v>2844.1000000000004</v>
      </c>
      <c r="D75" s="4" t="str">
        <f>VLOOKUP(VLOOKUP(order_details[[#This Row],[ProductID]], products[], 4, FALSE), categories[], 2, FALSE)</f>
        <v>Dairy Products</v>
      </c>
      <c r="E75" s="18" t="str">
        <f t="shared" si="1"/>
        <v>Low</v>
      </c>
      <c r="F75" s="18"/>
      <c r="G75" s="18"/>
    </row>
    <row r="76" spans="1:7" x14ac:dyDescent="0.35">
      <c r="A76" s="18" t="str">
        <v>LAZYK</v>
      </c>
      <c r="B76" s="18">
        <v>2</v>
      </c>
      <c r="C76" s="18" cm="1">
        <f t="array" ref="C76">_xlfn.LET(_xlpm.orderList, _xlfn._xlws.FILTER(orders[OrderID], orders[CustomerID]=A76), IFERROR(SUM(SUMIFS(order_details[Order Value], order_details[OrderID], _xlpm.orderList)),0))</f>
        <v>357</v>
      </c>
      <c r="D76" s="4" t="str">
        <f>VLOOKUP(VLOOKUP(order_details[[#This Row],[ProductID]], products[], 4, FALSE), categories[], 2, FALSE)</f>
        <v>Seafood</v>
      </c>
      <c r="E76" s="18" t="str">
        <f t="shared" si="1"/>
        <v>Low</v>
      </c>
      <c r="F76" s="18"/>
      <c r="G76" s="18"/>
    </row>
    <row r="77" spans="1:7" x14ac:dyDescent="0.35">
      <c r="A77" s="18" t="str">
        <v>LAUGB</v>
      </c>
      <c r="B77" s="18">
        <v>3</v>
      </c>
      <c r="C77" s="18" cm="1">
        <f t="array" ref="C77">_xlfn.LET(_xlpm.orderList, _xlfn._xlws.FILTER(orders[OrderID], orders[CustomerID]=A77), IFERROR(SUM(SUMIFS(order_details[Order Value], order_details[OrderID], _xlpm.orderList)),0))</f>
        <v>522.5</v>
      </c>
      <c r="D77" s="4" t="str">
        <f>VLOOKUP(VLOOKUP(order_details[[#This Row],[ProductID]], products[], 4, FALSE), categories[], 2, FALSE)</f>
        <v>Seafood</v>
      </c>
      <c r="E77" s="18" t="str">
        <f t="shared" si="1"/>
        <v>Low</v>
      </c>
      <c r="F77" s="18"/>
      <c r="G77" s="18"/>
    </row>
    <row r="78" spans="1:7" x14ac:dyDescent="0.35">
      <c r="A78" s="18" t="str">
        <v>BLAUS</v>
      </c>
      <c r="B78" s="18">
        <v>7</v>
      </c>
      <c r="C78" s="18" cm="1">
        <f t="array" ref="C78">_xlfn.LET(_xlpm.orderList, _xlfn._xlws.FILTER(orders[OrderID], orders[CustomerID]=A78), IFERROR(SUM(SUMIFS(order_details[Order Value], order_details[OrderID], _xlpm.orderList)),0))</f>
        <v>3239.8</v>
      </c>
      <c r="D78" s="4" t="str">
        <f>VLOOKUP(VLOOKUP(order_details[[#This Row],[ProductID]], products[], 4, FALSE), categories[], 2, FALSE)</f>
        <v>Produce</v>
      </c>
      <c r="E78" s="18" t="str">
        <f t="shared" si="1"/>
        <v>Low</v>
      </c>
      <c r="F78" s="18"/>
      <c r="G78" s="18"/>
    </row>
    <row r="79" spans="1:7" x14ac:dyDescent="0.35">
      <c r="A79" s="18" t="str">
        <v>NORTS</v>
      </c>
      <c r="B79" s="18">
        <v>3</v>
      </c>
      <c r="C79" s="18" cm="1">
        <f t="array" ref="C79">_xlfn.LET(_xlpm.orderList, _xlfn._xlws.FILTER(orders[OrderID], orders[CustomerID]=A79), IFERROR(SUM(SUMIFS(order_details[Order Value], order_details[OrderID], _xlpm.orderList)),0))</f>
        <v>649</v>
      </c>
      <c r="D79" s="4" t="str">
        <f>VLOOKUP(VLOOKUP(order_details[[#This Row],[ProductID]], products[], 4, FALSE), categories[], 2, FALSE)</f>
        <v>Confections</v>
      </c>
      <c r="E79" s="18" t="str">
        <f t="shared" si="1"/>
        <v>Low</v>
      </c>
      <c r="F79" s="18"/>
      <c r="G79" s="18"/>
    </row>
    <row r="80" spans="1:7" x14ac:dyDescent="0.35">
      <c r="A80" s="18" t="str">
        <v>CACTU</v>
      </c>
      <c r="B80" s="18">
        <v>6</v>
      </c>
      <c r="C80" s="18" cm="1">
        <f t="array" ref="C80">_xlfn.LET(_xlpm.orderList, _xlfn._xlws.FILTER(orders[OrderID], orders[CustomerID]=A80), IFERROR(SUM(SUMIFS(order_details[Order Value], order_details[OrderID], _xlpm.orderList)),0))</f>
        <v>1814.8</v>
      </c>
      <c r="D80" s="4" t="str">
        <f>VLOOKUP(VLOOKUP(order_details[[#This Row],[ProductID]], products[], 4, FALSE), categories[], 2, FALSE)</f>
        <v>Condiments</v>
      </c>
      <c r="E80" s="18" t="str">
        <f t="shared" si="1"/>
        <v>Low</v>
      </c>
      <c r="F80" s="18"/>
      <c r="G80" s="18"/>
    </row>
    <row r="81" spans="1:7" x14ac:dyDescent="0.35">
      <c r="A81" s="18" t="str">
        <v>GREAL</v>
      </c>
      <c r="B81" s="18">
        <v>11</v>
      </c>
      <c r="C81" s="18" cm="1">
        <f t="array" ref="C81">_xlfn.LET(_xlpm.orderList, _xlfn._xlws.FILTER(orders[OrderID], orders[CustomerID]=A81), IFERROR(SUM(SUMIFS(order_details[Order Value], order_details[OrderID], _xlpm.orderList)),0))</f>
        <v>18507.45</v>
      </c>
      <c r="D81" s="4" t="str">
        <f>VLOOKUP(VLOOKUP(order_details[[#This Row],[ProductID]], products[], 4, FALSE), categories[], 2, FALSE)</f>
        <v>Dairy Products</v>
      </c>
      <c r="E81" s="18" t="str">
        <f t="shared" si="1"/>
        <v>High</v>
      </c>
      <c r="F81" s="18"/>
      <c r="G81" s="18"/>
    </row>
    <row r="82" spans="1:7" x14ac:dyDescent="0.35">
      <c r="A82" s="18" t="str">
        <v>MAISD</v>
      </c>
      <c r="B82" s="18">
        <v>7</v>
      </c>
      <c r="C82" s="18" cm="1">
        <f t="array" ref="C82">_xlfn.LET(_xlpm.orderList, _xlfn._xlws.FILTER(orders[OrderID], orders[CustomerID]=A82), IFERROR(SUM(SUMIFS(order_details[Order Value], order_details[OrderID], _xlpm.orderList)),0))</f>
        <v>9736.0749999999989</v>
      </c>
      <c r="D82" s="4" t="str">
        <f>VLOOKUP(VLOOKUP(order_details[[#This Row],[ProductID]], products[], 4, FALSE), categories[], 2, FALSE)</f>
        <v>Condiments</v>
      </c>
      <c r="E82" s="18" t="str">
        <f t="shared" si="1"/>
        <v>Medium</v>
      </c>
      <c r="F82" s="18"/>
      <c r="G82" s="18"/>
    </row>
    <row r="83" spans="1:7" x14ac:dyDescent="0.35">
      <c r="A83" s="18" t="str">
        <v>TRAIH</v>
      </c>
      <c r="B83" s="18">
        <v>3</v>
      </c>
      <c r="C83" s="18" cm="1">
        <f t="array" ref="C83">_xlfn.LET(_xlpm.orderList, _xlfn._xlws.FILTER(orders[OrderID], orders[CustomerID]=A83), IFERROR(SUM(SUMIFS(order_details[Order Value], order_details[OrderID], _xlpm.orderList)),0))</f>
        <v>1571.1999999999998</v>
      </c>
      <c r="D83" s="4" t="str">
        <f>VLOOKUP(VLOOKUP(order_details[[#This Row],[ProductID]], products[], 4, FALSE), categories[], 2, FALSE)</f>
        <v>Seafood</v>
      </c>
      <c r="E83" s="18" t="str">
        <f t="shared" si="1"/>
        <v>Low</v>
      </c>
      <c r="F83" s="18"/>
      <c r="G83" s="18"/>
    </row>
    <row r="84" spans="1:7" x14ac:dyDescent="0.35">
      <c r="A84" s="18" t="str">
        <v>LETSS</v>
      </c>
      <c r="B84" s="18">
        <v>4</v>
      </c>
      <c r="C84" s="18" cm="1">
        <f t="array" ref="C84">_xlfn.LET(_xlpm.orderList, _xlfn._xlws.FILTER(orders[OrderID], orders[CustomerID]=A84), IFERROR(SUM(SUMIFS(order_details[Order Value], order_details[OrderID], _xlpm.orderList)),0))</f>
        <v>3076.4724999999999</v>
      </c>
      <c r="D84" s="4" t="str">
        <f>VLOOKUP(VLOOKUP(order_details[[#This Row],[ProductID]], products[], 4, FALSE), categories[], 2, FALSE)</f>
        <v>Meat/Poultry</v>
      </c>
      <c r="E84" s="18" t="str">
        <f t="shared" si="1"/>
        <v>Low</v>
      </c>
      <c r="F84" s="18"/>
      <c r="G84" s="18"/>
    </row>
    <row r="85" spans="1:7" x14ac:dyDescent="0.35">
      <c r="A85" s="18" t="str">
        <v>WILMK</v>
      </c>
      <c r="B85" s="18">
        <v>7</v>
      </c>
      <c r="C85" s="18" cm="1">
        <f t="array" ref="C85">_xlfn.LET(_xlpm.orderList, _xlfn._xlws.FILTER(orders[OrderID], orders[CustomerID]=A85), IFERROR(SUM(SUMIFS(order_details[Order Value], order_details[OrderID], _xlpm.orderList)),0))</f>
        <v>3161.35</v>
      </c>
      <c r="D85" s="4" t="str">
        <f>VLOOKUP(VLOOKUP(order_details[[#This Row],[ProductID]], products[], 4, FALSE), categories[], 2, FALSE)</f>
        <v>Beverages</v>
      </c>
      <c r="E85" s="18" t="str">
        <f t="shared" si="1"/>
        <v>Low</v>
      </c>
      <c r="F85" s="18"/>
      <c r="G85" s="18"/>
    </row>
    <row r="86" spans="1:7" x14ac:dyDescent="0.35">
      <c r="A86" s="18" t="str">
        <v>THECR</v>
      </c>
      <c r="B86" s="18">
        <v>3</v>
      </c>
      <c r="C86" s="18" cm="1">
        <f t="array" ref="C86">_xlfn.LET(_xlpm.orderList, _xlfn._xlws.FILTER(orders[OrderID], orders[CustomerID]=A86), IFERROR(SUM(SUMIFS(order_details[Order Value], order_details[OrderID], _xlpm.orderList)),0))</f>
        <v>1947.24</v>
      </c>
      <c r="D86" s="4" t="str">
        <f>VLOOKUP(VLOOKUP(order_details[[#This Row],[ProductID]], products[], 4, FALSE), categories[], 2, FALSE)</f>
        <v>Meat/Poultry</v>
      </c>
      <c r="E86" s="18" t="str">
        <f t="shared" si="1"/>
        <v>Low</v>
      </c>
      <c r="F86" s="18"/>
      <c r="G86" s="18"/>
    </row>
    <row r="87" spans="1:7" x14ac:dyDescent="0.35">
      <c r="A87" s="18" t="str">
        <v>ALFKI</v>
      </c>
      <c r="B87" s="18">
        <v>6</v>
      </c>
      <c r="C87" s="18" cm="1">
        <f t="array" ref="C87">_xlfn.LET(_xlpm.orderList, _xlfn._xlws.FILTER(orders[OrderID], orders[CustomerID]=A87), IFERROR(SUM(SUMIFS(order_details[Order Value], order_details[OrderID], _xlpm.orderList)),0))</f>
        <v>4273</v>
      </c>
      <c r="D87" s="4" t="str">
        <f>VLOOKUP(VLOOKUP(order_details[[#This Row],[ProductID]], products[], 4, FALSE), categories[], 2, FALSE)</f>
        <v>Beverages</v>
      </c>
      <c r="E87" s="18" t="str">
        <f t="shared" si="1"/>
        <v>Low</v>
      </c>
      <c r="F87" s="18"/>
      <c r="G87" s="18"/>
    </row>
    <row r="88" spans="1:7" x14ac:dyDescent="0.35">
      <c r="A88" s="18" t="str">
        <v>FRANR</v>
      </c>
      <c r="B88" s="18">
        <v>3</v>
      </c>
      <c r="C88" s="18" cm="1">
        <f t="array" ref="C88">_xlfn.LET(_xlpm.orderList, _xlfn._xlws.FILTER(orders[OrderID], orders[CustomerID]=A88), IFERROR(SUM(SUMIFS(order_details[Order Value], order_details[OrderID], _xlpm.orderList)),0))</f>
        <v>3172.16</v>
      </c>
      <c r="D88" s="4" t="str">
        <f>VLOOKUP(VLOOKUP(order_details[[#This Row],[ProductID]], products[], 4, FALSE), categories[], 2, FALSE)</f>
        <v>Confections</v>
      </c>
      <c r="E88" s="18" t="str">
        <f t="shared" si="1"/>
        <v>Low</v>
      </c>
      <c r="F88" s="18"/>
      <c r="G88" s="18"/>
    </row>
    <row r="89" spans="1:7" x14ac:dyDescent="0.35">
      <c r="A89" s="18" t="str">
        <v>SPECD</v>
      </c>
      <c r="B89" s="18">
        <v>4</v>
      </c>
      <c r="C89" s="18" cm="1">
        <f t="array" ref="C89">_xlfn.LET(_xlpm.orderList, _xlfn._xlws.FILTER(orders[OrderID], orders[CustomerID]=A89), IFERROR(SUM(SUMIFS(order_details[Order Value], order_details[OrderID], _xlpm.orderList)),0))</f>
        <v>2423.35</v>
      </c>
      <c r="D89" s="4" t="str">
        <f>VLOOKUP(VLOOKUP(order_details[[#This Row],[ProductID]], products[], 4, FALSE), categories[], 2, FALSE)</f>
        <v>Beverages</v>
      </c>
      <c r="E89" s="18" t="str">
        <f t="shared" si="1"/>
        <v>Low</v>
      </c>
      <c r="F89" s="18"/>
      <c r="G89" s="18"/>
    </row>
    <row r="90" spans="1:7" x14ac:dyDescent="0.35">
      <c r="A90" s="18" t="str">
        <v>LACOR</v>
      </c>
      <c r="B90" s="18">
        <v>4</v>
      </c>
      <c r="C90" s="18" cm="1">
        <f t="array" ref="C90">_xlfn.LET(_xlpm.orderList, _xlfn._xlws.FILTER(orders[OrderID], orders[CustomerID]=A90), IFERROR(SUM(SUMIFS(order_details[Order Value], order_details[OrderID], _xlpm.orderList)),0))</f>
        <v>1992.05</v>
      </c>
      <c r="D90" s="4" t="str">
        <f>VLOOKUP(VLOOKUP(order_details[[#This Row],[ProductID]], products[], 4, FALSE), categories[], 2, FALSE)</f>
        <v>Beverages</v>
      </c>
      <c r="E90" s="18" t="str">
        <f t="shared" si="1"/>
        <v>Low</v>
      </c>
      <c r="F90" s="18"/>
      <c r="G90" s="1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68BC9-2A2E-4148-83B1-E4072999DD45}">
  <dimension ref="A1:M36"/>
  <sheetViews>
    <sheetView workbookViewId="0">
      <selection activeCell="I7" sqref="I7"/>
    </sheetView>
  </sheetViews>
  <sheetFormatPr defaultRowHeight="14.5" x14ac:dyDescent="0.35"/>
  <cols>
    <col min="1" max="1" width="17.36328125" bestFit="1" customWidth="1"/>
    <col min="2" max="2" width="15.26953125" bestFit="1" customWidth="1"/>
    <col min="3" max="3" width="13.1796875" bestFit="1" customWidth="1"/>
    <col min="4" max="4" width="10.7265625" bestFit="1" customWidth="1"/>
    <col min="5" max="5" width="12.1796875" bestFit="1" customWidth="1"/>
    <col min="6" max="6" width="8.36328125" bestFit="1" customWidth="1"/>
    <col min="7" max="7" width="10.90625" bestFit="1" customWidth="1"/>
    <col min="8" max="8" width="7.7265625" bestFit="1" customWidth="1"/>
    <col min="9" max="9" width="13.1796875" bestFit="1" customWidth="1"/>
    <col min="10" max="10" width="10.7265625" bestFit="1" customWidth="1"/>
    <col min="11" max="12" width="6.36328125" bestFit="1" customWidth="1"/>
    <col min="13" max="13" width="10.7265625" bestFit="1" customWidth="1"/>
    <col min="14" max="14" width="9.36328125" bestFit="1" customWidth="1"/>
    <col min="15" max="16" width="10.36328125" bestFit="1" customWidth="1"/>
    <col min="17" max="23" width="9.36328125" bestFit="1" customWidth="1"/>
    <col min="24" max="24" width="10.36328125" bestFit="1" customWidth="1"/>
    <col min="25" max="25" width="10.54296875" bestFit="1" customWidth="1"/>
    <col min="26" max="28" width="10.36328125" bestFit="1" customWidth="1"/>
    <col min="29" max="29" width="11.36328125" bestFit="1" customWidth="1"/>
  </cols>
  <sheetData>
    <row r="1" spans="1:13" x14ac:dyDescent="0.35">
      <c r="A1" s="5" t="s">
        <v>1223</v>
      </c>
      <c r="B1" t="s">
        <v>1227</v>
      </c>
      <c r="D1" s="5" t="s">
        <v>1223</v>
      </c>
      <c r="E1" t="s">
        <v>1227</v>
      </c>
      <c r="H1" s="5" t="s">
        <v>1226</v>
      </c>
    </row>
    <row r="2" spans="1:13" x14ac:dyDescent="0.35">
      <c r="A2" s="6" t="s">
        <v>3</v>
      </c>
      <c r="B2" s="28">
        <v>0.21162083503462017</v>
      </c>
      <c r="D2" s="6">
        <v>38</v>
      </c>
      <c r="E2" s="11">
        <v>141396.73499999999</v>
      </c>
      <c r="F2" s="11"/>
      <c r="H2" t="s">
        <v>292</v>
      </c>
      <c r="I2" t="s">
        <v>38</v>
      </c>
      <c r="J2" t="s">
        <v>161</v>
      </c>
      <c r="K2" t="s">
        <v>91</v>
      </c>
      <c r="L2" t="s">
        <v>63</v>
      </c>
      <c r="M2" t="s">
        <v>1224</v>
      </c>
    </row>
    <row r="3" spans="1:13" x14ac:dyDescent="0.35">
      <c r="A3" s="6" t="s">
        <v>9</v>
      </c>
      <c r="B3" s="28">
        <v>0.18526510865680898</v>
      </c>
      <c r="D3" s="6">
        <v>29</v>
      </c>
      <c r="E3" s="11">
        <v>80368.672000000006</v>
      </c>
      <c r="F3" s="11"/>
      <c r="G3" t="s">
        <v>1225</v>
      </c>
      <c r="H3" s="10">
        <v>352</v>
      </c>
      <c r="I3" s="10">
        <v>328</v>
      </c>
      <c r="J3" s="10">
        <v>203</v>
      </c>
      <c r="K3" s="10">
        <v>184</v>
      </c>
      <c r="L3" s="10">
        <v>135</v>
      </c>
      <c r="M3" s="10">
        <v>1202</v>
      </c>
    </row>
    <row r="4" spans="1:13" ht="17.5" x14ac:dyDescent="0.4">
      <c r="A4" s="6" t="s">
        <v>7</v>
      </c>
      <c r="B4" s="28">
        <v>0.13221531465057479</v>
      </c>
      <c r="D4" s="6">
        <v>59</v>
      </c>
      <c r="E4" s="11">
        <v>71155.7</v>
      </c>
      <c r="F4" s="11"/>
      <c r="G4" s="26" t="s">
        <v>1258</v>
      </c>
    </row>
    <row r="5" spans="1:13" x14ac:dyDescent="0.35">
      <c r="A5" s="6" t="s">
        <v>13</v>
      </c>
      <c r="B5" s="28">
        <v>0.12879069043103233</v>
      </c>
      <c r="D5" s="6">
        <v>62</v>
      </c>
      <c r="E5" s="11">
        <v>47234.97</v>
      </c>
      <c r="F5" s="11"/>
      <c r="G5" s="9"/>
    </row>
    <row r="6" spans="1:13" x14ac:dyDescent="0.35">
      <c r="A6" s="6" t="s">
        <v>17</v>
      </c>
      <c r="B6" s="28">
        <v>0.10369920943146411</v>
      </c>
      <c r="D6" s="6">
        <v>60</v>
      </c>
      <c r="E6" s="11">
        <v>46825.48</v>
      </c>
      <c r="F6" s="11"/>
      <c r="G6" s="9" t="s">
        <v>1262</v>
      </c>
    </row>
    <row r="7" spans="1:13" x14ac:dyDescent="0.35">
      <c r="A7" s="6" t="s">
        <v>5</v>
      </c>
      <c r="B7" s="28">
        <v>8.3779165859443824E-2</v>
      </c>
      <c r="D7" s="6">
        <v>56</v>
      </c>
      <c r="E7" s="11">
        <v>42593.06</v>
      </c>
      <c r="F7" s="11"/>
      <c r="G7" s="9"/>
    </row>
    <row r="8" spans="1:13" x14ac:dyDescent="0.35">
      <c r="A8" s="6" t="s">
        <v>15</v>
      </c>
      <c r="B8" s="28">
        <v>7.8989674362164947E-2</v>
      </c>
      <c r="D8" s="6">
        <v>51</v>
      </c>
      <c r="E8" s="11">
        <v>41819.65</v>
      </c>
      <c r="F8" s="11"/>
      <c r="G8" s="9" t="s">
        <v>1259</v>
      </c>
    </row>
    <row r="9" spans="1:13" x14ac:dyDescent="0.35">
      <c r="A9" s="6" t="s">
        <v>11</v>
      </c>
      <c r="B9" s="28">
        <v>7.5640001573890794E-2</v>
      </c>
      <c r="D9" s="6">
        <v>17</v>
      </c>
      <c r="E9" s="11">
        <v>32698.379999999997</v>
      </c>
      <c r="F9" s="11"/>
      <c r="G9" s="9"/>
    </row>
    <row r="10" spans="1:13" x14ac:dyDescent="0.35">
      <c r="A10" s="6" t="s">
        <v>1224</v>
      </c>
      <c r="B10" s="28">
        <v>1</v>
      </c>
      <c r="D10" s="6">
        <v>18</v>
      </c>
      <c r="E10" s="11">
        <v>29171.875</v>
      </c>
      <c r="F10" s="11"/>
      <c r="G10" s="9" t="s">
        <v>1260</v>
      </c>
    </row>
    <row r="11" spans="1:13" x14ac:dyDescent="0.35">
      <c r="D11" s="6">
        <v>28</v>
      </c>
      <c r="E11" s="11">
        <v>25696.640000000007</v>
      </c>
      <c r="F11" s="11"/>
      <c r="G11" s="9"/>
    </row>
    <row r="12" spans="1:13" x14ac:dyDescent="0.35">
      <c r="D12" s="6" t="s">
        <v>1224</v>
      </c>
      <c r="E12" s="11">
        <v>558961.16200000001</v>
      </c>
      <c r="F12" s="10"/>
      <c r="G12" s="9" t="s">
        <v>1261</v>
      </c>
    </row>
    <row r="13" spans="1:13" x14ac:dyDescent="0.35">
      <c r="A13" s="5" t="s">
        <v>1227</v>
      </c>
      <c r="B13" s="5" t="s">
        <v>1226</v>
      </c>
    </row>
    <row r="14" spans="1:13" x14ac:dyDescent="0.35">
      <c r="A14" s="5" t="s">
        <v>1223</v>
      </c>
      <c r="B14" t="s">
        <v>3</v>
      </c>
      <c r="C14" t="s">
        <v>9</v>
      </c>
      <c r="D14" t="s">
        <v>7</v>
      </c>
      <c r="E14" t="s">
        <v>13</v>
      </c>
      <c r="F14" t="s">
        <v>17</v>
      </c>
      <c r="G14" t="s">
        <v>5</v>
      </c>
      <c r="H14" t="s">
        <v>15</v>
      </c>
      <c r="I14" t="s">
        <v>11</v>
      </c>
      <c r="J14" t="s">
        <v>1224</v>
      </c>
    </row>
    <row r="15" spans="1:13" x14ac:dyDescent="0.35">
      <c r="A15" s="6" t="s">
        <v>292</v>
      </c>
      <c r="B15" s="11">
        <v>60520.974999999999</v>
      </c>
      <c r="C15" s="11">
        <v>37902.044999999998</v>
      </c>
      <c r="D15" s="11">
        <v>36314.933000000012</v>
      </c>
      <c r="E15" s="11">
        <v>41635.035000000003</v>
      </c>
      <c r="F15" s="11">
        <v>23507.202499999996</v>
      </c>
      <c r="G15" s="11">
        <v>16597.527499999997</v>
      </c>
      <c r="H15" s="11">
        <v>9816.3274999999994</v>
      </c>
      <c r="I15" s="11">
        <v>19290.564999999999</v>
      </c>
      <c r="J15" s="11">
        <v>245584.61049999998</v>
      </c>
    </row>
    <row r="16" spans="1:13" x14ac:dyDescent="0.35">
      <c r="A16" s="6" t="s">
        <v>38</v>
      </c>
      <c r="B16" s="11">
        <v>54634.12</v>
      </c>
      <c r="C16" s="11">
        <v>49640.950000000004</v>
      </c>
      <c r="D16" s="11">
        <v>35878.5965</v>
      </c>
      <c r="E16" s="11">
        <v>21455.799500000001</v>
      </c>
      <c r="F16" s="11">
        <v>22285.72</v>
      </c>
      <c r="G16" s="11">
        <v>16736.535</v>
      </c>
      <c r="H16" s="11">
        <v>16013.112500000001</v>
      </c>
      <c r="I16" s="11">
        <v>13639.800000000001</v>
      </c>
      <c r="J16" s="11">
        <v>230284.63349999997</v>
      </c>
    </row>
    <row r="17" spans="1:10" x14ac:dyDescent="0.35">
      <c r="A17" s="6" t="s">
        <v>199</v>
      </c>
      <c r="B17" s="11">
        <v>23317.300000000003</v>
      </c>
      <c r="C17" s="11">
        <v>28106.739999999998</v>
      </c>
      <c r="D17" s="11">
        <v>13534.407500000001</v>
      </c>
      <c r="E17" s="11">
        <v>10821.556</v>
      </c>
      <c r="F17" s="11">
        <v>9338.2249999999985</v>
      </c>
      <c r="G17" s="11">
        <v>15237.2425</v>
      </c>
      <c r="H17" s="11">
        <v>13120.6675</v>
      </c>
      <c r="I17" s="11">
        <v>14527.7</v>
      </c>
      <c r="J17" s="11">
        <v>128003.83849999998</v>
      </c>
    </row>
    <row r="18" spans="1:10" x14ac:dyDescent="0.35">
      <c r="A18" s="6" t="s">
        <v>161</v>
      </c>
      <c r="B18" s="11">
        <v>37193.445</v>
      </c>
      <c r="C18" s="11">
        <v>15680.449999999999</v>
      </c>
      <c r="D18" s="11">
        <v>11436.102500000001</v>
      </c>
      <c r="E18" s="11">
        <v>7563.1140000000005</v>
      </c>
      <c r="F18" s="11">
        <v>12887.135</v>
      </c>
      <c r="G18" s="11">
        <v>11180.759999999998</v>
      </c>
      <c r="H18" s="11">
        <v>4863.2199999999993</v>
      </c>
      <c r="I18" s="11">
        <v>6121.5499999999993</v>
      </c>
      <c r="J18" s="11">
        <v>106925.77650000001</v>
      </c>
    </row>
    <row r="19" spans="1:10" x14ac:dyDescent="0.35">
      <c r="A19" s="6" t="s">
        <v>91</v>
      </c>
      <c r="B19" s="11">
        <v>12997.470000000001</v>
      </c>
      <c r="C19" s="11">
        <v>8860.3849999999984</v>
      </c>
      <c r="D19" s="11">
        <v>12816.272500000001</v>
      </c>
      <c r="E19" s="11">
        <v>10911.289999999999</v>
      </c>
      <c r="F19" s="11">
        <v>15165.449999999997</v>
      </c>
      <c r="G19" s="11">
        <v>6486.7849999999989</v>
      </c>
      <c r="H19" s="11">
        <v>8247.61</v>
      </c>
      <c r="I19" s="11">
        <v>5873.06</v>
      </c>
      <c r="J19" s="11">
        <v>81358.322499999995</v>
      </c>
    </row>
    <row r="20" spans="1:10" x14ac:dyDescent="0.35">
      <c r="A20" s="6" t="s">
        <v>63</v>
      </c>
      <c r="B20" s="11">
        <v>7276.1</v>
      </c>
      <c r="C20" s="11">
        <v>14158.45</v>
      </c>
      <c r="D20" s="11">
        <v>8833.0400000000009</v>
      </c>
      <c r="E20" s="11">
        <v>6342.4350000000004</v>
      </c>
      <c r="F20" s="11">
        <v>4791.9599999999991</v>
      </c>
      <c r="G20" s="11">
        <v>4415.9250000000002</v>
      </c>
      <c r="H20" s="11">
        <v>7980.6</v>
      </c>
      <c r="I20" s="11">
        <v>5172.8</v>
      </c>
      <c r="J20" s="11">
        <v>58971.31</v>
      </c>
    </row>
    <row r="21" spans="1:10" x14ac:dyDescent="0.35">
      <c r="A21" s="6" t="s">
        <v>301</v>
      </c>
      <c r="B21" s="11">
        <v>6771.8499999999995</v>
      </c>
      <c r="C21" s="11">
        <v>17760.855000000003</v>
      </c>
      <c r="D21" s="11">
        <v>8230.8240000000005</v>
      </c>
      <c r="E21" s="11">
        <v>4171.2300000000005</v>
      </c>
      <c r="F21" s="11">
        <v>8749.3200000000015</v>
      </c>
      <c r="G21" s="11">
        <v>1955.05</v>
      </c>
      <c r="H21" s="11">
        <v>5523.5</v>
      </c>
      <c r="I21" s="11">
        <v>3648</v>
      </c>
      <c r="J21" s="11">
        <v>56810.629000000008</v>
      </c>
    </row>
    <row r="22" spans="1:10" x14ac:dyDescent="0.35">
      <c r="A22" s="6" t="s">
        <v>73</v>
      </c>
      <c r="B22" s="11">
        <v>12163.995000000001</v>
      </c>
      <c r="C22" s="11">
        <v>6378.95</v>
      </c>
      <c r="D22" s="11">
        <v>5169.6274999999996</v>
      </c>
      <c r="E22" s="11">
        <v>7656.63</v>
      </c>
      <c r="F22" s="11">
        <v>6232.8374999999996</v>
      </c>
      <c r="G22" s="11">
        <v>4717.8999999999996</v>
      </c>
      <c r="H22" s="11">
        <v>8979.2000000000007</v>
      </c>
      <c r="I22" s="11">
        <v>3196</v>
      </c>
      <c r="J22" s="11">
        <v>54495.140000000007</v>
      </c>
    </row>
    <row r="23" spans="1:10" x14ac:dyDescent="0.35">
      <c r="A23" s="6" t="s">
        <v>119</v>
      </c>
      <c r="B23" s="11">
        <v>11276.060000000001</v>
      </c>
      <c r="C23" s="11">
        <v>9557.1749999999993</v>
      </c>
      <c r="D23" s="11">
        <v>8842.48</v>
      </c>
      <c r="E23" s="11">
        <v>3766.7999999999997</v>
      </c>
      <c r="F23" s="11">
        <v>4324.05</v>
      </c>
      <c r="G23" s="11">
        <v>4760.0749999999998</v>
      </c>
      <c r="H23" s="11">
        <v>2112</v>
      </c>
      <c r="I23" s="11">
        <v>5557.65</v>
      </c>
      <c r="J23" s="11">
        <v>50196.290000000008</v>
      </c>
    </row>
    <row r="24" spans="1:10" x14ac:dyDescent="0.35">
      <c r="A24" s="6" t="s">
        <v>335</v>
      </c>
      <c r="B24" s="11">
        <v>3145.3199999999997</v>
      </c>
      <c r="C24" s="11">
        <v>9010.11</v>
      </c>
      <c r="D24" s="11">
        <v>1676.38</v>
      </c>
      <c r="E24" s="11">
        <v>20914.23</v>
      </c>
      <c r="F24" s="11">
        <v>6899.1799999999994</v>
      </c>
      <c r="G24" s="11">
        <v>3477.625</v>
      </c>
      <c r="H24" s="11">
        <v>3414.66</v>
      </c>
      <c r="I24" s="11">
        <v>1442.4</v>
      </c>
      <c r="J24" s="11">
        <v>49979.905000000006</v>
      </c>
    </row>
    <row r="25" spans="1:10" x14ac:dyDescent="0.35">
      <c r="A25" s="6" t="s">
        <v>439</v>
      </c>
      <c r="B25" s="11">
        <v>5428.68</v>
      </c>
      <c r="C25" s="11">
        <v>8660</v>
      </c>
      <c r="D25" s="11">
        <v>7479.5800000000008</v>
      </c>
      <c r="E25" s="11">
        <v>2138.5</v>
      </c>
      <c r="F25" s="11">
        <v>1214.0999999999999</v>
      </c>
      <c r="G25" s="11">
        <v>2454.7950000000001</v>
      </c>
      <c r="H25" s="11">
        <v>3223.2</v>
      </c>
      <c r="I25" s="11">
        <v>3226</v>
      </c>
      <c r="J25" s="11">
        <v>33824.855000000003</v>
      </c>
    </row>
    <row r="26" spans="1:10" x14ac:dyDescent="0.35">
      <c r="A26" s="6" t="s">
        <v>609</v>
      </c>
      <c r="B26" s="11">
        <v>12025.7</v>
      </c>
      <c r="C26" s="11">
        <v>2644.2999999999997</v>
      </c>
      <c r="D26" s="11">
        <v>2591.46</v>
      </c>
      <c r="E26" s="11">
        <v>3162.5</v>
      </c>
      <c r="F26" s="11">
        <v>3857.2625000000003</v>
      </c>
      <c r="G26" s="11">
        <v>4325.1499999999996</v>
      </c>
      <c r="H26" s="11">
        <v>3954.9</v>
      </c>
      <c r="I26" s="11">
        <v>99.75</v>
      </c>
      <c r="J26" s="11">
        <v>32661.022500000003</v>
      </c>
    </row>
    <row r="27" spans="1:10" x14ac:dyDescent="0.35">
      <c r="A27" s="6" t="s">
        <v>151</v>
      </c>
      <c r="B27" s="11">
        <v>2149.7249999999999</v>
      </c>
      <c r="C27" s="11">
        <v>7488.4249999999993</v>
      </c>
      <c r="D27" s="11">
        <v>3067.4439999999995</v>
      </c>
      <c r="E27" s="11">
        <v>6865.5600000000013</v>
      </c>
      <c r="F27" s="11">
        <v>3072.105</v>
      </c>
      <c r="G27" s="11">
        <v>2054.3000000000002</v>
      </c>
      <c r="H27" s="11">
        <v>2132.5</v>
      </c>
      <c r="I27" s="11">
        <v>4862.6000000000004</v>
      </c>
      <c r="J27" s="11">
        <v>31692.659</v>
      </c>
    </row>
    <row r="28" spans="1:10" x14ac:dyDescent="0.35">
      <c r="A28" s="6" t="s">
        <v>48</v>
      </c>
      <c r="B28" s="11">
        <v>7994</v>
      </c>
      <c r="C28" s="11">
        <v>4721.8999999999996</v>
      </c>
      <c r="D28" s="11">
        <v>1897.7275</v>
      </c>
      <c r="E28" s="11">
        <v>2828.9</v>
      </c>
      <c r="F28" s="11">
        <v>1836.6</v>
      </c>
      <c r="G28" s="11">
        <v>1235.45</v>
      </c>
      <c r="H28" s="11">
        <v>2517.75</v>
      </c>
      <c r="I28" s="11">
        <v>549.75</v>
      </c>
      <c r="J28" s="11">
        <v>23582.077499999999</v>
      </c>
    </row>
    <row r="29" spans="1:10" x14ac:dyDescent="0.35">
      <c r="A29" s="6" t="s">
        <v>716</v>
      </c>
      <c r="B29" s="11">
        <v>2182.4</v>
      </c>
      <c r="C29" s="11">
        <v>5558.1100000000006</v>
      </c>
      <c r="D29" s="11">
        <v>1025.05</v>
      </c>
      <c r="E29" s="11">
        <v>3340.78</v>
      </c>
      <c r="F29" s="11">
        <v>1247.3</v>
      </c>
      <c r="G29" s="11">
        <v>1873</v>
      </c>
      <c r="H29" s="11">
        <v>1106.4124999999999</v>
      </c>
      <c r="I29" s="11">
        <v>2477</v>
      </c>
      <c r="J29" s="11">
        <v>18810.052499999998</v>
      </c>
    </row>
    <row r="30" spans="1:10" x14ac:dyDescent="0.35">
      <c r="A30" s="6" t="s">
        <v>100</v>
      </c>
      <c r="B30" s="11">
        <v>1363.2</v>
      </c>
      <c r="C30" s="11">
        <v>646</v>
      </c>
      <c r="D30" s="11">
        <v>1738.75</v>
      </c>
      <c r="E30" s="11">
        <v>6866.9500000000007</v>
      </c>
      <c r="F30" s="11">
        <v>1797.7900000000002</v>
      </c>
      <c r="G30" s="11">
        <v>1688.4475</v>
      </c>
      <c r="H30" s="11">
        <v>2120</v>
      </c>
      <c r="I30" s="11">
        <v>1762.0625</v>
      </c>
      <c r="J30" s="11">
        <v>17983.2</v>
      </c>
    </row>
    <row r="31" spans="1:10" x14ac:dyDescent="0.35">
      <c r="A31" s="6" t="s">
        <v>252</v>
      </c>
      <c r="B31" s="11">
        <v>998.94</v>
      </c>
      <c r="C31" s="11">
        <v>3995.1400000000003</v>
      </c>
      <c r="D31" s="11">
        <v>2674.05</v>
      </c>
      <c r="E31" s="11">
        <v>1056.5</v>
      </c>
      <c r="F31" s="11">
        <v>1721</v>
      </c>
      <c r="G31" s="11">
        <v>1394.2249999999999</v>
      </c>
      <c r="H31" s="11">
        <v>2186.8000000000002</v>
      </c>
      <c r="I31" s="11">
        <v>1743.5</v>
      </c>
      <c r="J31" s="11">
        <v>15770.154999999999</v>
      </c>
    </row>
    <row r="32" spans="1:10" x14ac:dyDescent="0.35">
      <c r="A32" s="6" t="s">
        <v>260</v>
      </c>
      <c r="B32" s="11">
        <v>1046.4000000000001</v>
      </c>
      <c r="C32" s="11">
        <v>997.8</v>
      </c>
      <c r="D32" s="11">
        <v>956.15</v>
      </c>
      <c r="E32" s="11">
        <v>1338.2</v>
      </c>
      <c r="F32" s="11">
        <v>632.4</v>
      </c>
      <c r="G32" s="11">
        <v>3688.2925</v>
      </c>
      <c r="H32" s="11">
        <v>648.71999999999991</v>
      </c>
      <c r="I32" s="11">
        <v>2164.3999999999996</v>
      </c>
      <c r="J32" s="11">
        <v>11472.362499999999</v>
      </c>
    </row>
    <row r="33" spans="1:10" x14ac:dyDescent="0.35">
      <c r="A33" s="6" t="s">
        <v>135</v>
      </c>
      <c r="B33" s="11">
        <v>1798</v>
      </c>
      <c r="C33" s="11">
        <v>1143.5</v>
      </c>
      <c r="D33" s="11">
        <v>2135.1</v>
      </c>
      <c r="E33" s="11"/>
      <c r="F33" s="11">
        <v>606.5</v>
      </c>
      <c r="G33" s="11">
        <v>907</v>
      </c>
      <c r="H33" s="11">
        <v>1139</v>
      </c>
      <c r="I33" s="11">
        <v>390</v>
      </c>
      <c r="J33" s="11">
        <v>8119.1</v>
      </c>
    </row>
    <row r="34" spans="1:10" x14ac:dyDescent="0.35">
      <c r="A34" s="6" t="s">
        <v>585</v>
      </c>
      <c r="B34" s="11">
        <v>2756</v>
      </c>
      <c r="C34" s="11">
        <v>786</v>
      </c>
      <c r="D34" s="11">
        <v>280.14999999999998</v>
      </c>
      <c r="E34" s="11">
        <v>164</v>
      </c>
      <c r="F34" s="11">
        <v>936.6</v>
      </c>
      <c r="G34" s="11">
        <v>234</v>
      </c>
      <c r="H34" s="11">
        <v>578.4</v>
      </c>
      <c r="I34" s="11"/>
      <c r="J34" s="11">
        <v>5735.15</v>
      </c>
    </row>
    <row r="35" spans="1:10" x14ac:dyDescent="0.35">
      <c r="A35" s="6" t="s">
        <v>746</v>
      </c>
      <c r="B35" s="11">
        <v>828.5</v>
      </c>
      <c r="C35" s="11">
        <v>810</v>
      </c>
      <c r="D35" s="11">
        <v>779.09999999999991</v>
      </c>
      <c r="E35" s="11">
        <v>22.35</v>
      </c>
      <c r="F35" s="11">
        <v>159</v>
      </c>
      <c r="G35" s="11">
        <v>627</v>
      </c>
      <c r="H35" s="11">
        <v>306</v>
      </c>
      <c r="I35" s="11"/>
      <c r="J35" s="11">
        <v>3531.95</v>
      </c>
    </row>
    <row r="36" spans="1:10" x14ac:dyDescent="0.35">
      <c r="A36" s="6" t="s">
        <v>1224</v>
      </c>
      <c r="B36" s="11">
        <v>267868.18</v>
      </c>
      <c r="C36" s="11">
        <v>234507.285</v>
      </c>
      <c r="D36" s="11">
        <v>167357.22500000001</v>
      </c>
      <c r="E36" s="11">
        <v>163022.35949999999</v>
      </c>
      <c r="F36" s="11">
        <v>131261.73749999996</v>
      </c>
      <c r="G36" s="11">
        <v>106047.08499999999</v>
      </c>
      <c r="H36" s="11">
        <v>99984.580000000016</v>
      </c>
      <c r="I36" s="11">
        <v>95744.587500000009</v>
      </c>
      <c r="J36" s="11">
        <v>1265793.0395</v>
      </c>
    </row>
  </sheetData>
  <pageMargins left="0.7" right="0.7" top="0.75" bottom="0.75" header="0.3" footer="0.3"/>
  <pageSetup orientation="portrait" horizontalDpi="300" verticalDpi="300" r:id="rId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58A3AB-8D86-42A1-8466-4A3AD8295222}">
  <dimension ref="A1:E12"/>
  <sheetViews>
    <sheetView workbookViewId="0">
      <selection activeCell="E10" sqref="E10"/>
    </sheetView>
  </sheetViews>
  <sheetFormatPr defaultRowHeight="14.5" x14ac:dyDescent="0.35"/>
  <cols>
    <col min="1" max="1" width="12.36328125" bestFit="1" customWidth="1"/>
    <col min="2" max="2" width="24.1796875" bestFit="1" customWidth="1"/>
    <col min="3" max="3" width="22.54296875" bestFit="1" customWidth="1"/>
    <col min="4" max="4" width="7.81640625" customWidth="1"/>
  </cols>
  <sheetData>
    <row r="1" spans="1:5" x14ac:dyDescent="0.35">
      <c r="A1" s="5" t="s">
        <v>1223</v>
      </c>
      <c r="B1" t="s">
        <v>1268</v>
      </c>
      <c r="C1" t="s">
        <v>1267</v>
      </c>
    </row>
    <row r="2" spans="1:5" x14ac:dyDescent="0.35">
      <c r="A2" s="6" t="s">
        <v>1264</v>
      </c>
      <c r="B2" s="11">
        <v>15.777777777777779</v>
      </c>
      <c r="C2" s="1">
        <v>426</v>
      </c>
    </row>
    <row r="3" spans="1:5" ht="17.5" x14ac:dyDescent="0.4">
      <c r="A3" s="6" t="s">
        <v>1265</v>
      </c>
      <c r="B3" s="11">
        <v>5.4222222222222225</v>
      </c>
      <c r="C3" s="1">
        <v>244</v>
      </c>
      <c r="E3" s="26" t="s">
        <v>1269</v>
      </c>
    </row>
    <row r="4" spans="1:5" x14ac:dyDescent="0.35">
      <c r="A4" s="6" t="s">
        <v>1266</v>
      </c>
      <c r="B4" s="11">
        <v>9.4117647058823533</v>
      </c>
      <c r="C4" s="1">
        <v>160</v>
      </c>
    </row>
    <row r="5" spans="1:5" x14ac:dyDescent="0.35">
      <c r="A5" s="6" t="s">
        <v>1224</v>
      </c>
      <c r="B5" s="11">
        <v>9.3258426966292127</v>
      </c>
      <c r="C5" s="1">
        <v>830</v>
      </c>
      <c r="E5" t="s">
        <v>1270</v>
      </c>
    </row>
    <row r="6" spans="1:5" x14ac:dyDescent="0.35">
      <c r="E6" s="7" t="s">
        <v>1271</v>
      </c>
    </row>
    <row r="7" spans="1:5" x14ac:dyDescent="0.35">
      <c r="E7" t="s">
        <v>1272</v>
      </c>
    </row>
    <row r="8" spans="1:5" x14ac:dyDescent="0.35">
      <c r="E8" t="s">
        <v>1273</v>
      </c>
    </row>
    <row r="10" spans="1:5" x14ac:dyDescent="0.35">
      <c r="E10" t="s">
        <v>1274</v>
      </c>
    </row>
    <row r="11" spans="1:5" x14ac:dyDescent="0.35">
      <c r="E11" t="s">
        <v>1275</v>
      </c>
    </row>
    <row r="12" spans="1:5" x14ac:dyDescent="0.35">
      <c r="E12" t="s">
        <v>1276</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0BABF9-0197-4B06-8E72-9A556E3BE7FB}">
  <dimension ref="A1:D15"/>
  <sheetViews>
    <sheetView workbookViewId="0">
      <selection activeCell="D2" sqref="D2"/>
    </sheetView>
  </sheetViews>
  <sheetFormatPr defaultRowHeight="14.5" x14ac:dyDescent="0.35"/>
  <cols>
    <col min="1" max="1" width="21.26953125" bestFit="1" customWidth="1"/>
    <col min="2" max="2" width="18.7265625" bestFit="1" customWidth="1"/>
    <col min="3" max="3" width="3.81640625" customWidth="1"/>
  </cols>
  <sheetData>
    <row r="1" spans="1:4" x14ac:dyDescent="0.35">
      <c r="A1" s="5" t="s">
        <v>1223</v>
      </c>
      <c r="B1" t="s">
        <v>1278</v>
      </c>
    </row>
    <row r="2" spans="1:4" x14ac:dyDescent="0.35">
      <c r="A2" s="6" t="s">
        <v>63</v>
      </c>
      <c r="B2" s="1">
        <v>4</v>
      </c>
    </row>
    <row r="3" spans="1:4" x14ac:dyDescent="0.35">
      <c r="A3" s="6" t="s">
        <v>292</v>
      </c>
      <c r="B3" s="1">
        <v>5</v>
      </c>
    </row>
    <row r="4" spans="1:4" ht="17.5" x14ac:dyDescent="0.35">
      <c r="A4" s="6" t="s">
        <v>1224</v>
      </c>
      <c r="B4" s="1">
        <v>9</v>
      </c>
      <c r="D4" s="8" t="s">
        <v>1285</v>
      </c>
    </row>
    <row r="6" spans="1:4" x14ac:dyDescent="0.35">
      <c r="A6" s="5" t="s">
        <v>1223</v>
      </c>
      <c r="B6" t="s">
        <v>1278</v>
      </c>
      <c r="D6" t="s">
        <v>1279</v>
      </c>
    </row>
    <row r="7" spans="1:4" x14ac:dyDescent="0.35">
      <c r="A7" s="6" t="s">
        <v>807</v>
      </c>
      <c r="B7" s="1">
        <v>1</v>
      </c>
      <c r="D7" t="s">
        <v>1280</v>
      </c>
    </row>
    <row r="8" spans="1:4" x14ac:dyDescent="0.35">
      <c r="A8" s="6" t="s">
        <v>195</v>
      </c>
      <c r="B8" s="1">
        <v>1</v>
      </c>
      <c r="D8" t="s">
        <v>1281</v>
      </c>
    </row>
    <row r="9" spans="1:4" x14ac:dyDescent="0.35">
      <c r="A9" s="6" t="s">
        <v>33</v>
      </c>
      <c r="B9" s="1">
        <v>6</v>
      </c>
    </row>
    <row r="10" spans="1:4" ht="17.5" x14ac:dyDescent="0.35">
      <c r="A10" s="6" t="s">
        <v>767</v>
      </c>
      <c r="B10" s="1">
        <v>1</v>
      </c>
      <c r="D10" s="8" t="s">
        <v>1286</v>
      </c>
    </row>
    <row r="11" spans="1:4" x14ac:dyDescent="0.35">
      <c r="A11" s="6" t="s">
        <v>1224</v>
      </c>
      <c r="B11" s="1">
        <v>9</v>
      </c>
    </row>
    <row r="12" spans="1:4" x14ac:dyDescent="0.35">
      <c r="D12" t="s">
        <v>1282</v>
      </c>
    </row>
    <row r="13" spans="1:4" x14ac:dyDescent="0.35">
      <c r="D13" t="s">
        <v>1283</v>
      </c>
    </row>
    <row r="15" spans="1:4" x14ac:dyDescent="0.35">
      <c r="D15" t="s">
        <v>1284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C2EE92-7C38-4A95-B703-935B6865FAA7}">
  <dimension ref="A1:F19"/>
  <sheetViews>
    <sheetView workbookViewId="0">
      <selection activeCell="E10" sqref="E10"/>
    </sheetView>
  </sheetViews>
  <sheetFormatPr defaultRowHeight="14.5" x14ac:dyDescent="0.35"/>
  <cols>
    <col min="1" max="1" width="21.26953125" bestFit="1" customWidth="1"/>
    <col min="2" max="2" width="15.26953125" bestFit="1" customWidth="1"/>
    <col min="3" max="4" width="4.81640625" bestFit="1" customWidth="1"/>
    <col min="5" max="5" width="6" customWidth="1"/>
    <col min="6" max="6" width="9.54296875" customWidth="1"/>
    <col min="7" max="7" width="6.6328125" bestFit="1" customWidth="1"/>
    <col min="8" max="8" width="9.36328125" bestFit="1" customWidth="1"/>
    <col min="9" max="9" width="6.453125" bestFit="1" customWidth="1"/>
    <col min="10" max="10" width="9.36328125" bestFit="1" customWidth="1"/>
    <col min="11" max="11" width="9.54296875" bestFit="1" customWidth="1"/>
    <col min="12" max="12" width="6.6328125" bestFit="1" customWidth="1"/>
    <col min="13" max="13" width="4.26953125" bestFit="1" customWidth="1"/>
    <col min="14" max="14" width="9.36328125" bestFit="1" customWidth="1"/>
    <col min="15" max="15" width="6.453125" bestFit="1" customWidth="1"/>
    <col min="16" max="16" width="9.36328125" bestFit="1" customWidth="1"/>
    <col min="17" max="17" width="9.54296875" bestFit="1" customWidth="1"/>
    <col min="18" max="18" width="10.7265625" bestFit="1" customWidth="1"/>
  </cols>
  <sheetData>
    <row r="1" spans="1:6" x14ac:dyDescent="0.35">
      <c r="A1" s="5" t="s">
        <v>1278</v>
      </c>
      <c r="B1" s="5" t="s">
        <v>1226</v>
      </c>
    </row>
    <row r="2" spans="1:6" ht="17.5" x14ac:dyDescent="0.35">
      <c r="A2" s="5" t="s">
        <v>1223</v>
      </c>
      <c r="B2" t="s">
        <v>1289</v>
      </c>
      <c r="C2" t="s">
        <v>1290</v>
      </c>
      <c r="D2" t="s">
        <v>1291</v>
      </c>
      <c r="F2" s="8" t="s">
        <v>1292</v>
      </c>
    </row>
    <row r="3" spans="1:6" x14ac:dyDescent="0.35">
      <c r="A3" s="6" t="s">
        <v>807</v>
      </c>
      <c r="B3" s="1"/>
      <c r="C3" s="1"/>
      <c r="D3" s="1">
        <v>1</v>
      </c>
    </row>
    <row r="4" spans="1:6" x14ac:dyDescent="0.35">
      <c r="A4" s="6" t="s">
        <v>195</v>
      </c>
      <c r="B4" s="1"/>
      <c r="C4" s="1">
        <v>1</v>
      </c>
      <c r="D4" s="1"/>
      <c r="F4" t="s">
        <v>1293</v>
      </c>
    </row>
    <row r="5" spans="1:6" x14ac:dyDescent="0.35">
      <c r="A5" s="6" t="s">
        <v>33</v>
      </c>
      <c r="B5" s="1">
        <v>2</v>
      </c>
      <c r="C5" s="1">
        <v>2</v>
      </c>
      <c r="D5" s="1">
        <v>2</v>
      </c>
    </row>
    <row r="6" spans="1:6" ht="17.5" x14ac:dyDescent="0.35">
      <c r="A6" s="6" t="s">
        <v>767</v>
      </c>
      <c r="B6" s="1">
        <v>1</v>
      </c>
      <c r="C6" s="1"/>
      <c r="D6" s="1"/>
      <c r="F6" s="8" t="s">
        <v>1300</v>
      </c>
    </row>
    <row r="7" spans="1:6" x14ac:dyDescent="0.35">
      <c r="A7" s="6" t="s">
        <v>1224</v>
      </c>
      <c r="B7" s="1">
        <v>3</v>
      </c>
      <c r="C7" s="1">
        <v>3</v>
      </c>
      <c r="D7" s="1">
        <v>3</v>
      </c>
    </row>
    <row r="8" spans="1:6" x14ac:dyDescent="0.35">
      <c r="F8" t="s">
        <v>1294</v>
      </c>
    </row>
    <row r="9" spans="1:6" x14ac:dyDescent="0.35">
      <c r="F9" t="s">
        <v>1295</v>
      </c>
    </row>
    <row r="10" spans="1:6" x14ac:dyDescent="0.35">
      <c r="F10" s="9"/>
    </row>
    <row r="11" spans="1:6" x14ac:dyDescent="0.35">
      <c r="F11" s="9" t="s">
        <v>1296</v>
      </c>
    </row>
    <row r="12" spans="1:6" x14ac:dyDescent="0.35">
      <c r="F12" s="9"/>
    </row>
    <row r="13" spans="1:6" x14ac:dyDescent="0.35">
      <c r="F13" s="9" t="s">
        <v>1297</v>
      </c>
    </row>
    <row r="14" spans="1:6" x14ac:dyDescent="0.35">
      <c r="F14" s="9"/>
    </row>
    <row r="15" spans="1:6" x14ac:dyDescent="0.35">
      <c r="F15" s="9" t="s">
        <v>1298</v>
      </c>
    </row>
    <row r="17" spans="6:6" ht="17.5" x14ac:dyDescent="0.35">
      <c r="F17" s="8" t="s">
        <v>1301</v>
      </c>
    </row>
    <row r="19" spans="6:6" x14ac:dyDescent="0.35">
      <c r="F19" t="s">
        <v>1299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F2797-8282-4B73-94F0-4796B9F505A4}">
  <dimension ref="A1:D25"/>
  <sheetViews>
    <sheetView topLeftCell="A9" workbookViewId="0">
      <selection activeCell="D17" sqref="D17"/>
    </sheetView>
  </sheetViews>
  <sheetFormatPr defaultRowHeight="14.5" x14ac:dyDescent="0.35"/>
  <cols>
    <col min="1" max="1" width="12.36328125" bestFit="1" customWidth="1"/>
    <col min="2" max="2" width="18.7265625" bestFit="1" customWidth="1"/>
  </cols>
  <sheetData>
    <row r="1" spans="1:4" x14ac:dyDescent="0.35">
      <c r="A1" s="5" t="s">
        <v>1223</v>
      </c>
      <c r="B1" t="s">
        <v>1278</v>
      </c>
    </row>
    <row r="2" spans="1:4" ht="17.5" x14ac:dyDescent="0.4">
      <c r="A2" s="6" t="s">
        <v>807</v>
      </c>
      <c r="B2" s="1">
        <v>1</v>
      </c>
      <c r="D2" s="26" t="s">
        <v>1303</v>
      </c>
    </row>
    <row r="3" spans="1:4" x14ac:dyDescent="0.35">
      <c r="A3" s="6" t="s">
        <v>195</v>
      </c>
      <c r="B3" s="1">
        <v>1</v>
      </c>
    </row>
    <row r="4" spans="1:4" x14ac:dyDescent="0.35">
      <c r="A4" s="6" t="s">
        <v>33</v>
      </c>
      <c r="B4" s="1">
        <v>6</v>
      </c>
      <c r="D4" s="19" t="s">
        <v>1304</v>
      </c>
    </row>
    <row r="5" spans="1:4" x14ac:dyDescent="0.35">
      <c r="A5" s="6" t="s">
        <v>767</v>
      </c>
      <c r="B5" s="1">
        <v>1</v>
      </c>
      <c r="D5" s="9" t="s">
        <v>1305</v>
      </c>
    </row>
    <row r="6" spans="1:4" x14ac:dyDescent="0.35">
      <c r="A6" s="6" t="s">
        <v>1224</v>
      </c>
      <c r="B6" s="1">
        <v>9</v>
      </c>
      <c r="D6" s="9"/>
    </row>
    <row r="7" spans="1:4" x14ac:dyDescent="0.35">
      <c r="D7" s="9" t="s">
        <v>1306</v>
      </c>
    </row>
    <row r="8" spans="1:4" x14ac:dyDescent="0.35">
      <c r="A8" s="5" t="s">
        <v>1223</v>
      </c>
      <c r="B8" t="s">
        <v>1278</v>
      </c>
      <c r="D8" s="9"/>
    </row>
    <row r="9" spans="1:4" x14ac:dyDescent="0.35">
      <c r="A9" s="6" t="s">
        <v>768</v>
      </c>
      <c r="B9" s="1">
        <v>1</v>
      </c>
      <c r="D9" s="9" t="s">
        <v>1307</v>
      </c>
    </row>
    <row r="10" spans="1:4" x14ac:dyDescent="0.35">
      <c r="A10" s="6" t="s">
        <v>790</v>
      </c>
      <c r="B10" s="1">
        <v>3</v>
      </c>
    </row>
    <row r="11" spans="1:4" x14ac:dyDescent="0.35">
      <c r="A11" s="6" t="s">
        <v>782</v>
      </c>
      <c r="B11" s="1">
        <v>1</v>
      </c>
      <c r="D11" s="7" t="s">
        <v>1308</v>
      </c>
    </row>
    <row r="12" spans="1:4" x14ac:dyDescent="0.35">
      <c r="A12" s="6" t="s">
        <v>761</v>
      </c>
      <c r="B12" s="1">
        <v>4</v>
      </c>
      <c r="D12" t="s">
        <v>1315</v>
      </c>
    </row>
    <row r="13" spans="1:4" x14ac:dyDescent="0.35">
      <c r="A13" s="6" t="s">
        <v>1224</v>
      </c>
      <c r="B13" s="1">
        <v>9</v>
      </c>
    </row>
    <row r="14" spans="1:4" ht="17.5" x14ac:dyDescent="0.4">
      <c r="D14" s="26" t="s">
        <v>1309</v>
      </c>
    </row>
    <row r="16" spans="1:4" x14ac:dyDescent="0.35">
      <c r="D16" s="19" t="s">
        <v>1310</v>
      </c>
    </row>
    <row r="17" spans="4:4" x14ac:dyDescent="0.35">
      <c r="D17" s="9"/>
    </row>
    <row r="18" spans="4:4" x14ac:dyDescent="0.35">
      <c r="D18" s="19" t="s">
        <v>1311</v>
      </c>
    </row>
    <row r="19" spans="4:4" x14ac:dyDescent="0.35">
      <c r="D19" s="9"/>
    </row>
    <row r="20" spans="4:4" x14ac:dyDescent="0.35">
      <c r="D20" s="19" t="s">
        <v>1312</v>
      </c>
    </row>
    <row r="21" spans="4:4" x14ac:dyDescent="0.35">
      <c r="D21" s="9"/>
    </row>
    <row r="22" spans="4:4" x14ac:dyDescent="0.35">
      <c r="D22" s="9" t="s">
        <v>1313</v>
      </c>
    </row>
    <row r="24" spans="4:4" x14ac:dyDescent="0.35">
      <c r="D24" s="7" t="s">
        <v>1308</v>
      </c>
    </row>
    <row r="25" spans="4:4" x14ac:dyDescent="0.35">
      <c r="D25" t="s">
        <v>1314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83BAF-24CC-4780-835E-A0A96022985D}">
  <dimension ref="A1:M78"/>
  <sheetViews>
    <sheetView workbookViewId="0">
      <selection activeCell="K14" sqref="K14:M15"/>
    </sheetView>
  </sheetViews>
  <sheetFormatPr defaultRowHeight="14.5" x14ac:dyDescent="0.35"/>
  <cols>
    <col min="1" max="1" width="9.26953125" bestFit="1" customWidth="1"/>
    <col min="2" max="2" width="8.453125" bestFit="1" customWidth="1"/>
    <col min="3" max="3" width="11.36328125" bestFit="1" customWidth="1"/>
    <col min="4" max="4" width="12.54296875" bestFit="1" customWidth="1"/>
    <col min="5" max="5" width="10.81640625" bestFit="1" customWidth="1"/>
    <col min="7" max="7" width="10.81640625" customWidth="1"/>
    <col min="8" max="8" width="12" customWidth="1"/>
    <col min="9" max="9" width="12.54296875" customWidth="1"/>
    <col min="11" max="11" width="15.453125" customWidth="1"/>
    <col min="12" max="12" width="16.81640625" customWidth="1"/>
    <col min="13" max="13" width="12" customWidth="1"/>
  </cols>
  <sheetData>
    <row r="1" spans="1:13" x14ac:dyDescent="0.35">
      <c r="A1" s="32" t="s">
        <v>819</v>
      </c>
      <c r="B1" s="33" t="s">
        <v>820</v>
      </c>
      <c r="C1" s="33" t="s">
        <v>850</v>
      </c>
      <c r="D1" s="33" t="s">
        <v>851</v>
      </c>
      <c r="E1" s="34" t="s">
        <v>1318</v>
      </c>
    </row>
    <row r="2" spans="1:13" x14ac:dyDescent="0.35">
      <c r="A2" s="35">
        <v>1</v>
      </c>
      <c r="B2" s="18">
        <v>18</v>
      </c>
      <c r="C2" s="18">
        <v>39</v>
      </c>
      <c r="D2" s="18">
        <v>0</v>
      </c>
      <c r="E2" s="36">
        <f>SUMIFS(order_details[Order Value], order_details[ProductID], A2)</f>
        <v>12788.1</v>
      </c>
    </row>
    <row r="3" spans="1:13" x14ac:dyDescent="0.35">
      <c r="A3" s="35">
        <v>2</v>
      </c>
      <c r="B3" s="18">
        <v>19</v>
      </c>
      <c r="C3" s="18">
        <v>17</v>
      </c>
      <c r="D3" s="18">
        <v>40</v>
      </c>
      <c r="E3" s="36">
        <f>SUMIFS(order_details[Order Value], order_details[ProductID], A3)</f>
        <v>16355.96</v>
      </c>
    </row>
    <row r="4" spans="1:13" x14ac:dyDescent="0.35">
      <c r="A4" s="35">
        <v>3</v>
      </c>
      <c r="B4" s="18">
        <v>10</v>
      </c>
      <c r="C4" s="18">
        <v>13</v>
      </c>
      <c r="D4" s="18">
        <v>70</v>
      </c>
      <c r="E4" s="36">
        <f>SUMIFS(order_details[Order Value], order_details[ProductID], A4)</f>
        <v>3044</v>
      </c>
    </row>
    <row r="5" spans="1:13" x14ac:dyDescent="0.35">
      <c r="A5" s="35">
        <v>4</v>
      </c>
      <c r="B5" s="18">
        <v>22</v>
      </c>
      <c r="C5" s="18">
        <v>53</v>
      </c>
      <c r="D5" s="18">
        <v>0</v>
      </c>
      <c r="E5" s="36">
        <f>SUMIFS(order_details[Order Value], order_details[ProductID], A5)</f>
        <v>8567.9000000000015</v>
      </c>
    </row>
    <row r="6" spans="1:13" x14ac:dyDescent="0.35">
      <c r="A6" s="35">
        <v>5</v>
      </c>
      <c r="B6" s="18">
        <v>21.35</v>
      </c>
      <c r="C6" s="18">
        <v>0</v>
      </c>
      <c r="D6" s="18">
        <v>0</v>
      </c>
      <c r="E6" s="36">
        <f>SUMIFS(order_details[Order Value], order_details[ProductID], A6)</f>
        <v>5347.2000000000007</v>
      </c>
    </row>
    <row r="7" spans="1:13" x14ac:dyDescent="0.35">
      <c r="A7" s="35">
        <v>6</v>
      </c>
      <c r="B7" s="18">
        <v>25</v>
      </c>
      <c r="C7" s="18">
        <v>120</v>
      </c>
      <c r="D7" s="18">
        <v>0</v>
      </c>
      <c r="E7" s="36">
        <f>SUMIFS(order_details[Order Value], order_details[ProductID], A7)</f>
        <v>7137</v>
      </c>
    </row>
    <row r="8" spans="1:13" x14ac:dyDescent="0.35">
      <c r="A8" s="35">
        <v>7</v>
      </c>
      <c r="B8" s="18">
        <v>30</v>
      </c>
      <c r="C8" s="18">
        <v>15</v>
      </c>
      <c r="D8" s="18">
        <v>0</v>
      </c>
      <c r="E8" s="36">
        <f>SUMIFS(order_details[Order Value], order_details[ProductID], A8)</f>
        <v>22044.3</v>
      </c>
    </row>
    <row r="9" spans="1:13" x14ac:dyDescent="0.35">
      <c r="A9" s="35">
        <v>8</v>
      </c>
      <c r="B9" s="18">
        <v>40</v>
      </c>
      <c r="C9" s="18">
        <v>6</v>
      </c>
      <c r="D9" s="18">
        <v>0</v>
      </c>
      <c r="E9" s="36">
        <f>SUMIFS(order_details[Order Value], order_details[ProductID], A9)</f>
        <v>12772</v>
      </c>
    </row>
    <row r="10" spans="1:13" x14ac:dyDescent="0.35">
      <c r="A10" s="35">
        <v>9</v>
      </c>
      <c r="B10" s="18">
        <v>97</v>
      </c>
      <c r="C10" s="18">
        <v>29</v>
      </c>
      <c r="D10" s="18">
        <v>0</v>
      </c>
      <c r="E10" s="36">
        <f>SUMIFS(order_details[Order Value], order_details[ProductID], A10)</f>
        <v>7226.5</v>
      </c>
    </row>
    <row r="11" spans="1:13" x14ac:dyDescent="0.35">
      <c r="A11" s="35">
        <v>10</v>
      </c>
      <c r="B11" s="18">
        <v>31</v>
      </c>
      <c r="C11" s="18">
        <v>31</v>
      </c>
      <c r="D11" s="18">
        <v>0</v>
      </c>
      <c r="E11" s="36">
        <f>SUMIFS(order_details[Order Value], order_details[ProductID], A11)</f>
        <v>20867.340000000004</v>
      </c>
    </row>
    <row r="12" spans="1:13" x14ac:dyDescent="0.35">
      <c r="A12" s="35">
        <v>11</v>
      </c>
      <c r="B12" s="18">
        <v>21</v>
      </c>
      <c r="C12" s="18">
        <v>22</v>
      </c>
      <c r="D12" s="18">
        <v>30</v>
      </c>
      <c r="E12" s="36">
        <f>SUMIFS(order_details[Order Value], order_details[ProductID], A12)</f>
        <v>12901.77</v>
      </c>
    </row>
    <row r="13" spans="1:13" x14ac:dyDescent="0.35">
      <c r="A13" s="35">
        <v>12</v>
      </c>
      <c r="B13" s="18">
        <v>38</v>
      </c>
      <c r="C13" s="18">
        <v>86</v>
      </c>
      <c r="D13" s="18">
        <v>0</v>
      </c>
      <c r="E13" s="36">
        <f>SUMIFS(order_details[Order Value], order_details[ProductID], A13)</f>
        <v>12257.660000000002</v>
      </c>
    </row>
    <row r="14" spans="1:13" x14ac:dyDescent="0.35">
      <c r="A14" s="35">
        <v>13</v>
      </c>
      <c r="B14" s="18">
        <v>6</v>
      </c>
      <c r="C14" s="18">
        <v>24</v>
      </c>
      <c r="D14" s="18">
        <v>0</v>
      </c>
      <c r="E14" s="36">
        <f>SUMIFS(order_details[Order Value], order_details[ProductID], A14)</f>
        <v>4960.4400000000005</v>
      </c>
      <c r="K14" s="20" t="s">
        <v>1319</v>
      </c>
      <c r="L14" s="20" t="s">
        <v>1320</v>
      </c>
      <c r="M14" s="20" t="s">
        <v>1321</v>
      </c>
    </row>
    <row r="15" spans="1:13" ht="17.5" x14ac:dyDescent="0.35">
      <c r="A15" s="35">
        <v>14</v>
      </c>
      <c r="B15" s="18">
        <v>23.25</v>
      </c>
      <c r="C15" s="18">
        <v>35</v>
      </c>
      <c r="D15" s="18">
        <v>0</v>
      </c>
      <c r="E15" s="36">
        <f>SUMIFS(order_details[Order Value], order_details[ProductID], A15)</f>
        <v>7991.4899999999989</v>
      </c>
      <c r="G15" s="8" t="s">
        <v>1323</v>
      </c>
      <c r="K15" s="21">
        <f>CORREL(B2:B78, E2:E78)</f>
        <v>0.86771212986095414</v>
      </c>
      <c r="L15" s="21">
        <f>CORREL(C2:C78, E2:E78)</f>
        <v>-0.16528537126272777</v>
      </c>
      <c r="M15" s="21">
        <f>CORREL(D2:D78, E2:E78)</f>
        <v>-0.16014783445919561</v>
      </c>
    </row>
    <row r="16" spans="1:13" x14ac:dyDescent="0.35">
      <c r="A16" s="35">
        <v>15</v>
      </c>
      <c r="B16" s="18">
        <v>15.5</v>
      </c>
      <c r="C16" s="18">
        <v>39</v>
      </c>
      <c r="D16" s="18">
        <v>0</v>
      </c>
      <c r="E16" s="36">
        <f>SUMIFS(order_details[Order Value], order_details[ProductID], A16)</f>
        <v>1784.825</v>
      </c>
    </row>
    <row r="17" spans="1:7" x14ac:dyDescent="0.35">
      <c r="A17" s="35">
        <v>16</v>
      </c>
      <c r="B17" s="18">
        <v>17.45</v>
      </c>
      <c r="C17" s="18">
        <v>29</v>
      </c>
      <c r="D17" s="18">
        <v>0</v>
      </c>
      <c r="E17" s="36">
        <f>SUMIFS(order_details[Order Value], order_details[ProductID], A17)</f>
        <v>17215.775499999996</v>
      </c>
      <c r="G17" s="7" t="s">
        <v>1324</v>
      </c>
    </row>
    <row r="18" spans="1:7" x14ac:dyDescent="0.35">
      <c r="A18" s="35">
        <v>17</v>
      </c>
      <c r="B18" s="18">
        <v>39</v>
      </c>
      <c r="C18" s="18">
        <v>0</v>
      </c>
      <c r="D18" s="18">
        <v>0</v>
      </c>
      <c r="E18" s="36">
        <f>SUMIFS(order_details[Order Value], order_details[ProductID], A18)</f>
        <v>32698.379999999997</v>
      </c>
      <c r="G18" s="9"/>
    </row>
    <row r="19" spans="1:7" x14ac:dyDescent="0.35">
      <c r="A19" s="35">
        <v>18</v>
      </c>
      <c r="B19" s="18">
        <v>62.5</v>
      </c>
      <c r="C19" s="18">
        <v>42</v>
      </c>
      <c r="D19" s="18">
        <v>0</v>
      </c>
      <c r="E19" s="36">
        <f>SUMIFS(order_details[Order Value], order_details[ProductID], A19)</f>
        <v>29171.875</v>
      </c>
      <c r="G19" s="19" t="s">
        <v>1325</v>
      </c>
    </row>
    <row r="20" spans="1:7" x14ac:dyDescent="0.35">
      <c r="A20" s="35">
        <v>19</v>
      </c>
      <c r="B20" s="18">
        <v>9.1999999999999993</v>
      </c>
      <c r="C20" s="18">
        <v>25</v>
      </c>
      <c r="D20" s="18">
        <v>0</v>
      </c>
      <c r="E20" s="36">
        <f>SUMIFS(order_details[Order Value], order_details[ProductID], A20)</f>
        <v>5862.6199999999981</v>
      </c>
      <c r="G20" s="9"/>
    </row>
    <row r="21" spans="1:7" x14ac:dyDescent="0.35">
      <c r="A21" s="35">
        <v>20</v>
      </c>
      <c r="B21" s="18">
        <v>81</v>
      </c>
      <c r="C21" s="18">
        <v>40</v>
      </c>
      <c r="D21" s="18">
        <v>0</v>
      </c>
      <c r="E21" s="36">
        <f>SUMIFS(order_details[Order Value], order_details[ProductID], A21)</f>
        <v>22563.359999999997</v>
      </c>
      <c r="G21" s="9" t="s">
        <v>1326</v>
      </c>
    </row>
    <row r="22" spans="1:7" x14ac:dyDescent="0.35">
      <c r="A22" s="35">
        <v>21</v>
      </c>
      <c r="B22" s="18">
        <v>10</v>
      </c>
      <c r="C22" s="18">
        <v>3</v>
      </c>
      <c r="D22" s="18">
        <v>40</v>
      </c>
      <c r="E22" s="36">
        <f>SUMIFS(order_details[Order Value], order_details[ProductID], A22)</f>
        <v>9104</v>
      </c>
      <c r="G22" s="9"/>
    </row>
    <row r="23" spans="1:7" x14ac:dyDescent="0.35">
      <c r="A23" s="35">
        <v>22</v>
      </c>
      <c r="B23" s="18">
        <v>21</v>
      </c>
      <c r="C23" s="18">
        <v>104</v>
      </c>
      <c r="D23" s="18">
        <v>0</v>
      </c>
      <c r="E23" s="36">
        <f>SUMIFS(order_details[Order Value], order_details[ProductID], A23)</f>
        <v>7122.3600000000006</v>
      </c>
      <c r="G23" s="9" t="s">
        <v>1327</v>
      </c>
    </row>
    <row r="24" spans="1:7" x14ac:dyDescent="0.35">
      <c r="A24" s="35">
        <v>23</v>
      </c>
      <c r="B24" s="18">
        <v>9</v>
      </c>
      <c r="C24" s="18">
        <v>61</v>
      </c>
      <c r="D24" s="18">
        <v>0</v>
      </c>
      <c r="E24" s="36">
        <f>SUMIFS(order_details[Order Value], order_details[ProductID], A24)</f>
        <v>4601.7</v>
      </c>
      <c r="G24" s="9"/>
    </row>
    <row r="25" spans="1:7" x14ac:dyDescent="0.35">
      <c r="A25" s="35">
        <v>24</v>
      </c>
      <c r="B25" s="18">
        <v>4.5</v>
      </c>
      <c r="C25" s="18">
        <v>20</v>
      </c>
      <c r="D25" s="18">
        <v>0</v>
      </c>
      <c r="E25" s="36">
        <f>SUMIFS(order_details[Order Value], order_details[ProductID], A25)</f>
        <v>4504.3649999999998</v>
      </c>
      <c r="G25" s="9" t="s">
        <v>1328</v>
      </c>
    </row>
    <row r="26" spans="1:7" x14ac:dyDescent="0.35">
      <c r="A26" s="35">
        <v>25</v>
      </c>
      <c r="B26" s="18">
        <v>14</v>
      </c>
      <c r="C26" s="18">
        <v>76</v>
      </c>
      <c r="D26" s="18">
        <v>0</v>
      </c>
      <c r="E26" s="36">
        <f>SUMIFS(order_details[Order Value], order_details[ProductID], A26)</f>
        <v>3704.3999999999996</v>
      </c>
      <c r="G26" s="19" t="s">
        <v>1329</v>
      </c>
    </row>
    <row r="27" spans="1:7" x14ac:dyDescent="0.35">
      <c r="A27" s="35">
        <v>26</v>
      </c>
      <c r="B27" s="18">
        <v>31.23</v>
      </c>
      <c r="C27" s="18">
        <v>15</v>
      </c>
      <c r="D27" s="18">
        <v>0</v>
      </c>
      <c r="E27" s="36">
        <f>SUMIFS(order_details[Order Value], order_details[ProductID], A27)</f>
        <v>19849.144500000002</v>
      </c>
    </row>
    <row r="28" spans="1:7" x14ac:dyDescent="0.35">
      <c r="A28" s="35">
        <v>27</v>
      </c>
      <c r="B28" s="18">
        <v>43.9</v>
      </c>
      <c r="C28" s="18">
        <v>49</v>
      </c>
      <c r="D28" s="18">
        <v>0</v>
      </c>
      <c r="E28" s="36">
        <f>SUMIFS(order_details[Order Value], order_details[ProductID], A28)</f>
        <v>15099.875</v>
      </c>
      <c r="G28" s="7" t="s">
        <v>1330</v>
      </c>
    </row>
    <row r="29" spans="1:7" x14ac:dyDescent="0.35">
      <c r="A29" s="35">
        <v>28</v>
      </c>
      <c r="B29" s="18">
        <v>45.6</v>
      </c>
      <c r="C29" s="18">
        <v>26</v>
      </c>
      <c r="D29" s="18">
        <v>0</v>
      </c>
      <c r="E29" s="36">
        <f>SUMIFS(order_details[Order Value], order_details[ProductID], A29)</f>
        <v>25696.640000000007</v>
      </c>
      <c r="G29" t="s">
        <v>1343</v>
      </c>
    </row>
    <row r="30" spans="1:7" x14ac:dyDescent="0.35">
      <c r="A30" s="35">
        <v>29</v>
      </c>
      <c r="B30" s="18">
        <v>123.79</v>
      </c>
      <c r="C30" s="18">
        <v>0</v>
      </c>
      <c r="D30" s="18">
        <v>0</v>
      </c>
      <c r="E30" s="36">
        <f>SUMIFS(order_details[Order Value], order_details[ProductID], A30)</f>
        <v>80368.672000000006</v>
      </c>
    </row>
    <row r="31" spans="1:7" ht="17.5" x14ac:dyDescent="0.35">
      <c r="A31" s="35">
        <v>30</v>
      </c>
      <c r="B31" s="18">
        <v>25.89</v>
      </c>
      <c r="C31" s="18">
        <v>10</v>
      </c>
      <c r="D31" s="18">
        <v>0</v>
      </c>
      <c r="E31" s="36">
        <f>SUMIFS(order_details[Order Value], order_details[ProductID], A31)</f>
        <v>13424.197500000002</v>
      </c>
      <c r="G31" s="8" t="s">
        <v>1331</v>
      </c>
    </row>
    <row r="32" spans="1:7" x14ac:dyDescent="0.35">
      <c r="A32" s="35">
        <v>31</v>
      </c>
      <c r="B32" s="18">
        <v>12.5</v>
      </c>
      <c r="C32" s="18">
        <v>0</v>
      </c>
      <c r="D32" s="18">
        <v>70</v>
      </c>
      <c r="E32" s="36">
        <f>SUMIFS(order_details[Order Value], order_details[ProductID], A32)</f>
        <v>14920.875</v>
      </c>
    </row>
    <row r="33" spans="1:7" x14ac:dyDescent="0.35">
      <c r="A33" s="35">
        <v>32</v>
      </c>
      <c r="B33" s="18">
        <v>32</v>
      </c>
      <c r="C33" s="18">
        <v>9</v>
      </c>
      <c r="D33" s="18">
        <v>40</v>
      </c>
      <c r="E33" s="36">
        <f>SUMIFS(order_details[Order Value], order_details[ProductID], A33)</f>
        <v>8404.16</v>
      </c>
      <c r="G33" s="7" t="s">
        <v>1332</v>
      </c>
    </row>
    <row r="34" spans="1:7" x14ac:dyDescent="0.35">
      <c r="A34" s="35">
        <v>33</v>
      </c>
      <c r="B34" s="18">
        <v>2.5</v>
      </c>
      <c r="C34" s="18">
        <v>112</v>
      </c>
      <c r="D34" s="18">
        <v>0</v>
      </c>
      <c r="E34" s="36">
        <f>SUMIFS(order_details[Order Value], order_details[ProductID], A34)</f>
        <v>1648.125</v>
      </c>
      <c r="G34" s="9"/>
    </row>
    <row r="35" spans="1:7" x14ac:dyDescent="0.35">
      <c r="A35" s="35">
        <v>34</v>
      </c>
      <c r="B35" s="18">
        <v>14</v>
      </c>
      <c r="C35" s="18">
        <v>111</v>
      </c>
      <c r="D35" s="18">
        <v>0</v>
      </c>
      <c r="E35" s="36">
        <f>SUMIFS(order_details[Order Value], order_details[ProductID], A35)</f>
        <v>6350.4</v>
      </c>
      <c r="G35" s="9" t="s">
        <v>1333</v>
      </c>
    </row>
    <row r="36" spans="1:7" x14ac:dyDescent="0.35">
      <c r="A36" s="35">
        <v>35</v>
      </c>
      <c r="B36" s="18">
        <v>18</v>
      </c>
      <c r="C36" s="18">
        <v>20</v>
      </c>
      <c r="D36" s="18">
        <v>0</v>
      </c>
      <c r="E36" s="36">
        <f>SUMIFS(order_details[Order Value], order_details[ProductID], A36)</f>
        <v>13643.999999999998</v>
      </c>
      <c r="G36" s="9"/>
    </row>
    <row r="37" spans="1:7" x14ac:dyDescent="0.35">
      <c r="A37" s="35">
        <v>36</v>
      </c>
      <c r="B37" s="18">
        <v>19</v>
      </c>
      <c r="C37" s="18">
        <v>112</v>
      </c>
      <c r="D37" s="18">
        <v>0</v>
      </c>
      <c r="E37" s="36">
        <f>SUMIFS(order_details[Order Value], order_details[ProductID], A37)</f>
        <v>13458.460000000001</v>
      </c>
      <c r="G37" s="9" t="s">
        <v>1334</v>
      </c>
    </row>
    <row r="38" spans="1:7" x14ac:dyDescent="0.35">
      <c r="A38" s="35">
        <v>37</v>
      </c>
      <c r="B38" s="18">
        <v>26</v>
      </c>
      <c r="C38" s="18">
        <v>11</v>
      </c>
      <c r="D38" s="18">
        <v>50</v>
      </c>
      <c r="E38" s="36">
        <f>SUMIFS(order_details[Order Value], order_details[ProductID], A38)</f>
        <v>2688.3999999999996</v>
      </c>
      <c r="G38" s="9"/>
    </row>
    <row r="39" spans="1:7" x14ac:dyDescent="0.35">
      <c r="A39" s="35">
        <v>38</v>
      </c>
      <c r="B39" s="18">
        <v>263.5</v>
      </c>
      <c r="C39" s="18">
        <v>17</v>
      </c>
      <c r="D39" s="18">
        <v>0</v>
      </c>
      <c r="E39" s="36">
        <f>SUMIFS(order_details[Order Value], order_details[ProductID], A39)</f>
        <v>141396.73499999999</v>
      </c>
      <c r="G39" s="9" t="s">
        <v>1335</v>
      </c>
    </row>
    <row r="40" spans="1:7" x14ac:dyDescent="0.35">
      <c r="A40" s="35">
        <v>39</v>
      </c>
      <c r="B40" s="18">
        <v>18</v>
      </c>
      <c r="C40" s="18">
        <v>69</v>
      </c>
      <c r="D40" s="18">
        <v>0</v>
      </c>
      <c r="E40" s="36">
        <f>SUMIFS(order_details[Order Value], order_details[ProductID], A40)</f>
        <v>12294.54</v>
      </c>
      <c r="G40" s="9"/>
    </row>
    <row r="41" spans="1:7" x14ac:dyDescent="0.35">
      <c r="A41" s="35">
        <v>40</v>
      </c>
      <c r="B41" s="18">
        <v>18.399999999999999</v>
      </c>
      <c r="C41" s="18">
        <v>123</v>
      </c>
      <c r="D41" s="18">
        <v>0</v>
      </c>
      <c r="E41" s="36">
        <f>SUMIFS(order_details[Order Value], order_details[ProductID], A41)</f>
        <v>17910.63</v>
      </c>
      <c r="G41" s="9" t="s">
        <v>1336</v>
      </c>
    </row>
    <row r="42" spans="1:7" x14ac:dyDescent="0.35">
      <c r="A42" s="35">
        <v>41</v>
      </c>
      <c r="B42" s="18">
        <v>9.65</v>
      </c>
      <c r="C42" s="18">
        <v>85</v>
      </c>
      <c r="D42" s="18">
        <v>0</v>
      </c>
      <c r="E42" s="36">
        <f>SUMIFS(order_details[Order Value], order_details[ProductID], A42)</f>
        <v>8680.3450000000048</v>
      </c>
    </row>
    <row r="43" spans="1:7" x14ac:dyDescent="0.35">
      <c r="A43" s="35">
        <v>42</v>
      </c>
      <c r="B43" s="18">
        <v>14</v>
      </c>
      <c r="C43" s="18">
        <v>26</v>
      </c>
      <c r="D43" s="18">
        <v>0</v>
      </c>
      <c r="E43" s="36">
        <f>SUMIFS(order_details[Order Value], order_details[ProductID], A43)</f>
        <v>8575</v>
      </c>
      <c r="G43" s="7" t="s">
        <v>1330</v>
      </c>
    </row>
    <row r="44" spans="1:7" x14ac:dyDescent="0.35">
      <c r="A44" s="35">
        <v>43</v>
      </c>
      <c r="B44" s="18">
        <v>46</v>
      </c>
      <c r="C44" s="18">
        <v>17</v>
      </c>
      <c r="D44" s="18">
        <v>10</v>
      </c>
      <c r="E44" s="36">
        <f>SUMIFS(order_details[Order Value], order_details[ProductID], A44)</f>
        <v>23526.699999999997</v>
      </c>
      <c r="G44" t="s">
        <v>1342</v>
      </c>
    </row>
    <row r="45" spans="1:7" x14ac:dyDescent="0.35">
      <c r="A45" s="35">
        <v>44</v>
      </c>
      <c r="B45" s="18">
        <v>19.45</v>
      </c>
      <c r="C45" s="18">
        <v>27</v>
      </c>
      <c r="D45" s="18">
        <v>0</v>
      </c>
      <c r="E45" s="36">
        <f>SUMIFS(order_details[Order Value], order_details[ProductID], A45)</f>
        <v>9915.9450000000015</v>
      </c>
    </row>
    <row r="46" spans="1:7" ht="17.5" x14ac:dyDescent="0.35">
      <c r="A46" s="35">
        <v>45</v>
      </c>
      <c r="B46" s="18">
        <v>9.5</v>
      </c>
      <c r="C46" s="18">
        <v>5</v>
      </c>
      <c r="D46" s="18">
        <v>70</v>
      </c>
      <c r="E46" s="36">
        <f>SUMIFS(order_details[Order Value], order_details[ProductID], A46)</f>
        <v>4338.1750000000002</v>
      </c>
      <c r="G46" s="8" t="s">
        <v>1337</v>
      </c>
    </row>
    <row r="47" spans="1:7" x14ac:dyDescent="0.35">
      <c r="A47" s="35">
        <v>46</v>
      </c>
      <c r="B47" s="18">
        <v>12</v>
      </c>
      <c r="C47" s="18">
        <v>95</v>
      </c>
      <c r="D47" s="18">
        <v>0</v>
      </c>
      <c r="E47" s="36">
        <f>SUMIFS(order_details[Order Value], order_details[ProductID], A47)</f>
        <v>5882.9999999999991</v>
      </c>
    </row>
    <row r="48" spans="1:7" x14ac:dyDescent="0.35">
      <c r="A48" s="35">
        <v>47</v>
      </c>
      <c r="B48" s="18">
        <v>9.5</v>
      </c>
      <c r="C48" s="18">
        <v>36</v>
      </c>
      <c r="D48" s="18">
        <v>0</v>
      </c>
      <c r="E48" s="36">
        <f>SUMIFS(order_details[Order Value], order_details[ProductID], A48)</f>
        <v>3958.08</v>
      </c>
      <c r="G48" s="7" t="s">
        <v>1332</v>
      </c>
    </row>
    <row r="49" spans="1:7" x14ac:dyDescent="0.35">
      <c r="A49" s="35">
        <v>48</v>
      </c>
      <c r="B49" s="18">
        <v>12.75</v>
      </c>
      <c r="C49" s="18">
        <v>15</v>
      </c>
      <c r="D49" s="18">
        <v>70</v>
      </c>
      <c r="E49" s="36">
        <f>SUMIFS(order_details[Order Value], order_details[ProductID], A49)</f>
        <v>1368.7125000000001</v>
      </c>
    </row>
    <row r="50" spans="1:7" x14ac:dyDescent="0.35">
      <c r="A50" s="35">
        <v>49</v>
      </c>
      <c r="B50" s="18">
        <v>20</v>
      </c>
      <c r="C50" s="18">
        <v>10</v>
      </c>
      <c r="D50" s="18">
        <v>60</v>
      </c>
      <c r="E50" s="36">
        <f>SUMIFS(order_details[Order Value], order_details[ProductID], A50)</f>
        <v>9244.6</v>
      </c>
      <c r="G50" s="9" t="s">
        <v>1338</v>
      </c>
    </row>
    <row r="51" spans="1:7" x14ac:dyDescent="0.35">
      <c r="A51" s="35">
        <v>50</v>
      </c>
      <c r="B51" s="18">
        <v>16.25</v>
      </c>
      <c r="C51" s="18">
        <v>65</v>
      </c>
      <c r="D51" s="18">
        <v>0</v>
      </c>
      <c r="E51" s="36">
        <f>SUMIFS(order_details[Order Value], order_details[ProductID], A51)</f>
        <v>3437.6875</v>
      </c>
      <c r="G51" s="9"/>
    </row>
    <row r="52" spans="1:7" x14ac:dyDescent="0.35">
      <c r="A52" s="35">
        <v>51</v>
      </c>
      <c r="B52" s="18">
        <v>53</v>
      </c>
      <c r="C52" s="18">
        <v>20</v>
      </c>
      <c r="D52" s="18">
        <v>0</v>
      </c>
      <c r="E52" s="36">
        <f>SUMIFS(order_details[Order Value], order_details[ProductID], A52)</f>
        <v>41819.65</v>
      </c>
      <c r="G52" s="9" t="s">
        <v>1339</v>
      </c>
    </row>
    <row r="53" spans="1:7" x14ac:dyDescent="0.35">
      <c r="A53" s="35">
        <v>52</v>
      </c>
      <c r="B53" s="18">
        <v>7</v>
      </c>
      <c r="C53" s="18">
        <v>38</v>
      </c>
      <c r="D53" s="18">
        <v>0</v>
      </c>
      <c r="E53" s="36">
        <f>SUMIFS(order_details[Order Value], order_details[ProductID], A53)</f>
        <v>3232.9500000000003</v>
      </c>
      <c r="G53" s="9"/>
    </row>
    <row r="54" spans="1:7" x14ac:dyDescent="0.35">
      <c r="A54" s="35">
        <v>53</v>
      </c>
      <c r="B54" s="18">
        <v>32.799999999999997</v>
      </c>
      <c r="C54" s="18">
        <v>0</v>
      </c>
      <c r="D54" s="18">
        <v>0</v>
      </c>
      <c r="E54" s="36">
        <f>SUMIFS(order_details[Order Value], order_details[ProductID], A54)</f>
        <v>20574.170000000006</v>
      </c>
      <c r="G54" s="9" t="s">
        <v>1340</v>
      </c>
    </row>
    <row r="55" spans="1:7" x14ac:dyDescent="0.35">
      <c r="A55" s="35">
        <v>54</v>
      </c>
      <c r="B55" s="18">
        <v>7.45</v>
      </c>
      <c r="C55" s="18">
        <v>21</v>
      </c>
      <c r="D55" s="18">
        <v>0</v>
      </c>
      <c r="E55" s="36">
        <f>SUMIFS(order_details[Order Value], order_details[ProductID], A55)</f>
        <v>4728.2375000000002</v>
      </c>
    </row>
    <row r="56" spans="1:7" x14ac:dyDescent="0.35">
      <c r="A56" s="35">
        <v>55</v>
      </c>
      <c r="B56" s="18">
        <v>24</v>
      </c>
      <c r="C56" s="18">
        <v>115</v>
      </c>
      <c r="D56" s="18">
        <v>0</v>
      </c>
      <c r="E56" s="36">
        <f>SUMIFS(order_details[Order Value], order_details[ProductID], A56)</f>
        <v>17426.400000000001</v>
      </c>
      <c r="G56" s="7" t="s">
        <v>1330</v>
      </c>
    </row>
    <row r="57" spans="1:7" x14ac:dyDescent="0.35">
      <c r="A57" s="35">
        <v>56</v>
      </c>
      <c r="B57" s="18">
        <v>38</v>
      </c>
      <c r="C57" s="18">
        <v>21</v>
      </c>
      <c r="D57" s="18">
        <v>10</v>
      </c>
      <c r="E57" s="36">
        <f>SUMIFS(order_details[Order Value], order_details[ProductID], A57)</f>
        <v>42593.06</v>
      </c>
      <c r="G57" t="s">
        <v>1341</v>
      </c>
    </row>
    <row r="58" spans="1:7" x14ac:dyDescent="0.35">
      <c r="A58" s="35">
        <v>57</v>
      </c>
      <c r="B58" s="18">
        <v>19.5</v>
      </c>
      <c r="C58" s="18">
        <v>36</v>
      </c>
      <c r="D58" s="18">
        <v>0</v>
      </c>
      <c r="E58" s="36">
        <f>SUMIFS(order_details[Order Value], order_details[ProductID], A58)</f>
        <v>7661.5499999999993</v>
      </c>
    </row>
    <row r="59" spans="1:7" x14ac:dyDescent="0.35">
      <c r="A59" s="35">
        <v>58</v>
      </c>
      <c r="B59" s="18">
        <v>13.25</v>
      </c>
      <c r="C59" s="18">
        <v>62</v>
      </c>
      <c r="D59" s="18">
        <v>0</v>
      </c>
      <c r="E59" s="36">
        <f>SUMIFS(order_details[Order Value], order_details[ProductID], A59)</f>
        <v>5881.6749999999993</v>
      </c>
    </row>
    <row r="60" spans="1:7" x14ac:dyDescent="0.35">
      <c r="A60" s="35">
        <v>59</v>
      </c>
      <c r="B60" s="18">
        <v>55</v>
      </c>
      <c r="C60" s="18">
        <v>79</v>
      </c>
      <c r="D60" s="18">
        <v>0</v>
      </c>
      <c r="E60" s="36">
        <f>SUMIFS(order_details[Order Value], order_details[ProductID], A60)</f>
        <v>71155.7</v>
      </c>
    </row>
    <row r="61" spans="1:7" x14ac:dyDescent="0.35">
      <c r="A61" s="35">
        <v>60</v>
      </c>
      <c r="B61" s="18">
        <v>34</v>
      </c>
      <c r="C61" s="18">
        <v>19</v>
      </c>
      <c r="D61" s="18">
        <v>0</v>
      </c>
      <c r="E61" s="36">
        <f>SUMIFS(order_details[Order Value], order_details[ProductID], A61)</f>
        <v>46825.48</v>
      </c>
    </row>
    <row r="62" spans="1:7" x14ac:dyDescent="0.35">
      <c r="A62" s="35">
        <v>61</v>
      </c>
      <c r="B62" s="18">
        <v>28.5</v>
      </c>
      <c r="C62" s="18">
        <v>113</v>
      </c>
      <c r="D62" s="18">
        <v>0</v>
      </c>
      <c r="E62" s="36">
        <f>SUMIFS(order_details[Order Value], order_details[ProductID], A62)</f>
        <v>14352.6</v>
      </c>
    </row>
    <row r="63" spans="1:7" x14ac:dyDescent="0.35">
      <c r="A63" s="35">
        <v>62</v>
      </c>
      <c r="B63" s="18">
        <v>49.3</v>
      </c>
      <c r="C63" s="18">
        <v>17</v>
      </c>
      <c r="D63" s="18">
        <v>0</v>
      </c>
      <c r="E63" s="36">
        <f>SUMIFS(order_details[Order Value], order_details[ProductID], A63)</f>
        <v>47234.97</v>
      </c>
    </row>
    <row r="64" spans="1:7" x14ac:dyDescent="0.35">
      <c r="A64" s="35">
        <v>63</v>
      </c>
      <c r="B64" s="18">
        <v>43.9</v>
      </c>
      <c r="C64" s="18">
        <v>24</v>
      </c>
      <c r="D64" s="18">
        <v>0</v>
      </c>
      <c r="E64" s="36">
        <f>SUMIFS(order_details[Order Value], order_details[ProductID], A64)</f>
        <v>16701.095000000001</v>
      </c>
    </row>
    <row r="65" spans="1:5" x14ac:dyDescent="0.35">
      <c r="A65" s="35">
        <v>64</v>
      </c>
      <c r="B65" s="18">
        <v>33.25</v>
      </c>
      <c r="C65" s="18">
        <v>22</v>
      </c>
      <c r="D65" s="18">
        <v>80</v>
      </c>
      <c r="E65" s="36">
        <f>SUMIFS(order_details[Order Value], order_details[ProductID], A65)</f>
        <v>21957.967500000002</v>
      </c>
    </row>
    <row r="66" spans="1:5" x14ac:dyDescent="0.35">
      <c r="A66" s="35">
        <v>65</v>
      </c>
      <c r="B66" s="18">
        <v>21.05</v>
      </c>
      <c r="C66" s="18">
        <v>76</v>
      </c>
      <c r="D66" s="18">
        <v>0</v>
      </c>
      <c r="E66" s="36">
        <f>SUMIFS(order_details[Order Value], order_details[ProductID], A66)</f>
        <v>13869.890000000001</v>
      </c>
    </row>
    <row r="67" spans="1:5" x14ac:dyDescent="0.35">
      <c r="A67" s="35">
        <v>66</v>
      </c>
      <c r="B67" s="18">
        <v>17</v>
      </c>
      <c r="C67" s="18">
        <v>4</v>
      </c>
      <c r="D67" s="18">
        <v>100</v>
      </c>
      <c r="E67" s="36">
        <f>SUMIFS(order_details[Order Value], order_details[ProductID], A67)</f>
        <v>3383</v>
      </c>
    </row>
    <row r="68" spans="1:5" x14ac:dyDescent="0.35">
      <c r="A68" s="35">
        <v>67</v>
      </c>
      <c r="B68" s="18">
        <v>14</v>
      </c>
      <c r="C68" s="18">
        <v>52</v>
      </c>
      <c r="D68" s="18">
        <v>0</v>
      </c>
      <c r="E68" s="36">
        <f>SUMIFS(order_details[Order Value], order_details[ProductID], A68)</f>
        <v>2396.8000000000002</v>
      </c>
    </row>
    <row r="69" spans="1:5" x14ac:dyDescent="0.35">
      <c r="A69" s="35">
        <v>68</v>
      </c>
      <c r="B69" s="18">
        <v>12.5</v>
      </c>
      <c r="C69" s="18">
        <v>6</v>
      </c>
      <c r="D69" s="18">
        <v>10</v>
      </c>
      <c r="E69" s="36">
        <f>SUMIFS(order_details[Order Value], order_details[ProductID], A69)</f>
        <v>8714</v>
      </c>
    </row>
    <row r="70" spans="1:5" x14ac:dyDescent="0.35">
      <c r="A70" s="35">
        <v>69</v>
      </c>
      <c r="B70" s="18">
        <v>36</v>
      </c>
      <c r="C70" s="18">
        <v>26</v>
      </c>
      <c r="D70" s="18">
        <v>0</v>
      </c>
      <c r="E70" s="36">
        <f>SUMIFS(order_details[Order Value], order_details[ProductID], A70)</f>
        <v>21942.36</v>
      </c>
    </row>
    <row r="71" spans="1:5" x14ac:dyDescent="0.35">
      <c r="A71" s="35">
        <v>70</v>
      </c>
      <c r="B71" s="18">
        <v>15</v>
      </c>
      <c r="C71" s="18">
        <v>15</v>
      </c>
      <c r="D71" s="18">
        <v>10</v>
      </c>
      <c r="E71" s="36">
        <f>SUMIFS(order_details[Order Value], order_details[ProductID], A71)</f>
        <v>10672.65</v>
      </c>
    </row>
    <row r="72" spans="1:5" x14ac:dyDescent="0.35">
      <c r="A72" s="35">
        <v>71</v>
      </c>
      <c r="B72" s="18">
        <v>21.5</v>
      </c>
      <c r="C72" s="18">
        <v>26</v>
      </c>
      <c r="D72" s="18">
        <v>0</v>
      </c>
      <c r="E72" s="36">
        <f>SUMIFS(order_details[Order Value], order_details[ProductID], A72)</f>
        <v>19551.024999999998</v>
      </c>
    </row>
    <row r="73" spans="1:5" x14ac:dyDescent="0.35">
      <c r="A73" s="35">
        <v>72</v>
      </c>
      <c r="B73" s="18">
        <v>34.799999999999997</v>
      </c>
      <c r="C73" s="18">
        <v>14</v>
      </c>
      <c r="D73" s="18">
        <v>0</v>
      </c>
      <c r="E73" s="36">
        <f>SUMIFS(order_details[Order Value], order_details[ProductID], A73)</f>
        <v>24900.13</v>
      </c>
    </row>
    <row r="74" spans="1:5" x14ac:dyDescent="0.35">
      <c r="A74" s="35">
        <v>73</v>
      </c>
      <c r="B74" s="18">
        <v>15</v>
      </c>
      <c r="C74" s="18">
        <v>101</v>
      </c>
      <c r="D74" s="18">
        <v>0</v>
      </c>
      <c r="E74" s="36">
        <f>SUMIFS(order_details[Order Value], order_details[ProductID], A74)</f>
        <v>3997.2</v>
      </c>
    </row>
    <row r="75" spans="1:5" x14ac:dyDescent="0.35">
      <c r="A75" s="35">
        <v>74</v>
      </c>
      <c r="B75" s="18">
        <v>10</v>
      </c>
      <c r="C75" s="18">
        <v>4</v>
      </c>
      <c r="D75" s="18">
        <v>20</v>
      </c>
      <c r="E75" s="36">
        <f>SUMIFS(order_details[Order Value], order_details[ProductID], A75)</f>
        <v>2432.5</v>
      </c>
    </row>
    <row r="76" spans="1:5" x14ac:dyDescent="0.35">
      <c r="A76" s="35">
        <v>75</v>
      </c>
      <c r="B76" s="18">
        <v>7.75</v>
      </c>
      <c r="C76" s="18">
        <v>125</v>
      </c>
      <c r="D76" s="18">
        <v>0</v>
      </c>
      <c r="E76" s="36">
        <f>SUMIFS(order_details[Order Value], order_details[ProductID], A76)</f>
        <v>8177.4899999999989</v>
      </c>
    </row>
    <row r="77" spans="1:5" x14ac:dyDescent="0.35">
      <c r="A77" s="35">
        <v>76</v>
      </c>
      <c r="B77" s="18">
        <v>18</v>
      </c>
      <c r="C77" s="18">
        <v>57</v>
      </c>
      <c r="D77" s="18">
        <v>0</v>
      </c>
      <c r="E77" s="36">
        <f>SUMIFS(order_details[Order Value], order_details[ProductID], A77)</f>
        <v>15760.44</v>
      </c>
    </row>
    <row r="78" spans="1:5" x14ac:dyDescent="0.35">
      <c r="A78" s="37">
        <v>77</v>
      </c>
      <c r="B78" s="38">
        <v>13</v>
      </c>
      <c r="C78" s="38">
        <v>32</v>
      </c>
      <c r="D78" s="38">
        <v>0</v>
      </c>
      <c r="E78" s="39">
        <f>SUMIFS(order_details[Order Value], order_details[ProductID], A78)</f>
        <v>9171.6299999999992</v>
      </c>
    </row>
  </sheetData>
  <phoneticPr fontId="3" type="noConversion"/>
  <pageMargins left="0.7" right="0.7" top="0.75" bottom="0.75" header="0.3" footer="0.3"/>
  <drawing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7C03B-8DC6-487C-B8BE-9B1B3B3DB392}">
  <dimension ref="A1:J29"/>
  <sheetViews>
    <sheetView workbookViewId="0">
      <selection activeCell="F19" sqref="F19"/>
    </sheetView>
  </sheetViews>
  <sheetFormatPr defaultRowHeight="14.5" x14ac:dyDescent="0.35"/>
  <cols>
    <col min="1" max="1" width="12.36328125" bestFit="1" customWidth="1"/>
    <col min="2" max="2" width="14.54296875" bestFit="1" customWidth="1"/>
  </cols>
  <sheetData>
    <row r="1" spans="1:10" x14ac:dyDescent="0.35">
      <c r="A1" s="5" t="s">
        <v>1223</v>
      </c>
      <c r="B1" t="s">
        <v>1345</v>
      </c>
    </row>
    <row r="2" spans="1:10" x14ac:dyDescent="0.35">
      <c r="A2" s="6">
        <v>1</v>
      </c>
      <c r="B2" s="1">
        <v>4882</v>
      </c>
    </row>
    <row r="3" spans="1:10" ht="17.5" x14ac:dyDescent="0.35">
      <c r="A3" s="6">
        <v>2</v>
      </c>
      <c r="B3" s="1">
        <v>5244</v>
      </c>
      <c r="J3" s="8" t="s">
        <v>1346</v>
      </c>
    </row>
    <row r="4" spans="1:10" x14ac:dyDescent="0.35">
      <c r="A4" s="6">
        <v>3</v>
      </c>
      <c r="B4" s="1">
        <v>5870</v>
      </c>
      <c r="J4" s="9"/>
    </row>
    <row r="5" spans="1:10" x14ac:dyDescent="0.35">
      <c r="A5" s="6">
        <v>4</v>
      </c>
      <c r="B5" s="1">
        <v>5687</v>
      </c>
      <c r="J5" s="9" t="s">
        <v>1347</v>
      </c>
    </row>
    <row r="6" spans="1:10" x14ac:dyDescent="0.35">
      <c r="A6" s="6">
        <v>5</v>
      </c>
      <c r="B6" s="1">
        <v>7017</v>
      </c>
      <c r="J6" s="9"/>
    </row>
    <row r="7" spans="1:10" x14ac:dyDescent="0.35">
      <c r="A7" s="6">
        <v>6</v>
      </c>
      <c r="B7" s="1">
        <v>2808</v>
      </c>
      <c r="J7" s="19" t="s">
        <v>1348</v>
      </c>
    </row>
    <row r="8" spans="1:10" x14ac:dyDescent="0.35">
      <c r="A8" s="6">
        <v>7</v>
      </c>
      <c r="B8" s="1">
        <v>1635</v>
      </c>
    </row>
    <row r="9" spans="1:10" x14ac:dyDescent="0.35">
      <c r="A9" s="6">
        <v>8</v>
      </c>
      <c r="B9" s="1">
        <v>3516</v>
      </c>
      <c r="J9" t="s">
        <v>1349</v>
      </c>
    </row>
    <row r="10" spans="1:10" x14ac:dyDescent="0.35">
      <c r="A10" s="6">
        <v>9</v>
      </c>
      <c r="B10" s="1">
        <v>3183</v>
      </c>
    </row>
    <row r="11" spans="1:10" ht="17.5" x14ac:dyDescent="0.35">
      <c r="A11" s="6">
        <v>10</v>
      </c>
      <c r="B11" s="1">
        <v>3467</v>
      </c>
      <c r="J11" s="8" t="s">
        <v>1357</v>
      </c>
    </row>
    <row r="12" spans="1:10" x14ac:dyDescent="0.35">
      <c r="A12" s="6">
        <v>11</v>
      </c>
      <c r="B12" s="1">
        <v>4326</v>
      </c>
      <c r="J12" s="9"/>
    </row>
    <row r="13" spans="1:10" x14ac:dyDescent="0.35">
      <c r="A13" s="6">
        <v>12</v>
      </c>
      <c r="B13" s="1">
        <v>3682</v>
      </c>
      <c r="J13" s="9" t="s">
        <v>1350</v>
      </c>
    </row>
    <row r="14" spans="1:10" x14ac:dyDescent="0.35">
      <c r="A14" s="6" t="s">
        <v>1224</v>
      </c>
      <c r="B14" s="1">
        <v>51317</v>
      </c>
      <c r="J14" s="9"/>
    </row>
    <row r="15" spans="1:10" x14ac:dyDescent="0.35">
      <c r="J15" s="19" t="s">
        <v>1351</v>
      </c>
    </row>
    <row r="17" spans="10:10" x14ac:dyDescent="0.35">
      <c r="J17" t="s">
        <v>1352</v>
      </c>
    </row>
    <row r="19" spans="10:10" ht="17.5" x14ac:dyDescent="0.35">
      <c r="J19" s="8" t="s">
        <v>1358</v>
      </c>
    </row>
    <row r="20" spans="10:10" x14ac:dyDescent="0.35">
      <c r="J20" s="9"/>
    </row>
    <row r="21" spans="10:10" x14ac:dyDescent="0.35">
      <c r="J21" s="9" t="s">
        <v>1353</v>
      </c>
    </row>
    <row r="22" spans="10:10" x14ac:dyDescent="0.35">
      <c r="J22" s="9"/>
    </row>
    <row r="23" spans="10:10" x14ac:dyDescent="0.35">
      <c r="J23" s="19" t="s">
        <v>1354</v>
      </c>
    </row>
    <row r="25" spans="10:10" ht="17.5" x14ac:dyDescent="0.35">
      <c r="J25" s="8" t="s">
        <v>1359</v>
      </c>
    </row>
    <row r="26" spans="10:10" x14ac:dyDescent="0.35">
      <c r="J26" s="9"/>
    </row>
    <row r="27" spans="10:10" x14ac:dyDescent="0.35">
      <c r="J27" s="9" t="s">
        <v>1355</v>
      </c>
    </row>
    <row r="28" spans="10:10" x14ac:dyDescent="0.35">
      <c r="J28" s="9"/>
    </row>
    <row r="29" spans="10:10" x14ac:dyDescent="0.35">
      <c r="J29" s="9" t="s">
        <v>1356</v>
      </c>
    </row>
  </sheetData>
  <pageMargins left="0.7" right="0.7" top="0.75" bottom="0.75" header="0.3" footer="0.3"/>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ABC52-8EBA-4B0C-B6EA-32E68DFDF188}">
  <dimension ref="A1:J78"/>
  <sheetViews>
    <sheetView tabSelected="1" topLeftCell="J19" workbookViewId="0">
      <selection activeCell="J31" sqref="J31"/>
    </sheetView>
  </sheetViews>
  <sheetFormatPr defaultRowHeight="14.5" x14ac:dyDescent="0.35"/>
  <cols>
    <col min="7" max="7" width="16.54296875" bestFit="1" customWidth="1"/>
    <col min="8" max="8" width="23.1796875" bestFit="1" customWidth="1"/>
    <col min="9" max="9" width="24.36328125" bestFit="1" customWidth="1"/>
    <col min="10" max="10" width="255.6328125" bestFit="1" customWidth="1"/>
  </cols>
  <sheetData>
    <row r="1" spans="1:10" x14ac:dyDescent="0.35">
      <c r="A1" s="43" t="s">
        <v>819</v>
      </c>
      <c r="B1" s="44" t="s">
        <v>820</v>
      </c>
      <c r="C1" s="44" t="s">
        <v>850</v>
      </c>
      <c r="D1" s="44" t="s">
        <v>851</v>
      </c>
      <c r="E1" s="45" t="s">
        <v>1318</v>
      </c>
    </row>
    <row r="2" spans="1:10" ht="17.5" x14ac:dyDescent="0.35">
      <c r="A2" s="35">
        <v>38</v>
      </c>
      <c r="B2" s="18">
        <v>263.5</v>
      </c>
      <c r="C2" s="18">
        <v>17</v>
      </c>
      <c r="D2" s="18">
        <v>0</v>
      </c>
      <c r="E2" s="41">
        <f>SUMIFS(order_details[Order Value], order_details[ProductID], A2)</f>
        <v>141396.73499999999</v>
      </c>
      <c r="J2" s="8" t="s">
        <v>1361</v>
      </c>
    </row>
    <row r="3" spans="1:10" x14ac:dyDescent="0.35">
      <c r="A3" s="35">
        <v>29</v>
      </c>
      <c r="B3" s="18">
        <v>123.79</v>
      </c>
      <c r="C3" s="18">
        <v>0</v>
      </c>
      <c r="D3" s="18">
        <v>0</v>
      </c>
      <c r="E3" s="41">
        <f>SUMIFS(order_details[Order Value], order_details[ProductID], A3)</f>
        <v>80368.672000000006</v>
      </c>
    </row>
    <row r="4" spans="1:10" x14ac:dyDescent="0.35">
      <c r="A4" s="35">
        <v>59</v>
      </c>
      <c r="B4" s="18">
        <v>55</v>
      </c>
      <c r="C4" s="18">
        <v>79</v>
      </c>
      <c r="D4" s="18">
        <v>0</v>
      </c>
      <c r="E4" s="41">
        <f>SUMIFS(order_details[Order Value], order_details[ProductID], A4)</f>
        <v>71155.7</v>
      </c>
      <c r="J4" t="s">
        <v>1362</v>
      </c>
    </row>
    <row r="5" spans="1:10" x14ac:dyDescent="0.35">
      <c r="A5" s="35">
        <v>62</v>
      </c>
      <c r="B5" s="18">
        <v>49.3</v>
      </c>
      <c r="C5" s="18">
        <v>17</v>
      </c>
      <c r="D5" s="18">
        <v>0</v>
      </c>
      <c r="E5" s="41">
        <f>SUMIFS(order_details[Order Value], order_details[ProductID], A5)</f>
        <v>47234.97</v>
      </c>
      <c r="J5" s="9"/>
    </row>
    <row r="6" spans="1:10" x14ac:dyDescent="0.35">
      <c r="A6" s="35">
        <v>60</v>
      </c>
      <c r="B6" s="18">
        <v>34</v>
      </c>
      <c r="C6" s="18">
        <v>19</v>
      </c>
      <c r="D6" s="18">
        <v>0</v>
      </c>
      <c r="E6" s="41">
        <f>SUMIFS(order_details[Order Value], order_details[ProductID], A6)</f>
        <v>46825.48</v>
      </c>
      <c r="J6" s="9" t="s">
        <v>1363</v>
      </c>
    </row>
    <row r="7" spans="1:10" x14ac:dyDescent="0.35">
      <c r="A7" s="35">
        <v>56</v>
      </c>
      <c r="B7" s="18">
        <v>38</v>
      </c>
      <c r="C7" s="18">
        <v>21</v>
      </c>
      <c r="D7" s="18">
        <v>10</v>
      </c>
      <c r="E7" s="41">
        <f>SUMIFS(order_details[Order Value], order_details[ProductID], A7)</f>
        <v>42593.06</v>
      </c>
      <c r="J7" s="9"/>
    </row>
    <row r="8" spans="1:10" x14ac:dyDescent="0.35">
      <c r="A8" s="35">
        <v>51</v>
      </c>
      <c r="B8" s="18">
        <v>53</v>
      </c>
      <c r="C8" s="18">
        <v>20</v>
      </c>
      <c r="D8" s="18">
        <v>0</v>
      </c>
      <c r="E8" s="41">
        <f>SUMIFS(order_details[Order Value], order_details[ProductID], A8)</f>
        <v>41819.65</v>
      </c>
      <c r="J8" s="9" t="s">
        <v>1364</v>
      </c>
    </row>
    <row r="9" spans="1:10" x14ac:dyDescent="0.35">
      <c r="A9" s="35">
        <v>17</v>
      </c>
      <c r="B9" s="18">
        <v>39</v>
      </c>
      <c r="C9" s="18">
        <v>0</v>
      </c>
      <c r="D9" s="18">
        <v>0</v>
      </c>
      <c r="E9" s="41">
        <f>SUMIFS(order_details[Order Value], order_details[ProductID], A9)</f>
        <v>32698.379999999997</v>
      </c>
      <c r="J9" s="9"/>
    </row>
    <row r="10" spans="1:10" x14ac:dyDescent="0.35">
      <c r="A10" s="35">
        <v>18</v>
      </c>
      <c r="B10" s="18">
        <v>62.5</v>
      </c>
      <c r="C10" s="18">
        <v>42</v>
      </c>
      <c r="D10" s="18">
        <v>0</v>
      </c>
      <c r="E10" s="41">
        <f>SUMIFS(order_details[Order Value], order_details[ProductID], A10)</f>
        <v>29171.875</v>
      </c>
      <c r="J10" s="9" t="s">
        <v>1365</v>
      </c>
    </row>
    <row r="11" spans="1:10" x14ac:dyDescent="0.35">
      <c r="A11" s="35">
        <v>28</v>
      </c>
      <c r="B11" s="18">
        <v>45.6</v>
      </c>
      <c r="C11" s="18">
        <v>26</v>
      </c>
      <c r="D11" s="18">
        <v>0</v>
      </c>
      <c r="E11" s="41">
        <f>SUMIFS(order_details[Order Value], order_details[ProductID], A11)</f>
        <v>25696.640000000007</v>
      </c>
    </row>
    <row r="12" spans="1:10" x14ac:dyDescent="0.35">
      <c r="A12" s="35">
        <v>72</v>
      </c>
      <c r="B12" s="18">
        <v>34.799999999999997</v>
      </c>
      <c r="C12" s="18">
        <v>14</v>
      </c>
      <c r="D12" s="18">
        <v>0</v>
      </c>
      <c r="E12" s="41">
        <f>SUMIFS(order_details[Order Value], order_details[ProductID], A12)</f>
        <v>24900.13</v>
      </c>
      <c r="J12" s="7" t="s">
        <v>1366</v>
      </c>
    </row>
    <row r="13" spans="1:10" x14ac:dyDescent="0.35">
      <c r="A13" s="35">
        <v>43</v>
      </c>
      <c r="B13" s="18">
        <v>46</v>
      </c>
      <c r="C13" s="18">
        <v>17</v>
      </c>
      <c r="D13" s="18">
        <v>10</v>
      </c>
      <c r="E13" s="41">
        <f>SUMIFS(order_details[Order Value], order_details[ProductID], A13)</f>
        <v>23526.699999999997</v>
      </c>
      <c r="J13" t="s">
        <v>1367</v>
      </c>
    </row>
    <row r="14" spans="1:10" x14ac:dyDescent="0.35">
      <c r="A14" s="35">
        <v>20</v>
      </c>
      <c r="B14" s="18">
        <v>81</v>
      </c>
      <c r="C14" s="18">
        <v>40</v>
      </c>
      <c r="D14" s="18">
        <v>0</v>
      </c>
      <c r="E14" s="41">
        <f>SUMIFS(order_details[Order Value], order_details[ProductID], A14)</f>
        <v>22563.359999999997</v>
      </c>
    </row>
    <row r="15" spans="1:10" ht="17.5" x14ac:dyDescent="0.35">
      <c r="A15" s="35">
        <v>7</v>
      </c>
      <c r="B15" s="18">
        <v>30</v>
      </c>
      <c r="C15" s="18">
        <v>15</v>
      </c>
      <c r="D15" s="18">
        <v>0</v>
      </c>
      <c r="E15" s="41">
        <f>SUMIFS(order_details[Order Value], order_details[ProductID], A15)</f>
        <v>22044.3</v>
      </c>
      <c r="J15" s="8" t="s">
        <v>1380</v>
      </c>
    </row>
    <row r="16" spans="1:10" x14ac:dyDescent="0.35">
      <c r="A16" s="35">
        <v>64</v>
      </c>
      <c r="B16" s="18">
        <v>33.25</v>
      </c>
      <c r="C16" s="18">
        <v>22</v>
      </c>
      <c r="D16" s="18">
        <v>80</v>
      </c>
      <c r="E16" s="41">
        <f>SUMIFS(order_details[Order Value], order_details[ProductID], A16)</f>
        <v>21957.967500000002</v>
      </c>
      <c r="J16" s="9"/>
    </row>
    <row r="17" spans="1:10" x14ac:dyDescent="0.35">
      <c r="A17" s="35">
        <v>69</v>
      </c>
      <c r="B17" s="18">
        <v>36</v>
      </c>
      <c r="C17" s="18">
        <v>26</v>
      </c>
      <c r="D17" s="18">
        <v>0</v>
      </c>
      <c r="E17" s="41">
        <f>SUMIFS(order_details[Order Value], order_details[ProductID], A17)</f>
        <v>21942.36</v>
      </c>
      <c r="G17" s="20" t="s">
        <v>1319</v>
      </c>
      <c r="H17" s="20" t="s">
        <v>1320</v>
      </c>
      <c r="I17" s="20" t="s">
        <v>1321</v>
      </c>
      <c r="J17" s="9" t="s">
        <v>1368</v>
      </c>
    </row>
    <row r="18" spans="1:10" x14ac:dyDescent="0.35">
      <c r="A18" s="35">
        <v>10</v>
      </c>
      <c r="B18" s="18">
        <v>31</v>
      </c>
      <c r="C18" s="18">
        <v>31</v>
      </c>
      <c r="D18" s="18">
        <v>0</v>
      </c>
      <c r="E18" s="41">
        <f>SUMIFS(order_details[Order Value], order_details[ProductID], A18)</f>
        <v>20867.340000000004</v>
      </c>
      <c r="G18" s="21">
        <f>CORREL(B2:B80, E2:E80)</f>
        <v>0.86771212986095392</v>
      </c>
      <c r="H18" s="21">
        <f>CORREL(C2:C80, E2:E80)</f>
        <v>-0.16528537126272774</v>
      </c>
      <c r="I18" s="21">
        <f>CORREL(D2:D80, E2:E80)</f>
        <v>-0.16014783445919548</v>
      </c>
      <c r="J18" s="9"/>
    </row>
    <row r="19" spans="1:10" x14ac:dyDescent="0.35">
      <c r="A19" s="35">
        <v>53</v>
      </c>
      <c r="B19" s="18">
        <v>32.799999999999997</v>
      </c>
      <c r="C19" s="18">
        <v>0</v>
      </c>
      <c r="D19" s="18">
        <v>0</v>
      </c>
      <c r="E19" s="41">
        <f>SUMIFS(order_details[Order Value], order_details[ProductID], A19)</f>
        <v>20574.170000000006</v>
      </c>
      <c r="J19" s="9" t="s">
        <v>1369</v>
      </c>
    </row>
    <row r="20" spans="1:10" x14ac:dyDescent="0.35">
      <c r="A20" s="35">
        <v>26</v>
      </c>
      <c r="B20" s="18">
        <v>31.23</v>
      </c>
      <c r="C20" s="18">
        <v>15</v>
      </c>
      <c r="D20" s="18">
        <v>0</v>
      </c>
      <c r="E20" s="41">
        <f>SUMIFS(order_details[Order Value], order_details[ProductID], A20)</f>
        <v>19849.144500000002</v>
      </c>
    </row>
    <row r="21" spans="1:10" x14ac:dyDescent="0.35">
      <c r="A21" s="35">
        <v>71</v>
      </c>
      <c r="B21" s="18">
        <v>21.5</v>
      </c>
      <c r="C21" s="18">
        <v>26</v>
      </c>
      <c r="D21" s="18">
        <v>0</v>
      </c>
      <c r="E21" s="41">
        <f>SUMIFS(order_details[Order Value], order_details[ProductID], A21)</f>
        <v>19551.024999999998</v>
      </c>
      <c r="J21" s="7" t="s">
        <v>1366</v>
      </c>
    </row>
    <row r="22" spans="1:10" x14ac:dyDescent="0.35">
      <c r="A22" s="35">
        <v>40</v>
      </c>
      <c r="B22" s="18">
        <v>18.399999999999999</v>
      </c>
      <c r="C22" s="18">
        <v>123</v>
      </c>
      <c r="D22" s="18">
        <v>0</v>
      </c>
      <c r="E22" s="41">
        <f>SUMIFS(order_details[Order Value], order_details[ProductID], A22)</f>
        <v>17910.63</v>
      </c>
      <c r="J22" t="s">
        <v>1370</v>
      </c>
    </row>
    <row r="23" spans="1:10" x14ac:dyDescent="0.35">
      <c r="A23" s="35">
        <v>55</v>
      </c>
      <c r="B23" s="18">
        <v>24</v>
      </c>
      <c r="C23" s="18">
        <v>115</v>
      </c>
      <c r="D23" s="18">
        <v>0</v>
      </c>
      <c r="E23" s="41">
        <f>SUMIFS(order_details[Order Value], order_details[ProductID], A23)</f>
        <v>17426.400000000001</v>
      </c>
    </row>
    <row r="24" spans="1:10" ht="15.5" x14ac:dyDescent="0.35">
      <c r="A24" s="35">
        <v>16</v>
      </c>
      <c r="B24" s="18">
        <v>17.45</v>
      </c>
      <c r="C24" s="18">
        <v>29</v>
      </c>
      <c r="D24" s="18">
        <v>0</v>
      </c>
      <c r="E24" s="41">
        <f>SUMIFS(order_details[Order Value], order_details[ProductID], A24)</f>
        <v>17215.775499999996</v>
      </c>
      <c r="J24" s="46" t="s">
        <v>1381</v>
      </c>
    </row>
    <row r="25" spans="1:10" x14ac:dyDescent="0.35">
      <c r="A25" s="35">
        <v>63</v>
      </c>
      <c r="B25" s="18">
        <v>43.9</v>
      </c>
      <c r="C25" s="18">
        <v>24</v>
      </c>
      <c r="D25" s="18">
        <v>0</v>
      </c>
      <c r="E25" s="41">
        <f>SUMIFS(order_details[Order Value], order_details[ProductID], A25)</f>
        <v>16701.095000000001</v>
      </c>
      <c r="J25" s="9"/>
    </row>
    <row r="26" spans="1:10" x14ac:dyDescent="0.35">
      <c r="A26" s="35">
        <v>2</v>
      </c>
      <c r="B26" s="18">
        <v>19</v>
      </c>
      <c r="C26" s="18">
        <v>17</v>
      </c>
      <c r="D26" s="18">
        <v>40</v>
      </c>
      <c r="E26" s="41">
        <f>SUMIFS(order_details[Order Value], order_details[ProductID], A26)</f>
        <v>16355.96</v>
      </c>
      <c r="J26" s="9" t="s">
        <v>1371</v>
      </c>
    </row>
    <row r="27" spans="1:10" x14ac:dyDescent="0.35">
      <c r="A27" s="35">
        <v>76</v>
      </c>
      <c r="B27" s="18">
        <v>18</v>
      </c>
      <c r="C27" s="18">
        <v>57</v>
      </c>
      <c r="D27" s="18">
        <v>0</v>
      </c>
      <c r="E27" s="41">
        <f>SUMIFS(order_details[Order Value], order_details[ProductID], A27)</f>
        <v>15760.44</v>
      </c>
      <c r="J27" s="9"/>
    </row>
    <row r="28" spans="1:10" x14ac:dyDescent="0.35">
      <c r="A28" s="35">
        <v>27</v>
      </c>
      <c r="B28" s="18">
        <v>43.9</v>
      </c>
      <c r="C28" s="18">
        <v>49</v>
      </c>
      <c r="D28" s="18">
        <v>0</v>
      </c>
      <c r="E28" s="41">
        <f>SUMIFS(order_details[Order Value], order_details[ProductID], A28)</f>
        <v>15099.875</v>
      </c>
      <c r="J28" s="9" t="s">
        <v>1372</v>
      </c>
    </row>
    <row r="29" spans="1:10" x14ac:dyDescent="0.35">
      <c r="A29" s="35">
        <v>31</v>
      </c>
      <c r="B29" s="18">
        <v>12.5</v>
      </c>
      <c r="C29" s="18">
        <v>0</v>
      </c>
      <c r="D29" s="18">
        <v>70</v>
      </c>
      <c r="E29" s="41">
        <f>SUMIFS(order_details[Order Value], order_details[ProductID], A29)</f>
        <v>14920.875</v>
      </c>
    </row>
    <row r="30" spans="1:10" ht="17.5" x14ac:dyDescent="0.4">
      <c r="A30" s="35">
        <v>61</v>
      </c>
      <c r="B30" s="18">
        <v>28.5</v>
      </c>
      <c r="C30" s="18">
        <v>113</v>
      </c>
      <c r="D30" s="18">
        <v>0</v>
      </c>
      <c r="E30" s="41">
        <f>SUMIFS(order_details[Order Value], order_details[ProductID], A30)</f>
        <v>14352.6</v>
      </c>
      <c r="J30" s="26" t="s">
        <v>1384</v>
      </c>
    </row>
    <row r="31" spans="1:10" x14ac:dyDescent="0.35">
      <c r="A31" s="35">
        <v>65</v>
      </c>
      <c r="B31" s="18">
        <v>21.05</v>
      </c>
      <c r="C31" s="18">
        <v>76</v>
      </c>
      <c r="D31" s="18">
        <v>0</v>
      </c>
      <c r="E31" s="41">
        <f>SUMIFS(order_details[Order Value], order_details[ProductID], A31)</f>
        <v>13869.890000000001</v>
      </c>
    </row>
    <row r="32" spans="1:10" ht="17.5" x14ac:dyDescent="0.35">
      <c r="A32" s="35">
        <v>35</v>
      </c>
      <c r="B32" s="18">
        <v>18</v>
      </c>
      <c r="C32" s="18">
        <v>20</v>
      </c>
      <c r="D32" s="18">
        <v>0</v>
      </c>
      <c r="E32" s="41">
        <f>SUMIFS(order_details[Order Value], order_details[ProductID], A32)</f>
        <v>13643.999999999998</v>
      </c>
      <c r="J32" s="8" t="s">
        <v>1382</v>
      </c>
    </row>
    <row r="33" spans="1:10" x14ac:dyDescent="0.35">
      <c r="A33" s="35">
        <v>36</v>
      </c>
      <c r="B33" s="18">
        <v>19</v>
      </c>
      <c r="C33" s="18">
        <v>112</v>
      </c>
      <c r="D33" s="18">
        <v>0</v>
      </c>
      <c r="E33" s="41">
        <f>SUMIFS(order_details[Order Value], order_details[ProductID], A33)</f>
        <v>13458.460000000001</v>
      </c>
      <c r="J33" s="9"/>
    </row>
    <row r="34" spans="1:10" x14ac:dyDescent="0.35">
      <c r="A34" s="35">
        <v>30</v>
      </c>
      <c r="B34" s="18">
        <v>25.89</v>
      </c>
      <c r="C34" s="18">
        <v>10</v>
      </c>
      <c r="D34" s="18">
        <v>0</v>
      </c>
      <c r="E34" s="41">
        <f>SUMIFS(order_details[Order Value], order_details[ProductID], A34)</f>
        <v>13424.197500000002</v>
      </c>
      <c r="J34" s="9" t="s">
        <v>1373</v>
      </c>
    </row>
    <row r="35" spans="1:10" x14ac:dyDescent="0.35">
      <c r="A35" s="35">
        <v>11</v>
      </c>
      <c r="B35" s="18">
        <v>21</v>
      </c>
      <c r="C35" s="18">
        <v>22</v>
      </c>
      <c r="D35" s="18">
        <v>30</v>
      </c>
      <c r="E35" s="41">
        <f>SUMIFS(order_details[Order Value], order_details[ProductID], A35)</f>
        <v>12901.77</v>
      </c>
      <c r="J35" s="9"/>
    </row>
    <row r="36" spans="1:10" x14ac:dyDescent="0.35">
      <c r="A36" s="35">
        <v>1</v>
      </c>
      <c r="B36" s="18">
        <v>18</v>
      </c>
      <c r="C36" s="18">
        <v>39</v>
      </c>
      <c r="D36" s="18">
        <v>0</v>
      </c>
      <c r="E36" s="41">
        <f>SUMIFS(order_details[Order Value], order_details[ProductID], A36)</f>
        <v>12788.1</v>
      </c>
      <c r="J36" s="9" t="s">
        <v>1374</v>
      </c>
    </row>
    <row r="37" spans="1:10" x14ac:dyDescent="0.35">
      <c r="A37" s="35">
        <v>8</v>
      </c>
      <c r="B37" s="18">
        <v>40</v>
      </c>
      <c r="C37" s="18">
        <v>6</v>
      </c>
      <c r="D37" s="18">
        <v>0</v>
      </c>
      <c r="E37" s="41">
        <f>SUMIFS(order_details[Order Value], order_details[ProductID], A37)</f>
        <v>12772</v>
      </c>
      <c r="J37" s="47"/>
    </row>
    <row r="38" spans="1:10" x14ac:dyDescent="0.35">
      <c r="A38" s="35">
        <v>39</v>
      </c>
      <c r="B38" s="18">
        <v>18</v>
      </c>
      <c r="C38" s="18">
        <v>69</v>
      </c>
      <c r="D38" s="18">
        <v>0</v>
      </c>
      <c r="E38" s="41">
        <f>SUMIFS(order_details[Order Value], order_details[ProductID], A38)</f>
        <v>12294.54</v>
      </c>
      <c r="J38" s="47" t="s">
        <v>1375</v>
      </c>
    </row>
    <row r="39" spans="1:10" x14ac:dyDescent="0.35">
      <c r="A39" s="35">
        <v>12</v>
      </c>
      <c r="B39" s="18">
        <v>38</v>
      </c>
      <c r="C39" s="18">
        <v>86</v>
      </c>
      <c r="D39" s="18">
        <v>0</v>
      </c>
      <c r="E39" s="41">
        <f>SUMIFS(order_details[Order Value], order_details[ProductID], A39)</f>
        <v>12257.660000000002</v>
      </c>
      <c r="J39" s="47"/>
    </row>
    <row r="40" spans="1:10" x14ac:dyDescent="0.35">
      <c r="A40" s="35">
        <v>70</v>
      </c>
      <c r="B40" s="18">
        <v>15</v>
      </c>
      <c r="C40" s="18">
        <v>15</v>
      </c>
      <c r="D40" s="18">
        <v>10</v>
      </c>
      <c r="E40" s="41">
        <f>SUMIFS(order_details[Order Value], order_details[ProductID], A40)</f>
        <v>10672.65</v>
      </c>
      <c r="J40" s="47" t="s">
        <v>1376</v>
      </c>
    </row>
    <row r="41" spans="1:10" x14ac:dyDescent="0.35">
      <c r="A41" s="35">
        <v>44</v>
      </c>
      <c r="B41" s="18">
        <v>19.45</v>
      </c>
      <c r="C41" s="18">
        <v>27</v>
      </c>
      <c r="D41" s="18">
        <v>0</v>
      </c>
      <c r="E41" s="41">
        <f>SUMIFS(order_details[Order Value], order_details[ProductID], A41)</f>
        <v>9915.9450000000015</v>
      </c>
      <c r="J41" s="47"/>
    </row>
    <row r="42" spans="1:10" x14ac:dyDescent="0.35">
      <c r="A42" s="35">
        <v>49</v>
      </c>
      <c r="B42" s="18">
        <v>20</v>
      </c>
      <c r="C42" s="18">
        <v>10</v>
      </c>
      <c r="D42" s="18">
        <v>60</v>
      </c>
      <c r="E42" s="41">
        <f>SUMIFS(order_details[Order Value], order_details[ProductID], A42)</f>
        <v>9244.6</v>
      </c>
      <c r="J42" s="47" t="s">
        <v>1377</v>
      </c>
    </row>
    <row r="43" spans="1:10" x14ac:dyDescent="0.35">
      <c r="A43" s="35">
        <v>77</v>
      </c>
      <c r="B43" s="18">
        <v>13</v>
      </c>
      <c r="C43" s="18">
        <v>32</v>
      </c>
      <c r="D43" s="18">
        <v>0</v>
      </c>
      <c r="E43" s="41">
        <f>SUMIFS(order_details[Order Value], order_details[ProductID], A43)</f>
        <v>9171.6299999999992</v>
      </c>
    </row>
    <row r="44" spans="1:10" x14ac:dyDescent="0.35">
      <c r="A44" s="35">
        <v>21</v>
      </c>
      <c r="B44" s="18">
        <v>10</v>
      </c>
      <c r="C44" s="18">
        <v>3</v>
      </c>
      <c r="D44" s="18">
        <v>40</v>
      </c>
      <c r="E44" s="41">
        <f>SUMIFS(order_details[Order Value], order_details[ProductID], A44)</f>
        <v>9104</v>
      </c>
      <c r="J44" s="7" t="s">
        <v>1366</v>
      </c>
    </row>
    <row r="45" spans="1:10" x14ac:dyDescent="0.35">
      <c r="A45" s="35">
        <v>68</v>
      </c>
      <c r="B45" s="18">
        <v>12.5</v>
      </c>
      <c r="C45" s="18">
        <v>6</v>
      </c>
      <c r="D45" s="18">
        <v>10</v>
      </c>
      <c r="E45" s="41">
        <f>SUMIFS(order_details[Order Value], order_details[ProductID], A45)</f>
        <v>8714</v>
      </c>
      <c r="J45" t="s">
        <v>1378</v>
      </c>
    </row>
    <row r="46" spans="1:10" x14ac:dyDescent="0.35">
      <c r="A46" s="35">
        <v>41</v>
      </c>
      <c r="B46" s="18">
        <v>9.65</v>
      </c>
      <c r="C46" s="18">
        <v>85</v>
      </c>
      <c r="D46" s="18">
        <v>0</v>
      </c>
      <c r="E46" s="41">
        <f>SUMIFS(order_details[Order Value], order_details[ProductID], A46)</f>
        <v>8680.3450000000048</v>
      </c>
    </row>
    <row r="47" spans="1:10" x14ac:dyDescent="0.35">
      <c r="A47" s="35">
        <v>42</v>
      </c>
      <c r="B47" s="18">
        <v>14</v>
      </c>
      <c r="C47" s="18">
        <v>26</v>
      </c>
      <c r="D47" s="18">
        <v>0</v>
      </c>
      <c r="E47" s="41">
        <f>SUMIFS(order_details[Order Value], order_details[ProductID], A47)</f>
        <v>8575</v>
      </c>
    </row>
    <row r="48" spans="1:10" x14ac:dyDescent="0.35">
      <c r="A48" s="35">
        <v>4</v>
      </c>
      <c r="B48" s="18">
        <v>22</v>
      </c>
      <c r="C48" s="18">
        <v>53</v>
      </c>
      <c r="D48" s="18">
        <v>0</v>
      </c>
      <c r="E48" s="41">
        <f>SUMIFS(order_details[Order Value], order_details[ProductID], A48)</f>
        <v>8567.9000000000015</v>
      </c>
    </row>
    <row r="49" spans="1:10" ht="17" x14ac:dyDescent="0.35">
      <c r="A49" s="35">
        <v>32</v>
      </c>
      <c r="B49" s="18">
        <v>32</v>
      </c>
      <c r="C49" s="18">
        <v>9</v>
      </c>
      <c r="D49" s="18">
        <v>40</v>
      </c>
      <c r="E49" s="41">
        <f>SUMIFS(order_details[Order Value], order_details[ProductID], A49)</f>
        <v>8404.16</v>
      </c>
      <c r="J49" s="48" t="s">
        <v>1383</v>
      </c>
    </row>
    <row r="50" spans="1:10" x14ac:dyDescent="0.35">
      <c r="A50" s="35">
        <v>75</v>
      </c>
      <c r="B50" s="18">
        <v>7.75</v>
      </c>
      <c r="C50" s="18">
        <v>125</v>
      </c>
      <c r="D50" s="18">
        <v>0</v>
      </c>
      <c r="E50" s="41">
        <f>SUMIFS(order_details[Order Value], order_details[ProductID], A50)</f>
        <v>8177.4899999999989</v>
      </c>
    </row>
    <row r="51" spans="1:10" ht="29" x14ac:dyDescent="0.35">
      <c r="A51" s="35">
        <v>14</v>
      </c>
      <c r="B51" s="18">
        <v>23.25</v>
      </c>
      <c r="C51" s="18">
        <v>35</v>
      </c>
      <c r="D51" s="18">
        <v>0</v>
      </c>
      <c r="E51" s="41">
        <f>SUMIFS(order_details[Order Value], order_details[ProductID], A51)</f>
        <v>7991.4899999999989</v>
      </c>
      <c r="J51" s="49" t="s">
        <v>1379</v>
      </c>
    </row>
    <row r="52" spans="1:10" x14ac:dyDescent="0.35">
      <c r="A52" s="35">
        <v>57</v>
      </c>
      <c r="B52" s="18">
        <v>19.5</v>
      </c>
      <c r="C52" s="18">
        <v>36</v>
      </c>
      <c r="D52" s="18">
        <v>0</v>
      </c>
      <c r="E52" s="41">
        <f>SUMIFS(order_details[Order Value], order_details[ProductID], A52)</f>
        <v>7661.5499999999993</v>
      </c>
    </row>
    <row r="53" spans="1:10" x14ac:dyDescent="0.35">
      <c r="A53" s="35">
        <v>9</v>
      </c>
      <c r="B53" s="18">
        <v>97</v>
      </c>
      <c r="C53" s="18">
        <v>29</v>
      </c>
      <c r="D53" s="18">
        <v>0</v>
      </c>
      <c r="E53" s="41">
        <f>SUMIFS(order_details[Order Value], order_details[ProductID], A53)</f>
        <v>7226.5</v>
      </c>
    </row>
    <row r="54" spans="1:10" x14ac:dyDescent="0.35">
      <c r="A54" s="35">
        <v>6</v>
      </c>
      <c r="B54" s="18">
        <v>25</v>
      </c>
      <c r="C54" s="18">
        <v>120</v>
      </c>
      <c r="D54" s="18">
        <v>0</v>
      </c>
      <c r="E54" s="41">
        <f>SUMIFS(order_details[Order Value], order_details[ProductID], A54)</f>
        <v>7137</v>
      </c>
    </row>
    <row r="55" spans="1:10" x14ac:dyDescent="0.35">
      <c r="A55" s="35">
        <v>22</v>
      </c>
      <c r="B55" s="18">
        <v>21</v>
      </c>
      <c r="C55" s="18">
        <v>104</v>
      </c>
      <c r="D55" s="18">
        <v>0</v>
      </c>
      <c r="E55" s="41">
        <f>SUMIFS(order_details[Order Value], order_details[ProductID], A55)</f>
        <v>7122.3600000000006</v>
      </c>
    </row>
    <row r="56" spans="1:10" x14ac:dyDescent="0.35">
      <c r="A56" s="35">
        <v>34</v>
      </c>
      <c r="B56" s="18">
        <v>14</v>
      </c>
      <c r="C56" s="18">
        <v>111</v>
      </c>
      <c r="D56" s="18">
        <v>0</v>
      </c>
      <c r="E56" s="41">
        <f>SUMIFS(order_details[Order Value], order_details[ProductID], A56)</f>
        <v>6350.4</v>
      </c>
    </row>
    <row r="57" spans="1:10" x14ac:dyDescent="0.35">
      <c r="A57" s="35">
        <v>46</v>
      </c>
      <c r="B57" s="18">
        <v>12</v>
      </c>
      <c r="C57" s="18">
        <v>95</v>
      </c>
      <c r="D57" s="18">
        <v>0</v>
      </c>
      <c r="E57" s="41">
        <f>SUMIFS(order_details[Order Value], order_details[ProductID], A57)</f>
        <v>5882.9999999999991</v>
      </c>
    </row>
    <row r="58" spans="1:10" x14ac:dyDescent="0.35">
      <c r="A58" s="35">
        <v>58</v>
      </c>
      <c r="B58" s="18">
        <v>13.25</v>
      </c>
      <c r="C58" s="18">
        <v>62</v>
      </c>
      <c r="D58" s="18">
        <v>0</v>
      </c>
      <c r="E58" s="41">
        <f>SUMIFS(order_details[Order Value], order_details[ProductID], A58)</f>
        <v>5881.6749999999993</v>
      </c>
    </row>
    <row r="59" spans="1:10" x14ac:dyDescent="0.35">
      <c r="A59" s="35">
        <v>19</v>
      </c>
      <c r="B59" s="18">
        <v>9.1999999999999993</v>
      </c>
      <c r="C59" s="18">
        <v>25</v>
      </c>
      <c r="D59" s="18">
        <v>0</v>
      </c>
      <c r="E59" s="41">
        <f>SUMIFS(order_details[Order Value], order_details[ProductID], A59)</f>
        <v>5862.6199999999981</v>
      </c>
    </row>
    <row r="60" spans="1:10" x14ac:dyDescent="0.35">
      <c r="A60" s="35">
        <v>5</v>
      </c>
      <c r="B60" s="18">
        <v>21.35</v>
      </c>
      <c r="C60" s="18">
        <v>0</v>
      </c>
      <c r="D60" s="18">
        <v>0</v>
      </c>
      <c r="E60" s="41">
        <f>SUMIFS(order_details[Order Value], order_details[ProductID], A60)</f>
        <v>5347.2000000000007</v>
      </c>
    </row>
    <row r="61" spans="1:10" x14ac:dyDescent="0.35">
      <c r="A61" s="35">
        <v>13</v>
      </c>
      <c r="B61" s="18">
        <v>6</v>
      </c>
      <c r="C61" s="18">
        <v>24</v>
      </c>
      <c r="D61" s="18">
        <v>0</v>
      </c>
      <c r="E61" s="41">
        <f>SUMIFS(order_details[Order Value], order_details[ProductID], A61)</f>
        <v>4960.4400000000005</v>
      </c>
    </row>
    <row r="62" spans="1:10" x14ac:dyDescent="0.35">
      <c r="A62" s="35">
        <v>54</v>
      </c>
      <c r="B62" s="18">
        <v>7.45</v>
      </c>
      <c r="C62" s="18">
        <v>21</v>
      </c>
      <c r="D62" s="18">
        <v>0</v>
      </c>
      <c r="E62" s="41">
        <f>SUMIFS(order_details[Order Value], order_details[ProductID], A62)</f>
        <v>4728.2375000000002</v>
      </c>
    </row>
    <row r="63" spans="1:10" x14ac:dyDescent="0.35">
      <c r="A63" s="35">
        <v>23</v>
      </c>
      <c r="B63" s="18">
        <v>9</v>
      </c>
      <c r="C63" s="18">
        <v>61</v>
      </c>
      <c r="D63" s="18">
        <v>0</v>
      </c>
      <c r="E63" s="41">
        <f>SUMIFS(order_details[Order Value], order_details[ProductID], A63)</f>
        <v>4601.7</v>
      </c>
    </row>
    <row r="64" spans="1:10" x14ac:dyDescent="0.35">
      <c r="A64" s="35">
        <v>24</v>
      </c>
      <c r="B64" s="18">
        <v>4.5</v>
      </c>
      <c r="C64" s="18">
        <v>20</v>
      </c>
      <c r="D64" s="18">
        <v>0</v>
      </c>
      <c r="E64" s="41">
        <f>SUMIFS(order_details[Order Value], order_details[ProductID], A64)</f>
        <v>4504.3649999999998</v>
      </c>
    </row>
    <row r="65" spans="1:5" x14ac:dyDescent="0.35">
      <c r="A65" s="35">
        <v>45</v>
      </c>
      <c r="B65" s="18">
        <v>9.5</v>
      </c>
      <c r="C65" s="18">
        <v>5</v>
      </c>
      <c r="D65" s="18">
        <v>70</v>
      </c>
      <c r="E65" s="41">
        <f>SUMIFS(order_details[Order Value], order_details[ProductID], A65)</f>
        <v>4338.1750000000002</v>
      </c>
    </row>
    <row r="66" spans="1:5" x14ac:dyDescent="0.35">
      <c r="A66" s="35">
        <v>73</v>
      </c>
      <c r="B66" s="18">
        <v>15</v>
      </c>
      <c r="C66" s="18">
        <v>101</v>
      </c>
      <c r="D66" s="18">
        <v>0</v>
      </c>
      <c r="E66" s="41">
        <f>SUMIFS(order_details[Order Value], order_details[ProductID], A66)</f>
        <v>3997.2</v>
      </c>
    </row>
    <row r="67" spans="1:5" x14ac:dyDescent="0.35">
      <c r="A67" s="35">
        <v>47</v>
      </c>
      <c r="B67" s="18">
        <v>9.5</v>
      </c>
      <c r="C67" s="18">
        <v>36</v>
      </c>
      <c r="D67" s="18">
        <v>0</v>
      </c>
      <c r="E67" s="41">
        <f>SUMIFS(order_details[Order Value], order_details[ProductID], A67)</f>
        <v>3958.08</v>
      </c>
    </row>
    <row r="68" spans="1:5" x14ac:dyDescent="0.35">
      <c r="A68" s="35">
        <v>25</v>
      </c>
      <c r="B68" s="18">
        <v>14</v>
      </c>
      <c r="C68" s="18">
        <v>76</v>
      </c>
      <c r="D68" s="18">
        <v>0</v>
      </c>
      <c r="E68" s="41">
        <f>SUMIFS(order_details[Order Value], order_details[ProductID], A68)</f>
        <v>3704.3999999999996</v>
      </c>
    </row>
    <row r="69" spans="1:5" x14ac:dyDescent="0.35">
      <c r="A69" s="35">
        <v>50</v>
      </c>
      <c r="B69" s="18">
        <v>16.25</v>
      </c>
      <c r="C69" s="18">
        <v>65</v>
      </c>
      <c r="D69" s="18">
        <v>0</v>
      </c>
      <c r="E69" s="41">
        <f>SUMIFS(order_details[Order Value], order_details[ProductID], A69)</f>
        <v>3437.6875</v>
      </c>
    </row>
    <row r="70" spans="1:5" x14ac:dyDescent="0.35">
      <c r="A70" s="35">
        <v>66</v>
      </c>
      <c r="B70" s="18">
        <v>17</v>
      </c>
      <c r="C70" s="18">
        <v>4</v>
      </c>
      <c r="D70" s="18">
        <v>100</v>
      </c>
      <c r="E70" s="41">
        <f>SUMIFS(order_details[Order Value], order_details[ProductID], A70)</f>
        <v>3383</v>
      </c>
    </row>
    <row r="71" spans="1:5" x14ac:dyDescent="0.35">
      <c r="A71" s="35">
        <v>52</v>
      </c>
      <c r="B71" s="18">
        <v>7</v>
      </c>
      <c r="C71" s="18">
        <v>38</v>
      </c>
      <c r="D71" s="18">
        <v>0</v>
      </c>
      <c r="E71" s="41">
        <f>SUMIFS(order_details[Order Value], order_details[ProductID], A71)</f>
        <v>3232.9500000000003</v>
      </c>
    </row>
    <row r="72" spans="1:5" x14ac:dyDescent="0.35">
      <c r="A72" s="35">
        <v>3</v>
      </c>
      <c r="B72" s="18">
        <v>10</v>
      </c>
      <c r="C72" s="18">
        <v>13</v>
      </c>
      <c r="D72" s="18">
        <v>70</v>
      </c>
      <c r="E72" s="41">
        <f>SUMIFS(order_details[Order Value], order_details[ProductID], A72)</f>
        <v>3044</v>
      </c>
    </row>
    <row r="73" spans="1:5" x14ac:dyDescent="0.35">
      <c r="A73" s="35">
        <v>37</v>
      </c>
      <c r="B73" s="18">
        <v>26</v>
      </c>
      <c r="C73" s="18">
        <v>11</v>
      </c>
      <c r="D73" s="18">
        <v>50</v>
      </c>
      <c r="E73" s="41">
        <f>SUMIFS(order_details[Order Value], order_details[ProductID], A73)</f>
        <v>2688.3999999999996</v>
      </c>
    </row>
    <row r="74" spans="1:5" x14ac:dyDescent="0.35">
      <c r="A74" s="35">
        <v>74</v>
      </c>
      <c r="B74" s="18">
        <v>10</v>
      </c>
      <c r="C74" s="18">
        <v>4</v>
      </c>
      <c r="D74" s="18">
        <v>20</v>
      </c>
      <c r="E74" s="41">
        <f>SUMIFS(order_details[Order Value], order_details[ProductID], A74)</f>
        <v>2432.5</v>
      </c>
    </row>
    <row r="75" spans="1:5" x14ac:dyDescent="0.35">
      <c r="A75" s="35">
        <v>67</v>
      </c>
      <c r="B75" s="18">
        <v>14</v>
      </c>
      <c r="C75" s="18">
        <v>52</v>
      </c>
      <c r="D75" s="18">
        <v>0</v>
      </c>
      <c r="E75" s="41">
        <f>SUMIFS(order_details[Order Value], order_details[ProductID], A75)</f>
        <v>2396.8000000000002</v>
      </c>
    </row>
    <row r="76" spans="1:5" x14ac:dyDescent="0.35">
      <c r="A76" s="35">
        <v>15</v>
      </c>
      <c r="B76" s="18">
        <v>15.5</v>
      </c>
      <c r="C76" s="18">
        <v>39</v>
      </c>
      <c r="D76" s="18">
        <v>0</v>
      </c>
      <c r="E76" s="41">
        <f>SUMIFS(order_details[Order Value], order_details[ProductID], A76)</f>
        <v>1784.825</v>
      </c>
    </row>
    <row r="77" spans="1:5" x14ac:dyDescent="0.35">
      <c r="A77" s="35">
        <v>33</v>
      </c>
      <c r="B77" s="18">
        <v>2.5</v>
      </c>
      <c r="C77" s="18">
        <v>112</v>
      </c>
      <c r="D77" s="18">
        <v>0</v>
      </c>
      <c r="E77" s="41">
        <f>SUMIFS(order_details[Order Value], order_details[ProductID], A77)</f>
        <v>1648.125</v>
      </c>
    </row>
    <row r="78" spans="1:5" x14ac:dyDescent="0.35">
      <c r="A78" s="37">
        <v>48</v>
      </c>
      <c r="B78" s="38">
        <v>12.75</v>
      </c>
      <c r="C78" s="38">
        <v>15</v>
      </c>
      <c r="D78" s="38">
        <v>70</v>
      </c>
      <c r="E78" s="42">
        <f>SUMIFS(order_details[Order Value], order_details[ProductID], A78)</f>
        <v>1368.7125000000001</v>
      </c>
    </row>
  </sheetData>
  <conditionalFormatting sqref="E2:E78">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300" verticalDpi="300" r:id="rId1"/>
  <drawing r:id="rId2"/>
  <tableParts count="1">
    <tablePart r:id="rId3"/>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8FA086-DAC6-453B-A78A-880459AE240E}">
  <dimension ref="C2:D16"/>
  <sheetViews>
    <sheetView topLeftCell="B1" zoomScale="80" zoomScaleNormal="80" workbookViewId="0">
      <selection activeCell="D13" sqref="D13"/>
    </sheetView>
  </sheetViews>
  <sheetFormatPr defaultRowHeight="14.5" x14ac:dyDescent="0.35"/>
  <cols>
    <col min="1" max="1" width="13.453125" customWidth="1"/>
    <col min="2" max="2" width="16.08984375" customWidth="1"/>
    <col min="3" max="3" width="6.453125" style="15" customWidth="1"/>
    <col min="4" max="4" width="151.54296875" bestFit="1" customWidth="1"/>
  </cols>
  <sheetData>
    <row r="2" spans="3:4" x14ac:dyDescent="0.35">
      <c r="C2" s="40" t="s">
        <v>1240</v>
      </c>
      <c r="D2" s="40"/>
    </row>
    <row r="3" spans="3:4" x14ac:dyDescent="0.35">
      <c r="C3" s="16">
        <v>1</v>
      </c>
      <c r="D3" s="29" t="s">
        <v>1238</v>
      </c>
    </row>
    <row r="4" spans="3:4" x14ac:dyDescent="0.35">
      <c r="C4" s="16">
        <v>2</v>
      </c>
      <c r="D4" s="29" t="s">
        <v>1239</v>
      </c>
    </row>
    <row r="5" spans="3:4" ht="29" x14ac:dyDescent="0.35">
      <c r="C5" s="30">
        <v>3</v>
      </c>
      <c r="D5" s="27" t="s">
        <v>1257</v>
      </c>
    </row>
    <row r="6" spans="3:4" ht="29" x14ac:dyDescent="0.35">
      <c r="C6" s="30">
        <v>4</v>
      </c>
      <c r="D6" s="27" t="s">
        <v>1263</v>
      </c>
    </row>
    <row r="7" spans="3:4" ht="29" x14ac:dyDescent="0.35">
      <c r="C7" s="30">
        <v>5</v>
      </c>
      <c r="D7" s="29" t="s">
        <v>1277</v>
      </c>
    </row>
    <row r="8" spans="3:4" x14ac:dyDescent="0.35">
      <c r="C8" s="16">
        <v>6</v>
      </c>
      <c r="D8" s="17" t="s">
        <v>1287</v>
      </c>
    </row>
    <row r="9" spans="3:4" x14ac:dyDescent="0.35">
      <c r="C9" s="16">
        <v>7</v>
      </c>
      <c r="D9" s="18" t="s">
        <v>1302</v>
      </c>
    </row>
    <row r="10" spans="3:4" ht="29" x14ac:dyDescent="0.35">
      <c r="C10" s="30">
        <v>8</v>
      </c>
      <c r="D10" s="27" t="s">
        <v>1316</v>
      </c>
    </row>
    <row r="11" spans="3:4" ht="29" x14ac:dyDescent="0.35">
      <c r="C11" s="30">
        <v>9</v>
      </c>
      <c r="D11" s="29" t="s">
        <v>1322</v>
      </c>
    </row>
    <row r="12" spans="3:4" ht="43.5" x14ac:dyDescent="0.35">
      <c r="C12" s="30">
        <v>10</v>
      </c>
      <c r="D12" s="29" t="s">
        <v>1360</v>
      </c>
    </row>
    <row r="13" spans="3:4" x14ac:dyDescent="0.35">
      <c r="C13" s="16">
        <v>11</v>
      </c>
      <c r="D13" s="27"/>
    </row>
    <row r="14" spans="3:4" x14ac:dyDescent="0.35">
      <c r="C14" s="16">
        <v>12</v>
      </c>
      <c r="D14" s="27"/>
    </row>
    <row r="15" spans="3:4" x14ac:dyDescent="0.35">
      <c r="C15" s="16">
        <v>13</v>
      </c>
      <c r="D15" s="27"/>
    </row>
    <row r="16" spans="3:4" x14ac:dyDescent="0.35">
      <c r="C16" s="16">
        <v>14</v>
      </c>
      <c r="D16" s="27"/>
    </row>
  </sheetData>
  <mergeCells count="1">
    <mergeCell ref="C2:D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1DC3FA1-527D-438D-8D3B-518B2CD17A1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order details</vt:lpstr>
      <vt:lpstr>customers</vt:lpstr>
      <vt:lpstr>orders</vt:lpstr>
      <vt:lpstr>products</vt:lpstr>
      <vt:lpstr>employees</vt:lpstr>
      <vt:lpstr>suppliers</vt:lpstr>
      <vt:lpstr>categories</vt:lpstr>
      <vt:lpstr>shippers</vt:lpstr>
      <vt:lpstr> EDA Answer 1</vt:lpstr>
      <vt:lpstr>EDA Answer 2</vt:lpstr>
      <vt:lpstr>EDA Answer 3</vt:lpstr>
      <vt:lpstr>EDA Answer 4</vt:lpstr>
      <vt:lpstr>EDA Answer 5</vt:lpstr>
      <vt:lpstr>EDA Answer 6</vt:lpstr>
      <vt:lpstr>EDA Answer 7</vt:lpstr>
      <vt:lpstr>EDA Answer 8</vt:lpstr>
      <vt:lpstr>EDA Answer 9</vt:lpstr>
      <vt:lpstr>EDA Answer 10</vt:lpstr>
      <vt:lpstr>EDA Answer 11</vt:lpstr>
      <vt:lpstr>EDA 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Ralp Groups</dc:creator>
  <cp:lastModifiedBy>Ralp Groups</cp:lastModifiedBy>
  <dcterms:created xsi:type="dcterms:W3CDTF">2025-11-29T21:01:57Z</dcterms:created>
  <dcterms:modified xsi:type="dcterms:W3CDTF">2025-12-07T13:43:53Z</dcterms:modified>
</cp:coreProperties>
</file>